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A7B9C5C4-35AD-455F-9F14-B13C7EBE64C8}" xr6:coauthVersionLast="47" xr6:coauthVersionMax="47" xr10:uidLastSave="{00000000-0000-0000-0000-000000000000}"/>
  <bookViews>
    <workbookView xWindow="4428" yWindow="3396" windowWidth="17280" windowHeight="8964" tabRatio="597" firstSheet="1" activeTab="5" xr2:uid="{5C51F651-FA3A-4C3B-83F0-E2502EBD64E4}"/>
  </bookViews>
  <sheets>
    <sheet name="Remote work mental helath" sheetId="1" r:id="rId1"/>
    <sheet name="Employee Details" sheetId="2" r:id="rId2"/>
    <sheet name="Work Details" sheetId="3" r:id="rId3"/>
    <sheet name="Mental Helath" sheetId="4" r:id="rId4"/>
    <sheet name="PivotTable" sheetId="6" r:id="rId5"/>
    <sheet name="Quick Analysis" sheetId="8" r:id="rId6"/>
  </sheets>
  <definedNames>
    <definedName name="_xlnm._FilterDatabase" localSheetId="1" hidden="1">'Employee Details'!$A$1:$F$1</definedName>
    <definedName name="_xlnm._FilterDatabase" localSheetId="0" hidden="1">'Remote work mental helath'!$A$1:$T$1001</definedName>
    <definedName name="_xlcn.WorksheetConnection_EmployeeDetailsA1E10011" hidden="1">'Employee Details'!$A$1:$F$1001</definedName>
  </definedNames>
  <calcPr calcId="191029"/>
  <pivotCaches>
    <pivotCache cacheId="0" r:id="rId7"/>
    <pivotCache cacheId="1" r:id="rId8"/>
    <pivotCache cacheId="2" r:id="rId9"/>
    <pivotCache cacheId="3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mployee Details!$A$1:$E$1001"/>
        </x15:modelTables>
      </x15:dataModel>
    </ext>
  </extLst>
</workbook>
</file>

<file path=xl/calcChain.xml><?xml version="1.0" encoding="utf-8"?>
<calcChain xmlns="http://schemas.openxmlformats.org/spreadsheetml/2006/main">
  <c r="F986" i="3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D9" i="2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  <c r="D3" i="2"/>
  <c r="D4" i="2"/>
  <c r="D5" i="2"/>
  <c r="D6" i="2"/>
  <c r="D7" i="2"/>
  <c r="D8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FCE15-1D2C-4328-9862-C6A75E29207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E6B963-418F-4CFE-A247-B9335DE68323}" name="WorksheetConnection_Employee Details!$A$1:$E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mployeeDetailsA1E10011"/>
        </x15:connection>
      </ext>
    </extLst>
  </connection>
</connections>
</file>

<file path=xl/sharedStrings.xml><?xml version="1.0" encoding="utf-8"?>
<sst xmlns="http://schemas.openxmlformats.org/spreadsheetml/2006/main" count="16074" uniqueCount="1077">
  <si>
    <t>Age</t>
  </si>
  <si>
    <t>Gender</t>
  </si>
  <si>
    <t>Industry</t>
  </si>
  <si>
    <t>Region</t>
  </si>
  <si>
    <t>EMP0001</t>
  </si>
  <si>
    <t>Non-binary</t>
  </si>
  <si>
    <t>HR</t>
  </si>
  <si>
    <t>Healthcare</t>
  </si>
  <si>
    <t>Hybrid</t>
  </si>
  <si>
    <t>Medium</t>
  </si>
  <si>
    <t>Depression</t>
  </si>
  <si>
    <t>No</t>
  </si>
  <si>
    <t>Decrease</t>
  </si>
  <si>
    <t>Unsatisfied</t>
  </si>
  <si>
    <t>Weekly</t>
  </si>
  <si>
    <t>Good</t>
  </si>
  <si>
    <t>Europe</t>
  </si>
  <si>
    <t>EMP0002</t>
  </si>
  <si>
    <t>Female</t>
  </si>
  <si>
    <t>Data Scientist</t>
  </si>
  <si>
    <t>IT</t>
  </si>
  <si>
    <t>Remote</t>
  </si>
  <si>
    <t>Anxiety</t>
  </si>
  <si>
    <t>Increase</t>
  </si>
  <si>
    <t>Satisfied</t>
  </si>
  <si>
    <t>Asia</t>
  </si>
  <si>
    <t>EMP0003</t>
  </si>
  <si>
    <t>Software Engineer</t>
  </si>
  <si>
    <t>Education</t>
  </si>
  <si>
    <t>No Change</t>
  </si>
  <si>
    <t>None</t>
  </si>
  <si>
    <t>Poor</t>
  </si>
  <si>
    <t>North America</t>
  </si>
  <si>
    <t>EMP0004</t>
  </si>
  <si>
    <t>Male</t>
  </si>
  <si>
    <t>Finance</t>
  </si>
  <si>
    <t>Onsite</t>
  </si>
  <si>
    <t>High</t>
  </si>
  <si>
    <t>Yes</t>
  </si>
  <si>
    <t>EMP0005</t>
  </si>
  <si>
    <t>Sales</t>
  </si>
  <si>
    <t>Consulting</t>
  </si>
  <si>
    <t>Average</t>
  </si>
  <si>
    <t>EMP0006</t>
  </si>
  <si>
    <t>South America</t>
  </si>
  <si>
    <t>EMP0007</t>
  </si>
  <si>
    <t>Prefer not to say</t>
  </si>
  <si>
    <t>Low</t>
  </si>
  <si>
    <t>Neutral</t>
  </si>
  <si>
    <t>Daily</t>
  </si>
  <si>
    <t>EMP0008</t>
  </si>
  <si>
    <t>Manufacturing</t>
  </si>
  <si>
    <t>EMP0009</t>
  </si>
  <si>
    <t>EMP0010</t>
  </si>
  <si>
    <t>EMP0011</t>
  </si>
  <si>
    <t>Oceania</t>
  </si>
  <si>
    <t>EMP0012</t>
  </si>
  <si>
    <t>Marketing</t>
  </si>
  <si>
    <t>Africa</t>
  </si>
  <si>
    <t>EMP0013</t>
  </si>
  <si>
    <t>EMP0014</t>
  </si>
  <si>
    <t>Designer</t>
  </si>
  <si>
    <t>EMP0015</t>
  </si>
  <si>
    <t>Project Manager</t>
  </si>
  <si>
    <t>Retail</t>
  </si>
  <si>
    <t>EMP0016</t>
  </si>
  <si>
    <t>EMP0017</t>
  </si>
  <si>
    <t>EMP0018</t>
  </si>
  <si>
    <t>Burnout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</si>
  <si>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</si>
  <si>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</si>
  <si>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</si>
  <si>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</si>
  <si>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</si>
  <si>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</si>
  <si>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</si>
  <si>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</si>
  <si>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</si>
  <si>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</si>
  <si>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</si>
  <si>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</si>
  <si>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</si>
  <si>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</si>
  <si>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</si>
  <si>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</si>
  <si>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</si>
  <si>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</si>
  <si>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</si>
  <si>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</si>
  <si>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</si>
  <si>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</si>
  <si>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</si>
  <si>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</si>
  <si>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</si>
  <si>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</si>
  <si>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</si>
  <si>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</si>
  <si>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</si>
  <si>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</si>
  <si>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</si>
  <si>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</si>
  <si>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</si>
  <si>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</si>
  <si>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</si>
  <si>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</si>
  <si>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</si>
  <si>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</si>
  <si>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</si>
  <si>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</si>
  <si>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</si>
  <si>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</si>
  <si>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</si>
  <si>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</si>
  <si>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</si>
  <si>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</si>
  <si>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</si>
  <si>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</si>
  <si>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</si>
  <si>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</si>
  <si>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</si>
  <si>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</si>
  <si>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</si>
  <si>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</si>
  <si>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</si>
  <si>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</si>
  <si>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</si>
  <si>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</si>
  <si>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</si>
  <si>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</si>
  <si>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</si>
  <si>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</si>
  <si>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</si>
  <si>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</si>
  <si>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</si>
  <si>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</si>
  <si>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</si>
  <si>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</si>
  <si>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</si>
  <si>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</si>
  <si>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</si>
  <si>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</si>
  <si>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</si>
  <si>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</si>
  <si>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</si>
  <si>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</si>
  <si>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</si>
  <si>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</si>
  <si>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</si>
  <si>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</si>
  <si>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</si>
  <si>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</si>
  <si>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</si>
  <si>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</si>
  <si>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</si>
  <si>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</si>
  <si>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</si>
  <si>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</si>
  <si>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</si>
  <si>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</si>
  <si>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</si>
  <si>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</si>
  <si>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</si>
  <si>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</si>
  <si>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</si>
  <si>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</si>
  <si>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</si>
  <si>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</si>
  <si>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</si>
  <si>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</si>
  <si>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</si>
  <si>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</si>
  <si>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</si>
  <si>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</si>
  <si>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</si>
  <si>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</si>
  <si>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</si>
  <si>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</si>
  <si>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</si>
  <si>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</si>
  <si>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</si>
  <si>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</si>
  <si>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</si>
  <si>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</si>
  <si>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</si>
  <si>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</si>
  <si>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</si>
  <si>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</si>
  <si>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</si>
  <si>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</si>
  <si>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</si>
  <si>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</si>
  <si>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</si>
  <si>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</si>
  <si>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</si>
  <si>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</si>
  <si>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</si>
  <si>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</si>
  <si>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</si>
  <si>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</si>
  <si>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</si>
  <si>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</si>
  <si>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</si>
  <si>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</si>
  <si>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</si>
  <si>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</si>
  <si>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</si>
  <si>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</si>
  <si>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</si>
  <si>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</si>
  <si>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</si>
  <si>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</si>
  <si>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</si>
  <si>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</si>
  <si>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</si>
  <si>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</si>
  <si>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</si>
  <si>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</si>
  <si>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</si>
  <si>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</si>
  <si>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</si>
  <si>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</si>
  <si>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</si>
  <si>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</si>
  <si>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</si>
  <si>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</si>
  <si>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</si>
  <si>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</si>
  <si>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</si>
  <si>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</si>
  <si>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</si>
  <si>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</si>
  <si>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</si>
  <si>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</si>
  <si>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</si>
  <si>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</si>
  <si>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</si>
  <si>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</si>
  <si>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</si>
  <si>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</si>
  <si>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</si>
  <si>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</si>
  <si>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</si>
  <si>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</si>
  <si>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</si>
  <si>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</si>
  <si>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</si>
  <si>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</si>
  <si>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</si>
  <si>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</si>
  <si>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</si>
  <si>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</si>
  <si>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</si>
  <si>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</si>
  <si>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</si>
  <si>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</si>
  <si>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</si>
  <si>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</si>
  <si>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</si>
  <si>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</si>
  <si>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</si>
  <si>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</si>
  <si>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</si>
  <si>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</si>
  <si>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</si>
  <si>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</si>
  <si>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</si>
  <si>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</si>
  <si>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</si>
  <si>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</si>
  <si>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</si>
  <si>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</si>
  <si>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</si>
  <si>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</si>
  <si>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</si>
  <si>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</si>
  <si>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</si>
  <si>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</si>
  <si>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</si>
  <si>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</si>
  <si>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</si>
  <si>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</si>
  <si>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</si>
  <si>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</si>
  <si>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</si>
  <si>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</si>
  <si>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</si>
  <si>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</si>
  <si>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</si>
  <si>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</si>
  <si>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</si>
  <si>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</si>
  <si>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</si>
  <si>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</si>
  <si>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</si>
  <si>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</si>
  <si>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</si>
  <si>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</si>
  <si>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</si>
  <si>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</si>
  <si>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</si>
  <si>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</si>
  <si>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</si>
  <si>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</si>
  <si>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</si>
  <si>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</si>
  <si>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</si>
  <si>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</si>
  <si>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</si>
  <si>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</si>
  <si>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</si>
  <si>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</si>
  <si>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</si>
  <si>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</si>
  <si>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</si>
  <si>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</si>
  <si>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</si>
  <si>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</si>
  <si>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</si>
  <si>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</si>
  <si>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</si>
  <si>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</si>
  <si>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</si>
  <si>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</si>
  <si>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</si>
  <si>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</si>
  <si>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</si>
  <si>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</si>
  <si>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</si>
  <si>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</si>
  <si>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</si>
  <si>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</si>
  <si>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</si>
  <si>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</si>
  <si>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</si>
  <si>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</si>
  <si>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</si>
  <si>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</si>
  <si>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</si>
  <si>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</si>
  <si>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</si>
  <si>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</si>
  <si>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</si>
  <si>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</si>
  <si>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</si>
  <si>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</si>
  <si>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</si>
  <si>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</si>
  <si>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</si>
  <si>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</si>
  <si>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</si>
  <si>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</si>
  <si>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</si>
  <si>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</si>
  <si>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</si>
  <si>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</si>
  <si>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</si>
  <si>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</si>
  <si>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</si>
  <si>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</si>
  <si>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</si>
  <si>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</si>
  <si>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</si>
  <si>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</si>
  <si>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</si>
  <si>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</si>
  <si>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</si>
  <si>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</si>
  <si>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</si>
  <si>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</si>
  <si>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</si>
  <si>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</si>
  <si>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</si>
  <si>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</si>
  <si>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</si>
  <si>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</si>
  <si>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</si>
  <si>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</si>
  <si>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</si>
  <si>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</si>
  <si>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</si>
  <si>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</si>
  <si>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</si>
  <si>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</si>
  <si>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</si>
  <si>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</si>
  <si>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</si>
  <si>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</si>
  <si>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</si>
  <si>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</si>
  <si>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</si>
  <si>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</si>
  <si>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</si>
  <si>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</si>
  <si>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</si>
  <si>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</si>
  <si>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</si>
  <si>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</si>
  <si>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</si>
  <si>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</si>
  <si>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</si>
  <si>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</si>
  <si>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</si>
  <si>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</si>
  <si>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</si>
  <si>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</si>
  <si>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</si>
  <si>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</si>
  <si>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</si>
  <si>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</si>
  <si>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</si>
  <si>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</si>
  <si>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</si>
  <si>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</si>
  <si>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</si>
  <si>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</si>
  <si>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</si>
  <si>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</si>
  <si>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</si>
  <si>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</si>
  <si>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</si>
  <si>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</si>
  <si>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</si>
  <si>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</si>
  <si>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</si>
  <si>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</si>
  <si>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</si>
  <si>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</si>
  <si>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</si>
  <si>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</si>
  <si>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</si>
  <si>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</si>
  <si>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</si>
  <si>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</si>
  <si>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</si>
  <si>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</si>
  <si>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</si>
  <si>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</si>
  <si>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</si>
  <si>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</si>
  <si>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</si>
  <si>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</si>
  <si>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</si>
  <si>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</si>
  <si>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</si>
  <si>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</si>
  <si>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</si>
  <si>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</si>
  <si>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</si>
  <si>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</si>
  <si>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</si>
  <si>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</si>
  <si>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</si>
  <si>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</si>
  <si>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</si>
  <si>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</si>
  <si>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</si>
  <si>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</si>
  <si>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</si>
  <si>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</si>
  <si>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</si>
  <si>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</si>
  <si>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</si>
  <si>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</si>
  <si>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</si>
  <si>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</si>
  <si>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</si>
  <si>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</si>
  <si>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</si>
  <si>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</si>
  <si>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</si>
  <si>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</si>
  <si>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</si>
  <si>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</si>
  <si>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</si>
  <si>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</si>
  <si>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</si>
  <si>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</si>
  <si>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</si>
  <si>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</si>
  <si>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</si>
  <si>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</si>
  <si>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</si>
  <si>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</si>
  <si>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</si>
  <si>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</si>
  <si>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</si>
  <si>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</si>
  <si>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</si>
  <si>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</si>
  <si>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</si>
  <si>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</si>
  <si>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</si>
  <si>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</si>
  <si>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</si>
  <si>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</si>
  <si>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</si>
  <si>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</si>
  <si>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</si>
  <si>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</si>
  <si>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</si>
  <si>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</si>
  <si>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</si>
  <si>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</si>
  <si>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</si>
  <si>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</si>
  <si>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</si>
  <si>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</si>
  <si>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</si>
  <si>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</si>
  <si>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</si>
  <si>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</si>
  <si>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</si>
  <si>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</si>
  <si>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</si>
  <si>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</si>
  <si>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</si>
  <si>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</si>
  <si>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</si>
  <si>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</si>
  <si>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</si>
  <si>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</si>
  <si>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</si>
  <si>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</si>
  <si>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</si>
  <si>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</si>
  <si>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</si>
  <si>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</si>
  <si>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</si>
  <si>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</si>
  <si>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</si>
  <si>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</si>
  <si>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</si>
  <si>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</si>
  <si>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</si>
  <si>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</si>
  <si>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</si>
  <si>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</si>
  <si>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</si>
  <si>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</si>
  <si>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</si>
  <si>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</si>
  <si>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</si>
  <si>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</si>
  <si>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</si>
  <si>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</si>
  <si>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</si>
  <si>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</si>
  <si>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</si>
  <si>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</si>
  <si>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</si>
  <si>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</si>
  <si>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</si>
  <si>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</si>
  <si>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</si>
  <si>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</si>
  <si>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</si>
  <si>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</si>
  <si>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</si>
  <si>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</si>
  <si>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</si>
  <si>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</si>
  <si>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</si>
  <si>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</si>
  <si>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</si>
  <si>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</si>
  <si>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</si>
  <si>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</si>
  <si>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</si>
  <si>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</si>
  <si>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</si>
  <si>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</si>
  <si>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</si>
  <si>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</si>
  <si>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</si>
  <si>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</si>
  <si>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</si>
  <si>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</si>
  <si>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</si>
  <si>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</si>
  <si>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</si>
  <si>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</si>
  <si>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</si>
  <si>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</si>
  <si>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</si>
  <si>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</si>
  <si>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</si>
  <si>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</si>
  <si>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</si>
  <si>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</si>
  <si>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</si>
  <si>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</si>
  <si>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</si>
  <si>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</si>
  <si>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</si>
  <si>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</si>
  <si>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</si>
  <si>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</si>
  <si>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</si>
  <si>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</si>
  <si>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</si>
  <si>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</si>
  <si>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</si>
  <si>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</si>
  <si>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</si>
  <si>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</si>
  <si>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</si>
  <si>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</si>
  <si>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</si>
  <si>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</si>
  <si>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</si>
  <si>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</si>
  <si>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</si>
  <si>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</si>
  <si>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</si>
  <si>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</si>
  <si>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</si>
  <si>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</si>
  <si>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</si>
  <si>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</si>
  <si>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</si>
  <si>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</si>
  <si>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</si>
  <si>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</si>
  <si>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</si>
  <si>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</si>
  <si>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</si>
  <si>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</si>
  <si>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</si>
  <si>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</si>
  <si>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</si>
  <si>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</si>
  <si>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</si>
  <si>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</si>
  <si>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</si>
  <si>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</si>
  <si>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</si>
  <si>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</si>
  <si>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</si>
  <si>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</si>
  <si>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</si>
  <si>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</si>
  <si>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</si>
  <si>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</si>
  <si>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</si>
  <si>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</si>
  <si>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</si>
  <si>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</si>
  <si>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</si>
  <si>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</si>
  <si>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</si>
  <si>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</si>
  <si>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</si>
  <si>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</si>
  <si>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</si>
  <si>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</si>
  <si>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</si>
  <si>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</si>
  <si>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</si>
  <si>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</si>
  <si>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</si>
  <si>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</si>
  <si>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</si>
  <si>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</si>
  <si>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</si>
  <si>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</si>
  <si>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</si>
  <si>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</si>
  <si>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</si>
  <si>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</si>
  <si>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</si>
  <si>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</si>
  <si>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</si>
  <si>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</si>
  <si>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</si>
  <si>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</si>
  <si>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</si>
  <si>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</si>
  <si>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</si>
  <si>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</si>
  <si>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</si>
  <si>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</si>
  <si>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</si>
  <si>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</si>
  <si>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</si>
  <si>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</si>
  <si>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</si>
  <si>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</si>
  <si>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</si>
  <si>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</si>
  <si>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</si>
  <si>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</si>
  <si>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</si>
  <si>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</si>
  <si>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</si>
  <si>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</si>
  <si>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</si>
  <si>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</si>
  <si>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</si>
  <si>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</si>
  <si>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</si>
  <si>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</si>
  <si>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</si>
  <si>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</si>
  <si>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</si>
  <si>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</si>
  <si>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</si>
  <si>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</si>
  <si>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</si>
  <si>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</si>
  <si>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</si>
  <si>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</si>
  <si>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</si>
  <si>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</si>
  <si>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</si>
  <si>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</si>
  <si>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</si>
  <si>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</si>
  <si>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</si>
  <si>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</si>
  <si>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</si>
  <si>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</si>
  <si>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</si>
  <si>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</si>
  <si>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</si>
  <si>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</si>
  <si>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</si>
  <si>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</si>
  <si>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</si>
  <si>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</si>
  <si>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</si>
  <si>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</si>
  <si>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</si>
  <si>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</si>
  <si>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</si>
  <si>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</si>
  <si>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</si>
  <si>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</si>
  <si>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</si>
  <si>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</si>
  <si>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</si>
  <si>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</si>
  <si>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</si>
  <si>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</si>
  <si>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</si>
  <si>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</si>
  <si>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</si>
  <si>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</si>
  <si>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</si>
  <si>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</si>
  <si>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</si>
  <si>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</si>
  <si>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</si>
  <si>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</si>
  <si>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</si>
  <si>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</si>
  <si>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</si>
  <si>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</si>
  <si>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</si>
  <si>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</si>
  <si>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</si>
  <si>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</si>
  <si>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</si>
  <si>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</si>
  <si>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</si>
  <si>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</si>
  <si>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</si>
  <si>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</si>
  <si>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</si>
  <si>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</si>
  <si>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</si>
  <si>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</si>
  <si>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</si>
  <si>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</si>
  <si>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</si>
  <si>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</si>
  <si>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</si>
  <si>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</si>
  <si>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</si>
  <si>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</si>
  <si>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</si>
  <si>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</si>
  <si>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</si>
  <si>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</si>
  <si>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</si>
  <si>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</si>
  <si>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</si>
  <si>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</si>
  <si>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</si>
  <si>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</si>
  <si>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</si>
  <si>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</si>
  <si>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</si>
  <si>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</si>
  <si>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</si>
  <si>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</si>
  <si>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</si>
  <si>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</si>
  <si>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</si>
  <si>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</si>
  <si>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</si>
  <si>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</si>
  <si>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</si>
  <si>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</si>
  <si>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</si>
  <si>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</si>
  <si>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</si>
  <si>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</si>
  <si>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</si>
  <si>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</si>
  <si>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</si>
  <si>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</si>
  <si>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</si>
  <si>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</si>
  <si>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</si>
  <si>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</si>
  <si>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</si>
  <si>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</si>
  <si>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</si>
  <si>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</si>
  <si>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</si>
  <si>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</si>
  <si>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</si>
  <si>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</si>
  <si>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</si>
  <si>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</si>
  <si>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</si>
  <si>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</si>
  <si>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</si>
  <si>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</si>
  <si>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</si>
  <si>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</si>
  <si>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</si>
  <si>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</si>
  <si>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</si>
  <si>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</si>
  <si>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</si>
  <si>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</si>
  <si>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</si>
  <si>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</si>
  <si>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</si>
  <si>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</si>
  <si>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</si>
  <si>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</si>
  <si>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</si>
  <si>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</si>
  <si>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</si>
  <si>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</si>
  <si>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</si>
  <si>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</si>
  <si>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</si>
  <si>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</si>
  <si>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</si>
  <si>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</si>
  <si>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</si>
  <si>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</si>
  <si>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</si>
  <si>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</si>
  <si>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</si>
  <si>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</si>
  <si>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</si>
  <si>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</si>
  <si>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</si>
  <si>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</si>
  <si>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</si>
  <si>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</si>
  <si>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</si>
  <si>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</si>
  <si>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</si>
  <si>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</si>
  <si>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</si>
  <si>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</si>
  <si>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</si>
  <si>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</si>
  <si>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</si>
  <si>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</si>
  <si>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</si>
  <si>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</si>
  <si>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</si>
  <si>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</si>
  <si>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</si>
  <si>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</si>
  <si>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</si>
  <si>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</si>
  <si>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</si>
  <si>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</si>
  <si>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</si>
  <si>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</si>
  <si>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</si>
  <si>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</si>
  <si>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</si>
  <si>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</si>
  <si>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</si>
  <si>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</si>
  <si>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</si>
  <si>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</si>
  <si>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</si>
  <si>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</si>
  <si>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</si>
  <si>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</si>
  <si>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</si>
  <si>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</si>
  <si>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</si>
  <si>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</si>
  <si>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</si>
  <si>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</si>
  <si>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</si>
  <si>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</si>
  <si>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</si>
  <si>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</si>
  <si>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</si>
  <si>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</si>
  <si>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</si>
  <si>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</si>
  <si>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</si>
  <si>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</si>
  <si>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</si>
  <si>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</si>
  <si>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</si>
  <si>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</si>
  <si>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</si>
  <si>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</si>
  <si>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</si>
  <si>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</si>
  <si>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</si>
  <si>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</si>
  <si>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</si>
  <si>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</si>
  <si>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</si>
  <si>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</si>
  <si>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</si>
  <si>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</si>
  <si>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</si>
  <si>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</si>
  <si>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</si>
  <si>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</si>
  <si>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</si>
  <si>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</si>
  <si>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</si>
  <si>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</si>
  <si>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</si>
  <si>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</si>
  <si>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</si>
  <si>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</si>
  <si>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</si>
  <si>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</si>
  <si>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</si>
  <si>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</si>
  <si>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</si>
  <si>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</si>
  <si>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</si>
  <si>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</si>
  <si>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</si>
  <si>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</si>
  <si>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</si>
  <si>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</si>
  <si>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</si>
  <si>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</si>
  <si>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</si>
  <si>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</si>
  <si>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</si>
  <si>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</si>
  <si>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</si>
  <si>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</si>
  <si>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</si>
  <si>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</si>
  <si>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</si>
  <si>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</si>
  <si>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</si>
  <si>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</si>
  <si>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</si>
  <si>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</si>
  <si>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</si>
  <si>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</si>
  <si>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</si>
  <si>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</si>
  <si>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</si>
  <si>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</si>
  <si>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</si>
  <si>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</si>
  <si>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</si>
  <si>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</si>
  <si>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</si>
  <si>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</si>
  <si>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</si>
  <si>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</si>
  <si>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</si>
  <si>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</si>
  <si>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</si>
  <si>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</si>
  <si>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</si>
  <si>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</si>
  <si>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</si>
  <si>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</si>
  <si>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</si>
  <si>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</si>
  <si>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</si>
  <si>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</si>
  <si>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</si>
  <si>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</si>
  <si>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</si>
  <si>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</si>
  <si>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</si>
  <si>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</si>
  <si>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</si>
  <si>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</si>
  <si>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</si>
  <si>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</si>
  <si>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</si>
  <si>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</si>
  <si>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</si>
  <si>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</si>
  <si>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</si>
  <si>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</si>
  <si>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</si>
  <si>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</si>
  <si>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</si>
  <si>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</si>
  <si>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</si>
  <si>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</si>
  <si>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</si>
  <si>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</si>
  <si>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</si>
  <si>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</si>
  <si>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</si>
  <si>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</si>
  <si>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</si>
  <si>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</si>
  <si>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</si>
  <si>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</si>
  <si>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</si>
  <si>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</si>
  <si>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</si>
  <si>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</si>
  <si>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</si>
  <si>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</si>
  <si>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</si>
  <si>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</si>
  <si>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</si>
  <si>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</si>
  <si>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</si>
  <si>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</si>
  <si>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</si>
  <si>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</si>
  <si>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</si>
  <si>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</si>
  <si>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</si>
  <si>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</si>
  <si>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</si>
  <si>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</si>
  <si>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</si>
  <si>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</si>
  <si>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Job Role</t>
  </si>
  <si>
    <t>Mental Health Condition</t>
  </si>
  <si>
    <t>Stress Level</t>
  </si>
  <si>
    <t>Work Life Balance Rating</t>
  </si>
  <si>
    <t>Sleep Quality</t>
  </si>
  <si>
    <t>Physical Activity</t>
  </si>
  <si>
    <t>Social Isolation Rating</t>
  </si>
  <si>
    <t>Productivity Change</t>
  </si>
  <si>
    <t>Satisfaction with Remote Work</t>
  </si>
  <si>
    <t>Access to Mental Health Resources</t>
  </si>
  <si>
    <t>Company Support for Remote Work</t>
  </si>
  <si>
    <t>Years of Experience</t>
  </si>
  <si>
    <t>Hours Worked Per Week</t>
  </si>
  <si>
    <t>Number of Virtual Meetings</t>
  </si>
  <si>
    <t>Employee ID</t>
  </si>
  <si>
    <t>Work Location</t>
  </si>
  <si>
    <t xml:space="preserve">Work Location </t>
  </si>
  <si>
    <t>Grand Total</t>
  </si>
  <si>
    <t/>
  </si>
  <si>
    <t>Count of Employee ID</t>
  </si>
  <si>
    <t>Age Group</t>
  </si>
  <si>
    <t>20-29</t>
  </si>
  <si>
    <t>30-39</t>
  </si>
  <si>
    <t>40-49</t>
  </si>
  <si>
    <t>50+</t>
  </si>
  <si>
    <t>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</si>
</sst>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9" fontId="5" fillId="2" borderId="0" xfId="0" applyNumberFormat="1" applyFont="1" applyFill="1"/>
    <xf numFmtId="2" fontId="5" fillId="2" borderId="0" xfId="0" applyNumberFormat="1" applyFont="1" applyFill="1"/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Based on Mental Helath.xlsx]PivotTable!PivotTable1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Based on Age &amp;Gender</a:t>
            </a:r>
          </a:p>
        </c:rich>
      </c:tx>
      <c:layout>
        <c:manualLayout>
          <c:xMode val="edge"/>
          <c:yMode val="edge"/>
          <c:x val="7.5683674010445665E-2"/>
          <c:y val="5.1067780872794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PivotTable!$B$5:$B$11</c:f>
              <c:numCache>
                <c:formatCode>General</c:formatCode>
                <c:ptCount val="6"/>
                <c:pt idx="0">
                  <c:v>49</c:v>
                </c:pt>
                <c:pt idx="1">
                  <c:v>42</c:v>
                </c:pt>
                <c:pt idx="2">
                  <c:v>42</c:v>
                </c:pt>
                <c:pt idx="3">
                  <c:v>37</c:v>
                </c:pt>
                <c:pt idx="4">
                  <c:v>42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4-47FB-8281-8BED59B53B64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PivotTable!$C$5:$C$11</c:f>
              <c:numCache>
                <c:formatCode>General</c:formatCode>
                <c:ptCount val="6"/>
                <c:pt idx="0">
                  <c:v>44</c:v>
                </c:pt>
                <c:pt idx="1">
                  <c:v>50</c:v>
                </c:pt>
                <c:pt idx="2">
                  <c:v>37</c:v>
                </c:pt>
                <c:pt idx="3">
                  <c:v>39</c:v>
                </c:pt>
                <c:pt idx="4">
                  <c:v>50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4-47FB-8281-8BED59B53B64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PivotTable!$D$5:$D$11</c:f>
              <c:numCache>
                <c:formatCode>General</c:formatCode>
                <c:ptCount val="6"/>
                <c:pt idx="0">
                  <c:v>35</c:v>
                </c:pt>
                <c:pt idx="1">
                  <c:v>38</c:v>
                </c:pt>
                <c:pt idx="2">
                  <c:v>44</c:v>
                </c:pt>
                <c:pt idx="3">
                  <c:v>36</c:v>
                </c:pt>
                <c:pt idx="4">
                  <c:v>30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4-47FB-8281-8BED59B53B64}"/>
            </c:ext>
          </c:extLst>
        </c:ser>
        <c:ser>
          <c:idx val="3"/>
          <c:order val="3"/>
          <c:tx>
            <c:strRef>
              <c:f>PivotTable!$E$3:$E$4</c:f>
              <c:strCache>
                <c:ptCount val="1"/>
                <c:pt idx="0">
                  <c:v>Prefer not to say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PivotTable!$E$5:$E$11</c:f>
              <c:numCache>
                <c:formatCode>General</c:formatCode>
                <c:ptCount val="6"/>
                <c:pt idx="0">
                  <c:v>41</c:v>
                </c:pt>
                <c:pt idx="1">
                  <c:v>43</c:v>
                </c:pt>
                <c:pt idx="2">
                  <c:v>50</c:v>
                </c:pt>
                <c:pt idx="3">
                  <c:v>45</c:v>
                </c:pt>
                <c:pt idx="4">
                  <c:v>46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4-47FB-8281-8BED59B53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173584"/>
        <c:axId val="529336856"/>
      </c:barChart>
      <c:catAx>
        <c:axId val="5281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36856"/>
        <c:crosses val="autoZero"/>
        <c:auto val="1"/>
        <c:lblAlgn val="ctr"/>
        <c:lblOffset val="100"/>
        <c:noMultiLvlLbl val="0"/>
      </c:catAx>
      <c:valAx>
        <c:axId val="52933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1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[Impact Of Remote work Based on Mental Helath.xlsx]PivotTable!PivotTable6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760958681711175"/>
          <c:y val="0.32130178743479854"/>
          <c:w val="0.65838271504721702"/>
          <c:h val="0.4322585467955745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PivotTable!$H$4:$H$8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PivotTable!$I$4:$I$8</c:f>
              <c:numCache>
                <c:formatCode>General</c:formatCode>
                <c:ptCount val="4"/>
                <c:pt idx="0">
                  <c:v>183</c:v>
                </c:pt>
                <c:pt idx="1">
                  <c:v>244</c:v>
                </c:pt>
                <c:pt idx="2">
                  <c:v>285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7-4B00-B74F-5670A16A1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22143840"/>
        <c:axId val="522146720"/>
        <c:axId val="0"/>
      </c:bar3DChart>
      <c:catAx>
        <c:axId val="52214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46720"/>
        <c:crosses val="autoZero"/>
        <c:auto val="1"/>
        <c:lblAlgn val="ctr"/>
        <c:lblOffset val="100"/>
        <c:noMultiLvlLbl val="0"/>
      </c:catAx>
      <c:valAx>
        <c:axId val="52214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4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[Impact Of Remote work Based on Mental Helath.xlsx]Quick 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Employee ID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'Quick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'Quick Analysis'!$A$4:$A$9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'Quick Analysis'!$B$4:$B$9</c:f>
              <c:numCache>
                <c:formatCode>General</c:formatCode>
                <c:ptCount val="6"/>
                <c:pt idx="0">
                  <c:v>169</c:v>
                </c:pt>
                <c:pt idx="1">
                  <c:v>173</c:v>
                </c:pt>
                <c:pt idx="2">
                  <c:v>173</c:v>
                </c:pt>
                <c:pt idx="3">
                  <c:v>157</c:v>
                </c:pt>
                <c:pt idx="4">
                  <c:v>168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6-461D-B8A6-FDCA7A6739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15983424"/>
        <c:axId val="515984144"/>
      </c:barChart>
      <c:catAx>
        <c:axId val="5159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84144"/>
        <c:crosses val="autoZero"/>
        <c:auto val="1"/>
        <c:lblAlgn val="ctr"/>
        <c:lblOffset val="100"/>
        <c:noMultiLvlLbl val="0"/>
      </c:catAx>
      <c:valAx>
        <c:axId val="515984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598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144780</xdr:rowOff>
    </xdr:from>
    <xdr:to>
      <xdr:col>4</xdr:col>
      <xdr:colOff>30480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756E1-80EA-AF94-3ED6-3FABCA296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160020</xdr:colOff>
      <xdr:row>11</xdr:row>
      <xdr:rowOff>144780</xdr:rowOff>
    </xdr:from>
    <xdr:to>
      <xdr:col>8</xdr:col>
      <xdr:colOff>129540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4FDF2-06FC-81CC-29F0-238FE0B14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60960</xdr:rowOff>
    </xdr:from>
    <xdr:to>
      <xdr:col>2</xdr:col>
      <xdr:colOff>182880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04D97-9C8D-CBE1-63E3-77D754B0B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PC" refreshedDate="46041.442390509263" backgroundQuery="1" createdVersion="8" refreshedVersion="8" minRefreshableVersion="3" recordCount="0" supportSubquery="1" supportAdvancedDrill="1" xr:uid="{D0F5A6EE-A5E3-48C6-ACCB-178CBA1B17DF}">
  <cacheSource type="external" connectionId="1"/>
  <cacheFields count="3">
    <cacheField name="[Measures].[Count of Employee ID]" caption="Count of Employee ID" numFmtId="0" hierarchy="9" level="32767"/>
    <cacheField name="[Range].[Region].[Region]" caption="Region" numFmtId="0" hierarchy="3" level="1">
      <sharedItems count="6">
        <s v="Africa"/>
        <s v="Asia"/>
        <s v="Europe"/>
        <s v="North America"/>
        <s v="Oceania"/>
        <s v="South America"/>
      </sharedItems>
    </cacheField>
    <cacheField name="[Range].[Gender].[Gender]" caption="Gender" numFmtId="0" hierarchy="2" level="1">
      <sharedItems count="4">
        <s v="Female"/>
        <s v="Male"/>
        <s v="Non-binary"/>
        <s v="Prefer not to say"/>
      </sharedItems>
    </cacheField>
  </cacheFields>
  <cacheHierarchies count="10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Job Role]" caption="Job Role" attribute="1" defaultMemberUniqueName="[Range].[Job Role].[All]" allUniqueName="[Range].[Job Rol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Job Role]" caption="Count of Job Rol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41.461406481481" createdVersion="8" refreshedVersion="8" minRefreshableVersion="3" recordCount="1000" xr:uid="{37224071-3C4D-47B3-9931-405B769C0500}">
  <cacheSource type="worksheet">
    <worksheetSource ref="A1:F1001" sheet="Employee Details"/>
  </cacheSource>
  <cacheFields count="6">
    <cacheField name="Employee ID" numFmtId="0">
      <sharedItems/>
    </cacheField>
    <cacheField name="Age" numFmtId="0">
      <sharedItems containsSemiMixedTypes="0" containsString="0" containsNumber="1" containsInteger="1" minValue="22" maxValue="60"/>
    </cacheField>
    <cacheField name="Age Group" numFmtId="0">
      <sharedItems count="4">
        <s v="30-39"/>
        <s v="40-49"/>
        <s v="50+"/>
        <s v="20-29"/>
      </sharedItems>
    </cacheField>
    <cacheField name="Gender" numFmtId="0">
      <sharedItems/>
    </cacheField>
    <cacheField name="Region" numFmtId="0">
      <sharedItems/>
    </cacheField>
    <cacheField name="Job Ro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41.469080324074" createdVersion="8" refreshedVersion="8" minRefreshableVersion="3" recordCount="1000" xr:uid="{720299F8-66A5-4D02-BEEF-FEE7DF83352D}">
  <cacheSource type="worksheet">
    <worksheetSource ref="A1:F1001" sheet="Work Details"/>
  </cacheSource>
  <cacheFields count="6">
    <cacheField name="Employee ID" numFmtId="0">
      <sharedItems/>
    </cacheField>
    <cacheField name="Industry" numFmtId="0">
      <sharedItems/>
    </cacheField>
    <cacheField name="Work Location " numFmtId="0">
      <sharedItems/>
    </cacheField>
    <cacheField name="Years of Experience" numFmtId="0">
      <sharedItems containsSemiMixedTypes="0" containsString="0" containsNumber="1" containsInteger="1" minValue="1" maxValue="35"/>
    </cacheField>
    <cacheField name="Hours Worked Per Week" numFmtId="0">
      <sharedItems containsSemiMixedTypes="0" containsString="0" containsNumber="1" containsInteger="1" minValue="20" maxValue="60"/>
    </cacheField>
    <cacheField name="Number of Virtual Meetings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41.471421064816" createdVersion="8" refreshedVersion="8" minRefreshableVersion="3" recordCount="1000" xr:uid="{BC386A4C-5436-4ADF-9742-FAF0BE7DE553}">
  <cacheSource type="worksheet">
    <worksheetSource ref="A1:T1001" sheet="Remote work mental helath"/>
  </cacheSource>
  <cacheFields count="20">
    <cacheField name="Employee ID" numFmtId="0">
      <sharedItems/>
    </cacheField>
    <cacheField name="Age" numFmtId="0">
      <sharedItems containsSemiMixedTypes="0" containsString="0" containsNumber="1" containsInteger="1" minValue="22" maxValue="60"/>
    </cacheField>
    <cacheField name="Gender" numFmtId="0">
      <sharedItems/>
    </cacheField>
    <cacheField name="Job Role" numFmtId="0">
      <sharedItems/>
    </cacheField>
    <cacheField name="Industry" numFmtId="0">
      <sharedItems/>
    </cacheField>
    <cacheField name="Years of Experience" numFmtId="0">
      <sharedItems containsSemiMixedTypes="0" containsString="0" containsNumber="1" containsInteger="1" minValue="1" maxValue="35"/>
    </cacheField>
    <cacheField name="Work Location" numFmtId="0">
      <sharedItems/>
    </cacheField>
    <cacheField name="Hours Worked Per Week" numFmtId="0">
      <sharedItems containsSemiMixedTypes="0" containsString="0" containsNumber="1" containsInteger="1" minValue="20" maxValue="60"/>
    </cacheField>
    <cacheField name="Number of Virtual Meetings" numFmtId="0">
      <sharedItems containsSemiMixedTypes="0" containsString="0" containsNumber="1" containsInteger="1" minValue="0" maxValue="15"/>
    </cacheField>
    <cacheField name="Work Life Balance Rating" numFmtId="0">
      <sharedItems containsSemiMixedTypes="0" containsString="0" containsNumber="1" containsInteger="1" minValue="1" maxValue="5"/>
    </cacheField>
    <cacheField name="Stress Level" numFmtId="0">
      <sharedItems/>
    </cacheField>
    <cacheField name="Mental Health Condition" numFmtId="0">
      <sharedItems/>
    </cacheField>
    <cacheField name="Access to Mental Health Resources" numFmtId="0">
      <sharedItems/>
    </cacheField>
    <cacheField name="Productivity Change" numFmtId="0">
      <sharedItems/>
    </cacheField>
    <cacheField name="Social Isolation Rating" numFmtId="0">
      <sharedItems containsSemiMixedTypes="0" containsString="0" containsNumber="1" containsInteger="1" minValue="1" maxValue="5"/>
    </cacheField>
    <cacheField name="Satisfaction with Remote Work" numFmtId="0">
      <sharedItems/>
    </cacheField>
    <cacheField name="Company Support for Remote Work" numFmtId="0">
      <sharedItems containsSemiMixedTypes="0" containsString="0" containsNumber="1" containsInteger="1" minValue="1" maxValue="5"/>
    </cacheField>
    <cacheField name="Physical Activity" numFmtId="0">
      <sharedItems/>
    </cacheField>
    <cacheField name="Sleep Quality" numFmtId="0">
      <sharedItems/>
    </cacheField>
    <cacheField name="Region" numFmtId="0">
      <sharedItems count="6">
        <s v="Europe"/>
        <s v="Asia"/>
        <s v="North America"/>
        <s v="South America"/>
        <s v="Oceania"/>
        <s v="Af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n v="32"/>
    <x v="0"/>
    <s v="Non-binary"/>
    <s v="Europe"/>
    <s v="HR"/>
  </r>
  <r>
    <s v="EMP0002"/>
    <n v="40"/>
    <x v="1"/>
    <s v="Female"/>
    <s v="Asia"/>
    <s v="Data Scientist"/>
  </r>
  <r>
    <s v="EMP0003"/>
    <n v="59"/>
    <x v="2"/>
    <s v="Non-binary"/>
    <s v="North America"/>
    <s v="Software Engineer"/>
  </r>
  <r>
    <s v="EMP0004"/>
    <n v="27"/>
    <x v="3"/>
    <s v="Male"/>
    <s v="Europe"/>
    <s v="Software Engineer"/>
  </r>
  <r>
    <s v="EMP0005"/>
    <n v="49"/>
    <x v="1"/>
    <s v="Male"/>
    <s v="North America"/>
    <s v="Sales"/>
  </r>
  <r>
    <s v="EMP0006"/>
    <n v="59"/>
    <x v="2"/>
    <s v="Non-binary"/>
    <s v="South America"/>
    <s v="Sales"/>
  </r>
  <r>
    <s v="EMP0007"/>
    <n v="31"/>
    <x v="0"/>
    <s v="Prefer not to say"/>
    <s v="Asia"/>
    <s v="Sales"/>
  </r>
  <r>
    <s v="EMP0008"/>
    <n v="42"/>
    <x v="1"/>
    <s v="Non-binary"/>
    <s v="North America"/>
    <s v="Data Scientist"/>
  </r>
  <r>
    <s v="EMP0009"/>
    <n v="56"/>
    <x v="2"/>
    <s v="Prefer not to say"/>
    <s v="Europe"/>
    <s v="Data Scientist"/>
  </r>
  <r>
    <s v="EMP0010"/>
    <n v="30"/>
    <x v="0"/>
    <s v="Female"/>
    <s v="North America"/>
    <s v="HR"/>
  </r>
  <r>
    <s v="EMP0011"/>
    <n v="33"/>
    <x v="0"/>
    <s v="Non-binary"/>
    <s v="Oceania"/>
    <s v="Software Engineer"/>
  </r>
  <r>
    <s v="EMP0012"/>
    <n v="47"/>
    <x v="1"/>
    <s v="Female"/>
    <s v="Africa"/>
    <s v="Marketing"/>
  </r>
  <r>
    <s v="EMP0013"/>
    <n v="40"/>
    <x v="1"/>
    <s v="Female"/>
    <s v="Europe"/>
    <s v="Marketing"/>
  </r>
  <r>
    <s v="EMP0014"/>
    <n v="51"/>
    <x v="2"/>
    <s v="Non-binary"/>
    <s v="North America"/>
    <s v="Designer"/>
  </r>
  <r>
    <s v="EMP0015"/>
    <n v="36"/>
    <x v="0"/>
    <s v="Prefer not to say"/>
    <s v="Oceania"/>
    <s v="Project Manager"/>
  </r>
  <r>
    <s v="EMP0016"/>
    <n v="56"/>
    <x v="2"/>
    <s v="Female"/>
    <s v="Africa"/>
    <s v="Sales"/>
  </r>
  <r>
    <s v="EMP0017"/>
    <n v="33"/>
    <x v="0"/>
    <s v="Prefer not to say"/>
    <s v="Africa"/>
    <s v="HR"/>
  </r>
  <r>
    <s v="EMP0018"/>
    <n v="45"/>
    <x v="1"/>
    <s v="Non-binary"/>
    <s v="Europe"/>
    <s v="Data Scientist"/>
  </r>
  <r>
    <s v="EMP0019"/>
    <n v="49"/>
    <x v="1"/>
    <s v="Non-binary"/>
    <s v="Oceania"/>
    <s v="Software Engineer"/>
  </r>
  <r>
    <s v="EMP0020"/>
    <n v="59"/>
    <x v="2"/>
    <s v="Male"/>
    <s v="South America"/>
    <s v="Software Engineer"/>
  </r>
  <r>
    <s v="EMP0021"/>
    <n v="26"/>
    <x v="3"/>
    <s v="Female"/>
    <s v="South America"/>
    <s v="Sales"/>
  </r>
  <r>
    <s v="EMP0022"/>
    <n v="26"/>
    <x v="3"/>
    <s v="Non-binary"/>
    <s v="North America"/>
    <s v="Sales"/>
  </r>
  <r>
    <s v="EMP0023"/>
    <n v="43"/>
    <x v="1"/>
    <s v="Prefer not to say"/>
    <s v="Africa"/>
    <s v="Sales"/>
  </r>
  <r>
    <s v="EMP0024"/>
    <n v="53"/>
    <x v="2"/>
    <s v="Non-binary"/>
    <s v="Asia"/>
    <s v="Marketing"/>
  </r>
  <r>
    <s v="EMP0025"/>
    <n v="56"/>
    <x v="2"/>
    <s v="Male"/>
    <s v="North America"/>
    <s v="Sales"/>
  </r>
  <r>
    <s v="EMP0026"/>
    <n v="49"/>
    <x v="1"/>
    <s v="Male"/>
    <s v="South America"/>
    <s v="Project Manager"/>
  </r>
  <r>
    <s v="EMP0027"/>
    <n v="36"/>
    <x v="0"/>
    <s v="Non-binary"/>
    <s v="North America"/>
    <s v="Project Manager"/>
  </r>
  <r>
    <s v="EMP0028"/>
    <n v="53"/>
    <x v="2"/>
    <s v="Female"/>
    <s v="Oceania"/>
    <s v="Project Manager"/>
  </r>
  <r>
    <s v="EMP0029"/>
    <n v="47"/>
    <x v="1"/>
    <s v="Prefer not to say"/>
    <s v="Europe"/>
    <s v="Sales"/>
  </r>
  <r>
    <s v="EMP0030"/>
    <n v="59"/>
    <x v="2"/>
    <s v="Male"/>
    <s v="North America"/>
    <s v="Software Engineer"/>
  </r>
  <r>
    <s v="EMP0031"/>
    <n v="22"/>
    <x v="3"/>
    <s v="Female"/>
    <s v="Asia"/>
    <s v="Data Scientist"/>
  </r>
  <r>
    <s v="EMP0032"/>
    <n v="37"/>
    <x v="0"/>
    <s v="Prefer not to say"/>
    <s v="North America"/>
    <s v="Marketing"/>
  </r>
  <r>
    <s v="EMP0033"/>
    <n v="45"/>
    <x v="1"/>
    <s v="Prefer not to say"/>
    <s v="North America"/>
    <s v="Project Manager"/>
  </r>
  <r>
    <s v="EMP0034"/>
    <n v="48"/>
    <x v="1"/>
    <s v="Male"/>
    <s v="North America"/>
    <s v="Software Engineer"/>
  </r>
  <r>
    <s v="EMP0035"/>
    <n v="36"/>
    <x v="0"/>
    <s v="Male"/>
    <s v="Europe"/>
    <s v="Designer"/>
  </r>
  <r>
    <s v="EMP0036"/>
    <n v="46"/>
    <x v="1"/>
    <s v="Prefer not to say"/>
    <s v="Europe"/>
    <s v="Sales"/>
  </r>
  <r>
    <s v="EMP0037"/>
    <n v="48"/>
    <x v="1"/>
    <s v="Male"/>
    <s v="Asia"/>
    <s v="Sales"/>
  </r>
  <r>
    <s v="EMP0038"/>
    <n v="31"/>
    <x v="0"/>
    <s v="Female"/>
    <s v="Asia"/>
    <s v="Designer"/>
  </r>
  <r>
    <s v="EMP0039"/>
    <n v="24"/>
    <x v="3"/>
    <s v="Non-binary"/>
    <s v="Africa"/>
    <s v="Sales"/>
  </r>
  <r>
    <s v="EMP0040"/>
    <n v="49"/>
    <x v="1"/>
    <s v="Male"/>
    <s v="Asia"/>
    <s v="Marketing"/>
  </r>
  <r>
    <s v="EMP0041"/>
    <n v="30"/>
    <x v="0"/>
    <s v="Non-binary"/>
    <s v="Europe"/>
    <s v="Data Scientist"/>
  </r>
  <r>
    <s v="EMP0042"/>
    <n v="53"/>
    <x v="2"/>
    <s v="Male"/>
    <s v="North America"/>
    <s v="Project Manager"/>
  </r>
  <r>
    <s v="EMP0043"/>
    <n v="54"/>
    <x v="2"/>
    <s v="Prefer not to say"/>
    <s v="Europe"/>
    <s v="Project Manager"/>
  </r>
  <r>
    <s v="EMP0044"/>
    <n v="54"/>
    <x v="2"/>
    <s v="Female"/>
    <s v="Europe"/>
    <s v="Designer"/>
  </r>
  <r>
    <s v="EMP0045"/>
    <n v="57"/>
    <x v="2"/>
    <s v="Prefer not to say"/>
    <s v="South America"/>
    <s v="HR"/>
  </r>
  <r>
    <s v="EMP0046"/>
    <n v="32"/>
    <x v="0"/>
    <s v="Male"/>
    <s v="North America"/>
    <s v="Marketing"/>
  </r>
  <r>
    <s v="EMP0047"/>
    <n v="33"/>
    <x v="0"/>
    <s v="Male"/>
    <s v="South America"/>
    <s v="Data Scientist"/>
  </r>
  <r>
    <s v="EMP0048"/>
    <n v="30"/>
    <x v="0"/>
    <s v="Female"/>
    <s v="Oceania"/>
    <s v="Sales"/>
  </r>
  <r>
    <s v="EMP0049"/>
    <n v="22"/>
    <x v="3"/>
    <s v="Female"/>
    <s v="Africa"/>
    <s v="HR"/>
  </r>
  <r>
    <s v="EMP0050"/>
    <n v="35"/>
    <x v="0"/>
    <s v="Male"/>
    <s v="Europe"/>
    <s v="Project Manager"/>
  </r>
  <r>
    <s v="EMP0051"/>
    <n v="26"/>
    <x v="3"/>
    <s v="Non-binary"/>
    <s v="Europe"/>
    <s v="HR"/>
  </r>
  <r>
    <s v="EMP0052"/>
    <n v="47"/>
    <x v="1"/>
    <s v="Male"/>
    <s v="South America"/>
    <s v="Sales"/>
  </r>
  <r>
    <s v="EMP0053"/>
    <n v="42"/>
    <x v="1"/>
    <s v="Female"/>
    <s v="South America"/>
    <s v="Software Engineer"/>
  </r>
  <r>
    <s v="EMP0054"/>
    <n v="60"/>
    <x v="2"/>
    <s v="Prefer not to say"/>
    <s v="Asia"/>
    <s v="Project Manager"/>
  </r>
  <r>
    <s v="EMP0055"/>
    <n v="26"/>
    <x v="3"/>
    <s v="Female"/>
    <s v="Asia"/>
    <s v="Software Engineer"/>
  </r>
  <r>
    <s v="EMP0056"/>
    <n v="30"/>
    <x v="0"/>
    <s v="Non-binary"/>
    <s v="Africa"/>
    <s v="Project Manager"/>
  </r>
  <r>
    <s v="EMP0057"/>
    <n v="42"/>
    <x v="1"/>
    <s v="Male"/>
    <s v="Asia"/>
    <s v="Software Engineer"/>
  </r>
  <r>
    <s v="EMP0058"/>
    <n v="53"/>
    <x v="2"/>
    <s v="Prefer not to say"/>
    <s v="South America"/>
    <s v="HR"/>
  </r>
  <r>
    <s v="EMP0059"/>
    <n v="26"/>
    <x v="3"/>
    <s v="Prefer not to say"/>
    <s v="Oceania"/>
    <s v="Designer"/>
  </r>
  <r>
    <s v="EMP0060"/>
    <n v="26"/>
    <x v="3"/>
    <s v="Prefer not to say"/>
    <s v="Oceania"/>
    <s v="Data Scientist"/>
  </r>
  <r>
    <s v="EMP0061"/>
    <n v="25"/>
    <x v="3"/>
    <s v="Non-binary"/>
    <s v="Europe"/>
    <s v="Sales"/>
  </r>
  <r>
    <s v="EMP0062"/>
    <n v="33"/>
    <x v="0"/>
    <s v="Female"/>
    <s v="North America"/>
    <s v="Sales"/>
  </r>
  <r>
    <s v="EMP0063"/>
    <n v="25"/>
    <x v="3"/>
    <s v="Non-binary"/>
    <s v="Asia"/>
    <s v="Project Manager"/>
  </r>
  <r>
    <s v="EMP0064"/>
    <n v="22"/>
    <x v="3"/>
    <s v="Female"/>
    <s v="South America"/>
    <s v="Software Engineer"/>
  </r>
  <r>
    <s v="EMP0065"/>
    <n v="60"/>
    <x v="2"/>
    <s v="Prefer not to say"/>
    <s v="Oceania"/>
    <s v="Data Scientist"/>
  </r>
  <r>
    <s v="EMP0066"/>
    <n v="56"/>
    <x v="2"/>
    <s v="Male"/>
    <s v="Europe"/>
    <s v="HR"/>
  </r>
  <r>
    <s v="EMP0067"/>
    <n v="45"/>
    <x v="1"/>
    <s v="Non-binary"/>
    <s v="Oceania"/>
    <s v="Software Engineer"/>
  </r>
  <r>
    <s v="EMP0068"/>
    <n v="60"/>
    <x v="2"/>
    <s v="Female"/>
    <s v="Oceania"/>
    <s v="Marketing"/>
  </r>
  <r>
    <s v="EMP0069"/>
    <n v="32"/>
    <x v="0"/>
    <s v="Female"/>
    <s v="South America"/>
    <s v="Designer"/>
  </r>
  <r>
    <s v="EMP0070"/>
    <n v="25"/>
    <x v="3"/>
    <s v="Female"/>
    <s v="North America"/>
    <s v="Marketing"/>
  </r>
  <r>
    <s v="EMP0071"/>
    <n v="43"/>
    <x v="1"/>
    <s v="Prefer not to say"/>
    <s v="North America"/>
    <s v="Marketing"/>
  </r>
  <r>
    <s v="EMP0072"/>
    <n v="50"/>
    <x v="2"/>
    <s v="Prefer not to say"/>
    <s v="Oceania"/>
    <s v="Designer"/>
  </r>
  <r>
    <s v="EMP0073"/>
    <n v="28"/>
    <x v="3"/>
    <s v="Prefer not to say"/>
    <s v="Africa"/>
    <s v="Designer"/>
  </r>
  <r>
    <s v="EMP0074"/>
    <n v="23"/>
    <x v="3"/>
    <s v="Non-binary"/>
    <s v="Africa"/>
    <s v="Software Engineer"/>
  </r>
  <r>
    <s v="EMP0075"/>
    <n v="38"/>
    <x v="0"/>
    <s v="Prefer not to say"/>
    <s v="Africa"/>
    <s v="Project Manager"/>
  </r>
  <r>
    <s v="EMP0076"/>
    <n v="42"/>
    <x v="1"/>
    <s v="Male"/>
    <s v="Asia"/>
    <s v="Marketing"/>
  </r>
  <r>
    <s v="EMP0077"/>
    <n v="31"/>
    <x v="0"/>
    <s v="Non-binary"/>
    <s v="Europe"/>
    <s v="HR"/>
  </r>
  <r>
    <s v="EMP0078"/>
    <n v="28"/>
    <x v="3"/>
    <s v="Female"/>
    <s v="South America"/>
    <s v="Marketing"/>
  </r>
  <r>
    <s v="EMP0079"/>
    <n v="29"/>
    <x v="3"/>
    <s v="Male"/>
    <s v="South America"/>
    <s v="Data Scientist"/>
  </r>
  <r>
    <s v="EMP0080"/>
    <n v="27"/>
    <x v="3"/>
    <s v="Male"/>
    <s v="Asia"/>
    <s v="Project Manager"/>
  </r>
  <r>
    <s v="EMP0081"/>
    <n v="54"/>
    <x v="2"/>
    <s v="Female"/>
    <s v="Asia"/>
    <s v="Data Scientist"/>
  </r>
  <r>
    <s v="EMP0082"/>
    <n v="42"/>
    <x v="1"/>
    <s v="Non-binary"/>
    <s v="South America"/>
    <s v="Software Engineer"/>
  </r>
  <r>
    <s v="EMP0083"/>
    <n v="58"/>
    <x v="2"/>
    <s v="Prefer not to say"/>
    <s v="North America"/>
    <s v="HR"/>
  </r>
  <r>
    <s v="EMP0084"/>
    <n v="26"/>
    <x v="3"/>
    <s v="Female"/>
    <s v="Europe"/>
    <s v="Project Manager"/>
  </r>
  <r>
    <s v="EMP0085"/>
    <n v="56"/>
    <x v="2"/>
    <s v="Male"/>
    <s v="Oceania"/>
    <s v="Designer"/>
  </r>
  <r>
    <s v="EMP0086"/>
    <n v="50"/>
    <x v="2"/>
    <s v="Male"/>
    <s v="Asia"/>
    <s v="Designer"/>
  </r>
  <r>
    <s v="EMP0087"/>
    <n v="55"/>
    <x v="2"/>
    <s v="Prefer not to say"/>
    <s v="North America"/>
    <s v="Project Manager"/>
  </r>
  <r>
    <s v="EMP0088"/>
    <n v="22"/>
    <x v="3"/>
    <s v="Prefer not to say"/>
    <s v="Africa"/>
    <s v="Data Scientist"/>
  </r>
  <r>
    <s v="EMP0089"/>
    <n v="24"/>
    <x v="3"/>
    <s v="Female"/>
    <s v="North America"/>
    <s v="Designer"/>
  </r>
  <r>
    <s v="EMP0090"/>
    <n v="53"/>
    <x v="2"/>
    <s v="Prefer not to say"/>
    <s v="Oceania"/>
    <s v="Marketing"/>
  </r>
  <r>
    <s v="EMP0091"/>
    <n v="57"/>
    <x v="2"/>
    <s v="Female"/>
    <s v="Africa"/>
    <s v="Data Scientist"/>
  </r>
  <r>
    <s v="EMP0092"/>
    <n v="22"/>
    <x v="3"/>
    <s v="Female"/>
    <s v="South America"/>
    <s v="Software Engineer"/>
  </r>
  <r>
    <s v="EMP0093"/>
    <n v="41"/>
    <x v="1"/>
    <s v="Male"/>
    <s v="Asia"/>
    <s v="Data Scientist"/>
  </r>
  <r>
    <s v="EMP0094"/>
    <n v="46"/>
    <x v="1"/>
    <s v="Non-binary"/>
    <s v="Europe"/>
    <s v="Data Scientist"/>
  </r>
  <r>
    <s v="EMP0095"/>
    <n v="60"/>
    <x v="2"/>
    <s v="Non-binary"/>
    <s v="Africa"/>
    <s v="Project Manager"/>
  </r>
  <r>
    <s v="EMP0096"/>
    <n v="44"/>
    <x v="1"/>
    <s v="Female"/>
    <s v="Asia"/>
    <s v="Project Manager"/>
  </r>
  <r>
    <s v="EMP0097"/>
    <n v="35"/>
    <x v="0"/>
    <s v="Male"/>
    <s v="Africa"/>
    <s v="Data Scientist"/>
  </r>
  <r>
    <s v="EMP0098"/>
    <n v="48"/>
    <x v="1"/>
    <s v="Male"/>
    <s v="South America"/>
    <s v="Designer"/>
  </r>
  <r>
    <s v="EMP0099"/>
    <n v="31"/>
    <x v="0"/>
    <s v="Prefer not to say"/>
    <s v="Asia"/>
    <s v="Data Scientist"/>
  </r>
  <r>
    <s v="EMP0100"/>
    <n v="53"/>
    <x v="2"/>
    <s v="Male"/>
    <s v="Africa"/>
    <s v="Project Manager"/>
  </r>
  <r>
    <s v="EMP0101"/>
    <n v="32"/>
    <x v="0"/>
    <s v="Prefer not to say"/>
    <s v="Asia"/>
    <s v="Designer"/>
  </r>
  <r>
    <s v="EMP0102"/>
    <n v="33"/>
    <x v="0"/>
    <s v="Prefer not to say"/>
    <s v="Africa"/>
    <s v="Sales"/>
  </r>
  <r>
    <s v="EMP0103"/>
    <n v="45"/>
    <x v="1"/>
    <s v="Prefer not to say"/>
    <s v="Africa"/>
    <s v="Sales"/>
  </r>
  <r>
    <s v="EMP0104"/>
    <n v="50"/>
    <x v="2"/>
    <s v="Male"/>
    <s v="Africa"/>
    <s v="Software Engineer"/>
  </r>
  <r>
    <s v="EMP0105"/>
    <n v="41"/>
    <x v="1"/>
    <s v="Female"/>
    <s v="Africa"/>
    <s v="Designer"/>
  </r>
  <r>
    <s v="EMP0106"/>
    <n v="43"/>
    <x v="1"/>
    <s v="Non-binary"/>
    <s v="South America"/>
    <s v="Data Scientist"/>
  </r>
  <r>
    <s v="EMP0107"/>
    <n v="29"/>
    <x v="3"/>
    <s v="Prefer not to say"/>
    <s v="South America"/>
    <s v="HR"/>
  </r>
  <r>
    <s v="EMP0108"/>
    <n v="44"/>
    <x v="1"/>
    <s v="Prefer not to say"/>
    <s v="Europe"/>
    <s v="Software Engineer"/>
  </r>
  <r>
    <s v="EMP0109"/>
    <n v="50"/>
    <x v="2"/>
    <s v="Prefer not to say"/>
    <s v="Oceania"/>
    <s v="Software Engineer"/>
  </r>
  <r>
    <s v="EMP0110"/>
    <n v="36"/>
    <x v="0"/>
    <s v="Male"/>
    <s v="Asia"/>
    <s v="Data Scientist"/>
  </r>
  <r>
    <s v="EMP0111"/>
    <n v="34"/>
    <x v="0"/>
    <s v="Female"/>
    <s v="Africa"/>
    <s v="Data Scientist"/>
  </r>
  <r>
    <s v="EMP0112"/>
    <n v="49"/>
    <x v="1"/>
    <s v="Male"/>
    <s v="Africa"/>
    <s v="HR"/>
  </r>
  <r>
    <s v="EMP0113"/>
    <n v="45"/>
    <x v="1"/>
    <s v="Female"/>
    <s v="Europe"/>
    <s v="Marketing"/>
  </r>
  <r>
    <s v="EMP0114"/>
    <n v="45"/>
    <x v="1"/>
    <s v="Prefer not to say"/>
    <s v="Europe"/>
    <s v="Data Scientist"/>
  </r>
  <r>
    <s v="EMP0115"/>
    <n v="53"/>
    <x v="2"/>
    <s v="Female"/>
    <s v="Oceania"/>
    <s v="Designer"/>
  </r>
  <r>
    <s v="EMP0116"/>
    <n v="29"/>
    <x v="3"/>
    <s v="Male"/>
    <s v="South America"/>
    <s v="Marketing"/>
  </r>
  <r>
    <s v="EMP0117"/>
    <n v="34"/>
    <x v="0"/>
    <s v="Prefer not to say"/>
    <s v="North America"/>
    <s v="Project Manager"/>
  </r>
  <r>
    <s v="EMP0118"/>
    <n v="58"/>
    <x v="2"/>
    <s v="Female"/>
    <s v="Europe"/>
    <s v="Data Scientist"/>
  </r>
  <r>
    <s v="EMP0119"/>
    <n v="38"/>
    <x v="0"/>
    <s v="Female"/>
    <s v="Europe"/>
    <s v="Data Scientist"/>
  </r>
  <r>
    <s v="EMP0120"/>
    <n v="40"/>
    <x v="1"/>
    <s v="Prefer not to say"/>
    <s v="Africa"/>
    <s v="Project Manager"/>
  </r>
  <r>
    <s v="EMP0121"/>
    <n v="45"/>
    <x v="1"/>
    <s v="Prefer not to say"/>
    <s v="South America"/>
    <s v="Project Manager"/>
  </r>
  <r>
    <s v="EMP0122"/>
    <n v="43"/>
    <x v="1"/>
    <s v="Non-binary"/>
    <s v="Europe"/>
    <s v="Marketing"/>
  </r>
  <r>
    <s v="EMP0123"/>
    <n v="50"/>
    <x v="2"/>
    <s v="Male"/>
    <s v="Africa"/>
    <s v="Software Engineer"/>
  </r>
  <r>
    <s v="EMP0124"/>
    <n v="58"/>
    <x v="2"/>
    <s v="Prefer not to say"/>
    <s v="North America"/>
    <s v="Sales"/>
  </r>
  <r>
    <s v="EMP0125"/>
    <n v="42"/>
    <x v="1"/>
    <s v="Non-binary"/>
    <s v="South America"/>
    <s v="HR"/>
  </r>
  <r>
    <s v="EMP0126"/>
    <n v="53"/>
    <x v="2"/>
    <s v="Prefer not to say"/>
    <s v="South America"/>
    <s v="Data Scientist"/>
  </r>
  <r>
    <s v="EMP0127"/>
    <n v="36"/>
    <x v="0"/>
    <s v="Female"/>
    <s v="North America"/>
    <s v="Marketing"/>
  </r>
  <r>
    <s v="EMP0128"/>
    <n v="51"/>
    <x v="2"/>
    <s v="Female"/>
    <s v="Europe"/>
    <s v="Project Manager"/>
  </r>
  <r>
    <s v="EMP0129"/>
    <n v="27"/>
    <x v="3"/>
    <s v="Female"/>
    <s v="Europe"/>
    <s v="Designer"/>
  </r>
  <r>
    <s v="EMP0130"/>
    <n v="22"/>
    <x v="3"/>
    <s v="Female"/>
    <s v="Oceania"/>
    <s v="Sales"/>
  </r>
  <r>
    <s v="EMP0131"/>
    <n v="32"/>
    <x v="0"/>
    <s v="Female"/>
    <s v="Africa"/>
    <s v="Designer"/>
  </r>
  <r>
    <s v="EMP0132"/>
    <n v="32"/>
    <x v="0"/>
    <s v="Female"/>
    <s v="Africa"/>
    <s v="Marketing"/>
  </r>
  <r>
    <s v="EMP0133"/>
    <n v="53"/>
    <x v="2"/>
    <s v="Male"/>
    <s v="South America"/>
    <s v="Marketing"/>
  </r>
  <r>
    <s v="EMP0134"/>
    <n v="26"/>
    <x v="3"/>
    <s v="Non-binary"/>
    <s v="Europe"/>
    <s v="Marketing"/>
  </r>
  <r>
    <s v="EMP0135"/>
    <n v="60"/>
    <x v="2"/>
    <s v="Male"/>
    <s v="Oceania"/>
    <s v="Marketing"/>
  </r>
  <r>
    <s v="EMP0136"/>
    <n v="51"/>
    <x v="2"/>
    <s v="Non-binary"/>
    <s v="Oceania"/>
    <s v="Marketing"/>
  </r>
  <r>
    <s v="EMP0137"/>
    <n v="44"/>
    <x v="1"/>
    <s v="Male"/>
    <s v="South America"/>
    <s v="Data Scientist"/>
  </r>
  <r>
    <s v="EMP0138"/>
    <n v="48"/>
    <x v="1"/>
    <s v="Non-binary"/>
    <s v="Oceania"/>
    <s v="Sales"/>
  </r>
  <r>
    <s v="EMP0139"/>
    <n v="57"/>
    <x v="2"/>
    <s v="Non-binary"/>
    <s v="North America"/>
    <s v="Data Scientist"/>
  </r>
  <r>
    <s v="EMP0140"/>
    <n v="49"/>
    <x v="1"/>
    <s v="Non-binary"/>
    <s v="Asia"/>
    <s v="Project Manager"/>
  </r>
  <r>
    <s v="EMP0141"/>
    <n v="32"/>
    <x v="0"/>
    <s v="Non-binary"/>
    <s v="Africa"/>
    <s v="Project Manager"/>
  </r>
  <r>
    <s v="EMP0142"/>
    <n v="49"/>
    <x v="1"/>
    <s v="Female"/>
    <s v="Asia"/>
    <s v="Project Manager"/>
  </r>
  <r>
    <s v="EMP0143"/>
    <n v="23"/>
    <x v="3"/>
    <s v="Female"/>
    <s v="Europe"/>
    <s v="Designer"/>
  </r>
  <r>
    <s v="EMP0144"/>
    <n v="55"/>
    <x v="2"/>
    <s v="Prefer not to say"/>
    <s v="North America"/>
    <s v="Designer"/>
  </r>
  <r>
    <s v="EMP0145"/>
    <n v="47"/>
    <x v="1"/>
    <s v="Non-binary"/>
    <s v="Asia"/>
    <s v="HR"/>
  </r>
  <r>
    <s v="EMP0146"/>
    <n v="48"/>
    <x v="1"/>
    <s v="Non-binary"/>
    <s v="Europe"/>
    <s v="Marketing"/>
  </r>
  <r>
    <s v="EMP0147"/>
    <n v="36"/>
    <x v="0"/>
    <s v="Prefer not to say"/>
    <s v="Africa"/>
    <s v="Software Engineer"/>
  </r>
  <r>
    <s v="EMP0148"/>
    <n v="45"/>
    <x v="1"/>
    <s v="Male"/>
    <s v="North America"/>
    <s v="Designer"/>
  </r>
  <r>
    <s v="EMP0149"/>
    <n v="41"/>
    <x v="1"/>
    <s v="Female"/>
    <s v="Oceania"/>
    <s v="Designer"/>
  </r>
  <r>
    <s v="EMP0150"/>
    <n v="50"/>
    <x v="2"/>
    <s v="Male"/>
    <s v="Oceania"/>
    <s v="Designer"/>
  </r>
  <r>
    <s v="EMP0151"/>
    <n v="41"/>
    <x v="1"/>
    <s v="Female"/>
    <s v="Oceania"/>
    <s v="Software Engineer"/>
  </r>
  <r>
    <s v="EMP0152"/>
    <n v="57"/>
    <x v="2"/>
    <s v="Female"/>
    <s v="Oceania"/>
    <s v="Designer"/>
  </r>
  <r>
    <s v="EMP0153"/>
    <n v="30"/>
    <x v="0"/>
    <s v="Male"/>
    <s v="Africa"/>
    <s v="Software Engineer"/>
  </r>
  <r>
    <s v="EMP0154"/>
    <n v="23"/>
    <x v="3"/>
    <s v="Female"/>
    <s v="Asia"/>
    <s v="Data Scientist"/>
  </r>
  <r>
    <s v="EMP0155"/>
    <n v="30"/>
    <x v="0"/>
    <s v="Male"/>
    <s v="North America"/>
    <s v="Software Engineer"/>
  </r>
  <r>
    <s v="EMP0156"/>
    <n v="47"/>
    <x v="1"/>
    <s v="Female"/>
    <s v="North America"/>
    <s v="Project Manager"/>
  </r>
  <r>
    <s v="EMP0157"/>
    <n v="33"/>
    <x v="0"/>
    <s v="Prefer not to say"/>
    <s v="South America"/>
    <s v="Project Manager"/>
  </r>
  <r>
    <s v="EMP0158"/>
    <n v="32"/>
    <x v="0"/>
    <s v="Male"/>
    <s v="North America"/>
    <s v="Data Scientist"/>
  </r>
  <r>
    <s v="EMP0159"/>
    <n v="43"/>
    <x v="1"/>
    <s v="Male"/>
    <s v="South America"/>
    <s v="Designer"/>
  </r>
  <r>
    <s v="EMP0160"/>
    <n v="43"/>
    <x v="1"/>
    <s v="Non-binary"/>
    <s v="Oceania"/>
    <s v="Software Engineer"/>
  </r>
  <r>
    <s v="EMP0161"/>
    <n v="35"/>
    <x v="0"/>
    <s v="Female"/>
    <s v="Africa"/>
    <s v="Marketing"/>
  </r>
  <r>
    <s v="EMP0162"/>
    <n v="40"/>
    <x v="1"/>
    <s v="Female"/>
    <s v="Africa"/>
    <s v="Data Scientist"/>
  </r>
  <r>
    <s v="EMP0163"/>
    <n v="29"/>
    <x v="3"/>
    <s v="Prefer not to say"/>
    <s v="South America"/>
    <s v="Designer"/>
  </r>
  <r>
    <s v="EMP0164"/>
    <n v="24"/>
    <x v="3"/>
    <s v="Non-binary"/>
    <s v="Africa"/>
    <s v="Data Scientist"/>
  </r>
  <r>
    <s v="EMP0165"/>
    <n v="40"/>
    <x v="1"/>
    <s v="Male"/>
    <s v="Oceania"/>
    <s v="Software Engineer"/>
  </r>
  <r>
    <s v="EMP0166"/>
    <n v="22"/>
    <x v="3"/>
    <s v="Female"/>
    <s v="Africa"/>
    <s v="Software Engineer"/>
  </r>
  <r>
    <s v="EMP0167"/>
    <n v="48"/>
    <x v="1"/>
    <s v="Non-binary"/>
    <s v="Africa"/>
    <s v="Software Engineer"/>
  </r>
  <r>
    <s v="EMP0168"/>
    <n v="60"/>
    <x v="2"/>
    <s v="Non-binary"/>
    <s v="Asia"/>
    <s v="Software Engineer"/>
  </r>
  <r>
    <s v="EMP0169"/>
    <n v="34"/>
    <x v="0"/>
    <s v="Prefer not to say"/>
    <s v="Europe"/>
    <s v="HR"/>
  </r>
  <r>
    <s v="EMP0170"/>
    <n v="50"/>
    <x v="2"/>
    <s v="Prefer not to say"/>
    <s v="Europe"/>
    <s v="Project Manager"/>
  </r>
  <r>
    <s v="EMP0171"/>
    <n v="38"/>
    <x v="0"/>
    <s v="Male"/>
    <s v="North America"/>
    <s v="Designer"/>
  </r>
  <r>
    <s v="EMP0172"/>
    <n v="36"/>
    <x v="0"/>
    <s v="Male"/>
    <s v="Europe"/>
    <s v="Data Scientist"/>
  </r>
  <r>
    <s v="EMP0173"/>
    <n v="35"/>
    <x v="0"/>
    <s v="Non-binary"/>
    <s v="South America"/>
    <s v="Software Engineer"/>
  </r>
  <r>
    <s v="EMP0174"/>
    <n v="25"/>
    <x v="3"/>
    <s v="Prefer not to say"/>
    <s v="North America"/>
    <s v="Designer"/>
  </r>
  <r>
    <s v="EMP0175"/>
    <n v="34"/>
    <x v="0"/>
    <s v="Non-binary"/>
    <s v="Europe"/>
    <s v="HR"/>
  </r>
  <r>
    <s v="EMP0176"/>
    <n v="32"/>
    <x v="0"/>
    <s v="Prefer not to say"/>
    <s v="Europe"/>
    <s v="Project Manager"/>
  </r>
  <r>
    <s v="EMP0177"/>
    <n v="58"/>
    <x v="2"/>
    <s v="Prefer not to say"/>
    <s v="North America"/>
    <s v="Marketing"/>
  </r>
  <r>
    <s v="EMP0178"/>
    <n v="40"/>
    <x v="1"/>
    <s v="Female"/>
    <s v="Europe"/>
    <s v="Project Manager"/>
  </r>
  <r>
    <s v="EMP0179"/>
    <n v="56"/>
    <x v="2"/>
    <s v="Female"/>
    <s v="South America"/>
    <s v="HR"/>
  </r>
  <r>
    <s v="EMP0180"/>
    <n v="44"/>
    <x v="1"/>
    <s v="Non-binary"/>
    <s v="South America"/>
    <s v="HR"/>
  </r>
  <r>
    <s v="EMP0181"/>
    <n v="30"/>
    <x v="0"/>
    <s v="Non-binary"/>
    <s v="Europe"/>
    <s v="Data Scientist"/>
  </r>
  <r>
    <s v="EMP0182"/>
    <n v="49"/>
    <x v="1"/>
    <s v="Non-binary"/>
    <s v="South America"/>
    <s v="Marketing"/>
  </r>
  <r>
    <s v="EMP0183"/>
    <n v="26"/>
    <x v="3"/>
    <s v="Male"/>
    <s v="Europe"/>
    <s v="Designer"/>
  </r>
  <r>
    <s v="EMP0184"/>
    <n v="52"/>
    <x v="2"/>
    <s v="Male"/>
    <s v="Africa"/>
    <s v="Data Scientist"/>
  </r>
  <r>
    <s v="EMP0185"/>
    <n v="24"/>
    <x v="3"/>
    <s v="Prefer not to say"/>
    <s v="Europe"/>
    <s v="HR"/>
  </r>
  <r>
    <s v="EMP0186"/>
    <n v="40"/>
    <x v="1"/>
    <s v="Non-binary"/>
    <s v="Asia"/>
    <s v="Designer"/>
  </r>
  <r>
    <s v="EMP0187"/>
    <n v="57"/>
    <x v="2"/>
    <s v="Non-binary"/>
    <s v="Oceania"/>
    <s v="HR"/>
  </r>
  <r>
    <s v="EMP0188"/>
    <n v="23"/>
    <x v="3"/>
    <s v="Prefer not to say"/>
    <s v="Oceania"/>
    <s v="Software Engineer"/>
  </r>
  <r>
    <s v="EMP0189"/>
    <n v="40"/>
    <x v="1"/>
    <s v="Prefer not to say"/>
    <s v="Oceania"/>
    <s v="Data Scientist"/>
  </r>
  <r>
    <s v="EMP0190"/>
    <n v="45"/>
    <x v="1"/>
    <s v="Male"/>
    <s v="North America"/>
    <s v="Data Scientist"/>
  </r>
  <r>
    <s v="EMP0191"/>
    <n v="46"/>
    <x v="1"/>
    <s v="Female"/>
    <s v="Europe"/>
    <s v="Data Scientist"/>
  </r>
  <r>
    <s v="EMP0192"/>
    <n v="37"/>
    <x v="0"/>
    <s v="Female"/>
    <s v="North America"/>
    <s v="Software Engineer"/>
  </r>
  <r>
    <s v="EMP0193"/>
    <n v="51"/>
    <x v="2"/>
    <s v="Female"/>
    <s v="South America"/>
    <s v="Software Engineer"/>
  </r>
  <r>
    <s v="EMP0194"/>
    <n v="52"/>
    <x v="2"/>
    <s v="Male"/>
    <s v="South America"/>
    <s v="Sales"/>
  </r>
  <r>
    <s v="EMP0195"/>
    <n v="53"/>
    <x v="2"/>
    <s v="Male"/>
    <s v="Africa"/>
    <s v="Data Scientist"/>
  </r>
  <r>
    <s v="EMP0196"/>
    <n v="39"/>
    <x v="0"/>
    <s v="Male"/>
    <s v="North America"/>
    <s v="Sales"/>
  </r>
  <r>
    <s v="EMP0197"/>
    <n v="56"/>
    <x v="2"/>
    <s v="Female"/>
    <s v="Oceania"/>
    <s v="Designer"/>
  </r>
  <r>
    <s v="EMP0198"/>
    <n v="59"/>
    <x v="2"/>
    <s v="Non-binary"/>
    <s v="South America"/>
    <s v="Marketing"/>
  </r>
  <r>
    <s v="EMP0199"/>
    <n v="28"/>
    <x v="3"/>
    <s v="Male"/>
    <s v="Oceania"/>
    <s v="Project Manager"/>
  </r>
  <r>
    <s v="EMP0200"/>
    <n v="36"/>
    <x v="0"/>
    <s v="Female"/>
    <s v="South America"/>
    <s v="Data Scientist"/>
  </r>
  <r>
    <s v="EMP0201"/>
    <n v="45"/>
    <x v="1"/>
    <s v="Non-binary"/>
    <s v="Oceania"/>
    <s v="Sales"/>
  </r>
  <r>
    <s v="EMP0202"/>
    <n v="52"/>
    <x v="2"/>
    <s v="Male"/>
    <s v="Asia"/>
    <s v="Sales"/>
  </r>
  <r>
    <s v="EMP0203"/>
    <n v="55"/>
    <x v="2"/>
    <s v="Female"/>
    <s v="Asia"/>
    <s v="Project Manager"/>
  </r>
  <r>
    <s v="EMP0204"/>
    <n v="58"/>
    <x v="2"/>
    <s v="Male"/>
    <s v="South America"/>
    <s v="Sales"/>
  </r>
  <r>
    <s v="EMP0205"/>
    <n v="51"/>
    <x v="2"/>
    <s v="Prefer not to say"/>
    <s v="Asia"/>
    <s v="Software Engineer"/>
  </r>
  <r>
    <s v="EMP0206"/>
    <n v="52"/>
    <x v="2"/>
    <s v="Male"/>
    <s v="Oceania"/>
    <s v="Data Scientist"/>
  </r>
  <r>
    <s v="EMP0207"/>
    <n v="54"/>
    <x v="2"/>
    <s v="Non-binary"/>
    <s v="Africa"/>
    <s v="Project Manager"/>
  </r>
  <r>
    <s v="EMP0208"/>
    <n v="35"/>
    <x v="0"/>
    <s v="Male"/>
    <s v="Europe"/>
    <s v="Designer"/>
  </r>
  <r>
    <s v="EMP0209"/>
    <n v="39"/>
    <x v="0"/>
    <s v="Male"/>
    <s v="North America"/>
    <s v="Marketing"/>
  </r>
  <r>
    <s v="EMP0210"/>
    <n v="47"/>
    <x v="1"/>
    <s v="Prefer not to say"/>
    <s v="Africa"/>
    <s v="Sales"/>
  </r>
  <r>
    <s v="EMP0211"/>
    <n v="49"/>
    <x v="1"/>
    <s v="Male"/>
    <s v="Europe"/>
    <s v="Project Manager"/>
  </r>
  <r>
    <s v="EMP0212"/>
    <n v="60"/>
    <x v="2"/>
    <s v="Prefer not to say"/>
    <s v="North America"/>
    <s v="Marketing"/>
  </r>
  <r>
    <s v="EMP0213"/>
    <n v="47"/>
    <x v="1"/>
    <s v="Female"/>
    <s v="Oceania"/>
    <s v="Software Engineer"/>
  </r>
  <r>
    <s v="EMP0214"/>
    <n v="27"/>
    <x v="3"/>
    <s v="Prefer not to say"/>
    <s v="Europe"/>
    <s v="Project Manager"/>
  </r>
  <r>
    <s v="EMP0215"/>
    <n v="46"/>
    <x v="1"/>
    <s v="Prefer not to say"/>
    <s v="South America"/>
    <s v="Marketing"/>
  </r>
  <r>
    <s v="EMP0216"/>
    <n v="25"/>
    <x v="3"/>
    <s v="Non-binary"/>
    <s v="Europe"/>
    <s v="Software Engineer"/>
  </r>
  <r>
    <s v="EMP0217"/>
    <n v="30"/>
    <x v="0"/>
    <s v="Male"/>
    <s v="Oceania"/>
    <s v="HR"/>
  </r>
  <r>
    <s v="EMP0218"/>
    <n v="38"/>
    <x v="0"/>
    <s v="Prefer not to say"/>
    <s v="Europe"/>
    <s v="Data Scientist"/>
  </r>
  <r>
    <s v="EMP0219"/>
    <n v="56"/>
    <x v="2"/>
    <s v="Female"/>
    <s v="Asia"/>
    <s v="HR"/>
  </r>
  <r>
    <s v="EMP0220"/>
    <n v="42"/>
    <x v="1"/>
    <s v="Male"/>
    <s v="South America"/>
    <s v="Sales"/>
  </r>
  <r>
    <s v="EMP0221"/>
    <n v="42"/>
    <x v="1"/>
    <s v="Prefer not to say"/>
    <s v="Oceania"/>
    <s v="Project Manager"/>
  </r>
  <r>
    <s v="EMP0222"/>
    <n v="30"/>
    <x v="0"/>
    <s v="Female"/>
    <s v="Asia"/>
    <s v="HR"/>
  </r>
  <r>
    <s v="EMP0223"/>
    <n v="33"/>
    <x v="0"/>
    <s v="Male"/>
    <s v="Asia"/>
    <s v="Software Engineer"/>
  </r>
  <r>
    <s v="EMP0224"/>
    <n v="28"/>
    <x v="3"/>
    <s v="Non-binary"/>
    <s v="Africa"/>
    <s v="Marketing"/>
  </r>
  <r>
    <s v="EMP0225"/>
    <n v="50"/>
    <x v="2"/>
    <s v="Non-binary"/>
    <s v="North America"/>
    <s v="Designer"/>
  </r>
  <r>
    <s v="EMP0226"/>
    <n v="44"/>
    <x v="1"/>
    <s v="Male"/>
    <s v="Africa"/>
    <s v="Software Engineer"/>
  </r>
  <r>
    <s v="EMP0227"/>
    <n v="40"/>
    <x v="1"/>
    <s v="Female"/>
    <s v="South America"/>
    <s v="Data Scientist"/>
  </r>
  <r>
    <s v="EMP0228"/>
    <n v="23"/>
    <x v="3"/>
    <s v="Male"/>
    <s v="Asia"/>
    <s v="Project Manager"/>
  </r>
  <r>
    <s v="EMP0229"/>
    <n v="30"/>
    <x v="0"/>
    <s v="Female"/>
    <s v="Oceania"/>
    <s v="Marketing"/>
  </r>
  <r>
    <s v="EMP0230"/>
    <n v="42"/>
    <x v="1"/>
    <s v="Female"/>
    <s v="Europe"/>
    <s v="HR"/>
  </r>
  <r>
    <s v="EMP0231"/>
    <n v="52"/>
    <x v="2"/>
    <s v="Male"/>
    <s v="Africa"/>
    <s v="Marketing"/>
  </r>
  <r>
    <s v="EMP0232"/>
    <n v="37"/>
    <x v="0"/>
    <s v="Male"/>
    <s v="Oceania"/>
    <s v="Marketing"/>
  </r>
  <r>
    <s v="EMP0233"/>
    <n v="28"/>
    <x v="3"/>
    <s v="Prefer not to say"/>
    <s v="Africa"/>
    <s v="Marketing"/>
  </r>
  <r>
    <s v="EMP0234"/>
    <n v="31"/>
    <x v="0"/>
    <s v="Prefer not to say"/>
    <s v="Asia"/>
    <s v="Software Engineer"/>
  </r>
  <r>
    <s v="EMP0235"/>
    <n v="23"/>
    <x v="3"/>
    <s v="Prefer not to say"/>
    <s v="Africa"/>
    <s v="Marketing"/>
  </r>
  <r>
    <s v="EMP0236"/>
    <n v="37"/>
    <x v="0"/>
    <s v="Male"/>
    <s v="Oceania"/>
    <s v="Data Scientist"/>
  </r>
  <r>
    <s v="EMP0237"/>
    <n v="25"/>
    <x v="3"/>
    <s v="Male"/>
    <s v="Europe"/>
    <s v="HR"/>
  </r>
  <r>
    <s v="EMP0238"/>
    <n v="55"/>
    <x v="2"/>
    <s v="Female"/>
    <s v="Europe"/>
    <s v="Software Engineer"/>
  </r>
  <r>
    <s v="EMP0239"/>
    <n v="56"/>
    <x v="2"/>
    <s v="Non-binary"/>
    <s v="North America"/>
    <s v="Marketing"/>
  </r>
  <r>
    <s v="EMP0240"/>
    <n v="51"/>
    <x v="2"/>
    <s v="Prefer not to say"/>
    <s v="South America"/>
    <s v="Software Engineer"/>
  </r>
  <r>
    <s v="EMP0241"/>
    <n v="35"/>
    <x v="0"/>
    <s v="Male"/>
    <s v="Oceania"/>
    <s v="HR"/>
  </r>
  <r>
    <s v="EMP0242"/>
    <n v="22"/>
    <x v="3"/>
    <s v="Non-binary"/>
    <s v="North America"/>
    <s v="Sales"/>
  </r>
  <r>
    <s v="EMP0243"/>
    <n v="34"/>
    <x v="0"/>
    <s v="Non-binary"/>
    <s v="Oceania"/>
    <s v="Project Manager"/>
  </r>
  <r>
    <s v="EMP0244"/>
    <n v="37"/>
    <x v="0"/>
    <s v="Prefer not to say"/>
    <s v="Europe"/>
    <s v="Sales"/>
  </r>
  <r>
    <s v="EMP0245"/>
    <n v="59"/>
    <x v="2"/>
    <s v="Prefer not to say"/>
    <s v="North America"/>
    <s v="Software Engineer"/>
  </r>
  <r>
    <s v="EMP0246"/>
    <n v="53"/>
    <x v="2"/>
    <s v="Female"/>
    <s v="South America"/>
    <s v="Project Manager"/>
  </r>
  <r>
    <s v="EMP0247"/>
    <n v="38"/>
    <x v="0"/>
    <s v="Male"/>
    <s v="South America"/>
    <s v="Data Scientist"/>
  </r>
  <r>
    <s v="EMP0248"/>
    <n v="32"/>
    <x v="0"/>
    <s v="Male"/>
    <s v="Oceania"/>
    <s v="Project Manager"/>
  </r>
  <r>
    <s v="EMP0249"/>
    <n v="36"/>
    <x v="0"/>
    <s v="Prefer not to say"/>
    <s v="Africa"/>
    <s v="HR"/>
  </r>
  <r>
    <s v="EMP0250"/>
    <n v="29"/>
    <x v="3"/>
    <s v="Female"/>
    <s v="Africa"/>
    <s v="Project Manager"/>
  </r>
  <r>
    <s v="EMP0251"/>
    <n v="38"/>
    <x v="0"/>
    <s v="Non-binary"/>
    <s v="South America"/>
    <s v="Project Manager"/>
  </r>
  <r>
    <s v="EMP0252"/>
    <n v="32"/>
    <x v="0"/>
    <s v="Male"/>
    <s v="Oceania"/>
    <s v="Project Manager"/>
  </r>
  <r>
    <s v="EMP0253"/>
    <n v="43"/>
    <x v="1"/>
    <s v="Prefer not to say"/>
    <s v="Oceania"/>
    <s v="Sales"/>
  </r>
  <r>
    <s v="EMP0254"/>
    <n v="46"/>
    <x v="1"/>
    <s v="Prefer not to say"/>
    <s v="Africa"/>
    <s v="HR"/>
  </r>
  <r>
    <s v="EMP0255"/>
    <n v="42"/>
    <x v="1"/>
    <s v="Prefer not to say"/>
    <s v="Africa"/>
    <s v="Data Scientist"/>
  </r>
  <r>
    <s v="EMP0256"/>
    <n v="27"/>
    <x v="3"/>
    <s v="Male"/>
    <s v="Oceania"/>
    <s v="Project Manager"/>
  </r>
  <r>
    <s v="EMP0257"/>
    <n v="54"/>
    <x v="2"/>
    <s v="Prefer not to say"/>
    <s v="Europe"/>
    <s v="Marketing"/>
  </r>
  <r>
    <s v="EMP0258"/>
    <n v="43"/>
    <x v="1"/>
    <s v="Male"/>
    <s v="Oceania"/>
    <s v="Designer"/>
  </r>
  <r>
    <s v="EMP0259"/>
    <n v="31"/>
    <x v="0"/>
    <s v="Female"/>
    <s v="Oceania"/>
    <s v="Data Scientist"/>
  </r>
  <r>
    <s v="EMP0260"/>
    <n v="53"/>
    <x v="2"/>
    <s v="Non-binary"/>
    <s v="Asia"/>
    <s v="Software Engineer"/>
  </r>
  <r>
    <s v="EMP0261"/>
    <n v="57"/>
    <x v="2"/>
    <s v="Non-binary"/>
    <s v="North America"/>
    <s v="Software Engineer"/>
  </r>
  <r>
    <s v="EMP0262"/>
    <n v="50"/>
    <x v="2"/>
    <s v="Non-binary"/>
    <s v="Asia"/>
    <s v="Project Manager"/>
  </r>
  <r>
    <s v="EMP0263"/>
    <n v="37"/>
    <x v="0"/>
    <s v="Male"/>
    <s v="Africa"/>
    <s v="Sales"/>
  </r>
  <r>
    <s v="EMP0264"/>
    <n v="58"/>
    <x v="2"/>
    <s v="Female"/>
    <s v="Asia"/>
    <s v="Project Manager"/>
  </r>
  <r>
    <s v="EMP0265"/>
    <n v="57"/>
    <x v="2"/>
    <s v="Non-binary"/>
    <s v="Europe"/>
    <s v="Sales"/>
  </r>
  <r>
    <s v="EMP0266"/>
    <n v="50"/>
    <x v="2"/>
    <s v="Prefer not to say"/>
    <s v="Europe"/>
    <s v="Sales"/>
  </r>
  <r>
    <s v="EMP0267"/>
    <n v="48"/>
    <x v="1"/>
    <s v="Male"/>
    <s v="South America"/>
    <s v="Project Manager"/>
  </r>
  <r>
    <s v="EMP0268"/>
    <n v="43"/>
    <x v="1"/>
    <s v="Non-binary"/>
    <s v="South America"/>
    <s v="HR"/>
  </r>
  <r>
    <s v="EMP0269"/>
    <n v="58"/>
    <x v="2"/>
    <s v="Female"/>
    <s v="Europe"/>
    <s v="Marketing"/>
  </r>
  <r>
    <s v="EMP0270"/>
    <n v="30"/>
    <x v="0"/>
    <s v="Male"/>
    <s v="Africa"/>
    <s v="Designer"/>
  </r>
  <r>
    <s v="EMP0271"/>
    <n v="44"/>
    <x v="1"/>
    <s v="Non-binary"/>
    <s v="South America"/>
    <s v="HR"/>
  </r>
  <r>
    <s v="EMP0272"/>
    <n v="41"/>
    <x v="1"/>
    <s v="Prefer not to say"/>
    <s v="Oceania"/>
    <s v="HR"/>
  </r>
  <r>
    <s v="EMP0273"/>
    <n v="60"/>
    <x v="2"/>
    <s v="Female"/>
    <s v="Asia"/>
    <s v="Marketing"/>
  </r>
  <r>
    <s v="EMP0274"/>
    <n v="58"/>
    <x v="2"/>
    <s v="Non-binary"/>
    <s v="Asia"/>
    <s v="Designer"/>
  </r>
  <r>
    <s v="EMP0275"/>
    <n v="60"/>
    <x v="2"/>
    <s v="Prefer not to say"/>
    <s v="Oceania"/>
    <s v="Sales"/>
  </r>
  <r>
    <s v="EMP0276"/>
    <n v="27"/>
    <x v="3"/>
    <s v="Non-binary"/>
    <s v="Europe"/>
    <s v="Designer"/>
  </r>
  <r>
    <s v="EMP0277"/>
    <n v="38"/>
    <x v="0"/>
    <s v="Female"/>
    <s v="Asia"/>
    <s v="Sales"/>
  </r>
  <r>
    <s v="EMP0278"/>
    <n v="56"/>
    <x v="2"/>
    <s v="Male"/>
    <s v="Asia"/>
    <s v="Marketing"/>
  </r>
  <r>
    <s v="EMP0279"/>
    <n v="31"/>
    <x v="0"/>
    <s v="Male"/>
    <s v="Africa"/>
    <s v="Designer"/>
  </r>
  <r>
    <s v="EMP0280"/>
    <n v="37"/>
    <x v="0"/>
    <s v="Prefer not to say"/>
    <s v="North America"/>
    <s v="Software Engineer"/>
  </r>
  <r>
    <s v="EMP0281"/>
    <n v="41"/>
    <x v="1"/>
    <s v="Female"/>
    <s v="Asia"/>
    <s v="Software Engineer"/>
  </r>
  <r>
    <s v="EMP0282"/>
    <n v="58"/>
    <x v="2"/>
    <s v="Male"/>
    <s v="Europe"/>
    <s v="Designer"/>
  </r>
  <r>
    <s v="EMP0283"/>
    <n v="49"/>
    <x v="1"/>
    <s v="Male"/>
    <s v="Asia"/>
    <s v="Data Scientist"/>
  </r>
  <r>
    <s v="EMP0284"/>
    <n v="23"/>
    <x v="3"/>
    <s v="Non-binary"/>
    <s v="Asia"/>
    <s v="Data Scientist"/>
  </r>
  <r>
    <s v="EMP0285"/>
    <n v="24"/>
    <x v="3"/>
    <s v="Non-binary"/>
    <s v="Oceania"/>
    <s v="Project Manager"/>
  </r>
  <r>
    <s v="EMP0286"/>
    <n v="41"/>
    <x v="1"/>
    <s v="Prefer not to say"/>
    <s v="Asia"/>
    <s v="Project Manager"/>
  </r>
  <r>
    <s v="EMP0287"/>
    <n v="32"/>
    <x v="0"/>
    <s v="Female"/>
    <s v="Africa"/>
    <s v="HR"/>
  </r>
  <r>
    <s v="EMP0288"/>
    <n v="47"/>
    <x v="1"/>
    <s v="Prefer not to say"/>
    <s v="Africa"/>
    <s v="Sales"/>
  </r>
  <r>
    <s v="EMP0289"/>
    <n v="23"/>
    <x v="3"/>
    <s v="Non-binary"/>
    <s v="Africa"/>
    <s v="Designer"/>
  </r>
  <r>
    <s v="EMP0290"/>
    <n v="34"/>
    <x v="0"/>
    <s v="Prefer not to say"/>
    <s v="North America"/>
    <s v="Marketing"/>
  </r>
  <r>
    <s v="EMP0291"/>
    <n v="42"/>
    <x v="1"/>
    <s v="Male"/>
    <s v="Europe"/>
    <s v="Sales"/>
  </r>
  <r>
    <s v="EMP0292"/>
    <n v="42"/>
    <x v="1"/>
    <s v="Prefer not to say"/>
    <s v="Asia"/>
    <s v="HR"/>
  </r>
  <r>
    <s v="EMP0293"/>
    <n v="33"/>
    <x v="0"/>
    <s v="Female"/>
    <s v="Africa"/>
    <s v="Sales"/>
  </r>
  <r>
    <s v="EMP0294"/>
    <n v="40"/>
    <x v="1"/>
    <s v="Male"/>
    <s v="Asia"/>
    <s v="Designer"/>
  </r>
  <r>
    <s v="EMP0295"/>
    <n v="27"/>
    <x v="3"/>
    <s v="Male"/>
    <s v="Europe"/>
    <s v="Marketing"/>
  </r>
  <r>
    <s v="EMP0296"/>
    <n v="39"/>
    <x v="0"/>
    <s v="Prefer not to say"/>
    <s v="North America"/>
    <s v="Data Scientist"/>
  </r>
  <r>
    <s v="EMP0297"/>
    <n v="42"/>
    <x v="1"/>
    <s v="Female"/>
    <s v="Europe"/>
    <s v="Marketing"/>
  </r>
  <r>
    <s v="EMP0298"/>
    <n v="22"/>
    <x v="3"/>
    <s v="Non-binary"/>
    <s v="Asia"/>
    <s v="Sales"/>
  </r>
  <r>
    <s v="EMP0299"/>
    <n v="45"/>
    <x v="1"/>
    <s v="Female"/>
    <s v="North America"/>
    <s v="Marketing"/>
  </r>
  <r>
    <s v="EMP0300"/>
    <n v="47"/>
    <x v="1"/>
    <s v="Female"/>
    <s v="Oceania"/>
    <s v="Data Scientist"/>
  </r>
  <r>
    <s v="EMP0301"/>
    <n v="24"/>
    <x v="3"/>
    <s v="Non-binary"/>
    <s v="Oceania"/>
    <s v="Designer"/>
  </r>
  <r>
    <s v="EMP0302"/>
    <n v="48"/>
    <x v="1"/>
    <s v="Non-binary"/>
    <s v="Europe"/>
    <s v="HR"/>
  </r>
  <r>
    <s v="EMP0303"/>
    <n v="60"/>
    <x v="2"/>
    <s v="Non-binary"/>
    <s v="Africa"/>
    <s v="Software Engineer"/>
  </r>
  <r>
    <s v="EMP0304"/>
    <n v="41"/>
    <x v="1"/>
    <s v="Non-binary"/>
    <s v="South America"/>
    <s v="Software Engineer"/>
  </r>
  <r>
    <s v="EMP0305"/>
    <n v="49"/>
    <x v="1"/>
    <s v="Prefer not to say"/>
    <s v="Africa"/>
    <s v="Project Manager"/>
  </r>
  <r>
    <s v="EMP0306"/>
    <n v="27"/>
    <x v="3"/>
    <s v="Prefer not to say"/>
    <s v="Europe"/>
    <s v="Data Scientist"/>
  </r>
  <r>
    <s v="EMP0307"/>
    <n v="35"/>
    <x v="0"/>
    <s v="Prefer not to say"/>
    <s v="Asia"/>
    <s v="Marketing"/>
  </r>
  <r>
    <s v="EMP0308"/>
    <n v="23"/>
    <x v="3"/>
    <s v="Male"/>
    <s v="North America"/>
    <s v="Software Engineer"/>
  </r>
  <r>
    <s v="EMP0309"/>
    <n v="24"/>
    <x v="3"/>
    <s v="Prefer not to say"/>
    <s v="Africa"/>
    <s v="Designer"/>
  </r>
  <r>
    <s v="EMP0310"/>
    <n v="41"/>
    <x v="1"/>
    <s v="Non-binary"/>
    <s v="Africa"/>
    <s v="Sales"/>
  </r>
  <r>
    <s v="EMP0311"/>
    <n v="41"/>
    <x v="1"/>
    <s v="Prefer not to say"/>
    <s v="Asia"/>
    <s v="Designer"/>
  </r>
  <r>
    <s v="EMP0312"/>
    <n v="43"/>
    <x v="1"/>
    <s v="Female"/>
    <s v="Oceania"/>
    <s v="Data Scientist"/>
  </r>
  <r>
    <s v="EMP0313"/>
    <n v="30"/>
    <x v="0"/>
    <s v="Non-binary"/>
    <s v="South America"/>
    <s v="Sales"/>
  </r>
  <r>
    <s v="EMP0314"/>
    <n v="44"/>
    <x v="1"/>
    <s v="Male"/>
    <s v="Africa"/>
    <s v="HR"/>
  </r>
  <r>
    <s v="EMP0315"/>
    <n v="50"/>
    <x v="2"/>
    <s v="Male"/>
    <s v="North America"/>
    <s v="Marketing"/>
  </r>
  <r>
    <s v="EMP0316"/>
    <n v="48"/>
    <x v="1"/>
    <s v="Non-binary"/>
    <s v="Asia"/>
    <s v="Designer"/>
  </r>
  <r>
    <s v="EMP0317"/>
    <n v="45"/>
    <x v="1"/>
    <s v="Male"/>
    <s v="Asia"/>
    <s v="Marketing"/>
  </r>
  <r>
    <s v="EMP0318"/>
    <n v="60"/>
    <x v="2"/>
    <s v="Male"/>
    <s v="Europe"/>
    <s v="HR"/>
  </r>
  <r>
    <s v="EMP0319"/>
    <n v="51"/>
    <x v="2"/>
    <s v="Prefer not to say"/>
    <s v="Africa"/>
    <s v="Project Manager"/>
  </r>
  <r>
    <s v="EMP0320"/>
    <n v="48"/>
    <x v="1"/>
    <s v="Prefer not to say"/>
    <s v="Europe"/>
    <s v="HR"/>
  </r>
  <r>
    <s v="EMP0321"/>
    <n v="43"/>
    <x v="1"/>
    <s v="Female"/>
    <s v="Africa"/>
    <s v="Marketing"/>
  </r>
  <r>
    <s v="EMP0322"/>
    <n v="23"/>
    <x v="3"/>
    <s v="Prefer not to say"/>
    <s v="South America"/>
    <s v="Marketing"/>
  </r>
  <r>
    <s v="EMP0323"/>
    <n v="32"/>
    <x v="0"/>
    <s v="Male"/>
    <s v="Asia"/>
    <s v="Marketing"/>
  </r>
  <r>
    <s v="EMP0324"/>
    <n v="44"/>
    <x v="1"/>
    <s v="Non-binary"/>
    <s v="Asia"/>
    <s v="HR"/>
  </r>
  <r>
    <s v="EMP0325"/>
    <n v="36"/>
    <x v="0"/>
    <s v="Female"/>
    <s v="Oceania"/>
    <s v="Marketing"/>
  </r>
  <r>
    <s v="EMP0326"/>
    <n v="50"/>
    <x v="2"/>
    <s v="Male"/>
    <s v="Oceania"/>
    <s v="Designer"/>
  </r>
  <r>
    <s v="EMP0327"/>
    <n v="54"/>
    <x v="2"/>
    <s v="Non-binary"/>
    <s v="North America"/>
    <s v="Marketing"/>
  </r>
  <r>
    <s v="EMP0328"/>
    <n v="54"/>
    <x v="2"/>
    <s v="Male"/>
    <s v="Oceania"/>
    <s v="Designer"/>
  </r>
  <r>
    <s v="EMP0329"/>
    <n v="33"/>
    <x v="0"/>
    <s v="Prefer not to say"/>
    <s v="South America"/>
    <s v="HR"/>
  </r>
  <r>
    <s v="EMP0330"/>
    <n v="47"/>
    <x v="1"/>
    <s v="Prefer not to say"/>
    <s v="North America"/>
    <s v="Sales"/>
  </r>
  <r>
    <s v="EMP0331"/>
    <n v="25"/>
    <x v="3"/>
    <s v="Prefer not to say"/>
    <s v="Africa"/>
    <s v="Software Engineer"/>
  </r>
  <r>
    <s v="EMP0332"/>
    <n v="38"/>
    <x v="0"/>
    <s v="Male"/>
    <s v="Europe"/>
    <s v="Sales"/>
  </r>
  <r>
    <s v="EMP0333"/>
    <n v="31"/>
    <x v="0"/>
    <s v="Female"/>
    <s v="Asia"/>
    <s v="Software Engineer"/>
  </r>
  <r>
    <s v="EMP0334"/>
    <n v="58"/>
    <x v="2"/>
    <s v="Male"/>
    <s v="Oceania"/>
    <s v="Marketing"/>
  </r>
  <r>
    <s v="EMP0335"/>
    <n v="28"/>
    <x v="3"/>
    <s v="Prefer not to say"/>
    <s v="Africa"/>
    <s v="Designer"/>
  </r>
  <r>
    <s v="EMP0336"/>
    <n v="54"/>
    <x v="2"/>
    <s v="Prefer not to say"/>
    <s v="Asia"/>
    <s v="Sales"/>
  </r>
  <r>
    <s v="EMP0337"/>
    <n v="60"/>
    <x v="2"/>
    <s v="Female"/>
    <s v="South America"/>
    <s v="Software Engineer"/>
  </r>
  <r>
    <s v="EMP0338"/>
    <n v="38"/>
    <x v="0"/>
    <s v="Non-binary"/>
    <s v="North America"/>
    <s v="Designer"/>
  </r>
  <r>
    <s v="EMP0339"/>
    <n v="31"/>
    <x v="0"/>
    <s v="Female"/>
    <s v="Europe"/>
    <s v="Sales"/>
  </r>
  <r>
    <s v="EMP0340"/>
    <n v="42"/>
    <x v="1"/>
    <s v="Non-binary"/>
    <s v="South America"/>
    <s v="Designer"/>
  </r>
  <r>
    <s v="EMP0341"/>
    <n v="52"/>
    <x v="2"/>
    <s v="Female"/>
    <s v="North America"/>
    <s v="Data Scientist"/>
  </r>
  <r>
    <s v="EMP0342"/>
    <n v="41"/>
    <x v="1"/>
    <s v="Female"/>
    <s v="Asia"/>
    <s v="HR"/>
  </r>
  <r>
    <s v="EMP0343"/>
    <n v="44"/>
    <x v="1"/>
    <s v="Male"/>
    <s v="North America"/>
    <s v="Project Manager"/>
  </r>
  <r>
    <s v="EMP0344"/>
    <n v="42"/>
    <x v="1"/>
    <s v="Female"/>
    <s v="South America"/>
    <s v="Data Scientist"/>
  </r>
  <r>
    <s v="EMP0345"/>
    <n v="53"/>
    <x v="2"/>
    <s v="Male"/>
    <s v="Africa"/>
    <s v="Software Engineer"/>
  </r>
  <r>
    <s v="EMP0346"/>
    <n v="52"/>
    <x v="2"/>
    <s v="Female"/>
    <s v="North America"/>
    <s v="Software Engineer"/>
  </r>
  <r>
    <s v="EMP0347"/>
    <n v="23"/>
    <x v="3"/>
    <s v="Non-binary"/>
    <s v="Africa"/>
    <s v="Marketing"/>
  </r>
  <r>
    <s v="EMP0348"/>
    <n v="24"/>
    <x v="3"/>
    <s v="Female"/>
    <s v="Africa"/>
    <s v="Sales"/>
  </r>
  <r>
    <s v="EMP0349"/>
    <n v="41"/>
    <x v="1"/>
    <s v="Prefer not to say"/>
    <s v="Asia"/>
    <s v="Project Manager"/>
  </r>
  <r>
    <s v="EMP0350"/>
    <n v="60"/>
    <x v="2"/>
    <s v="Prefer not to say"/>
    <s v="Africa"/>
    <s v="HR"/>
  </r>
  <r>
    <s v="EMP0351"/>
    <n v="25"/>
    <x v="3"/>
    <s v="Prefer not to say"/>
    <s v="South America"/>
    <s v="Designer"/>
  </r>
  <r>
    <s v="EMP0352"/>
    <n v="55"/>
    <x v="2"/>
    <s v="Prefer not to say"/>
    <s v="North America"/>
    <s v="HR"/>
  </r>
  <r>
    <s v="EMP0353"/>
    <n v="33"/>
    <x v="0"/>
    <s v="Non-binary"/>
    <s v="South America"/>
    <s v="Software Engineer"/>
  </r>
  <r>
    <s v="EMP0354"/>
    <n v="43"/>
    <x v="1"/>
    <s v="Prefer not to say"/>
    <s v="Africa"/>
    <s v="Data Scientist"/>
  </r>
  <r>
    <s v="EMP0355"/>
    <n v="59"/>
    <x v="2"/>
    <s v="Male"/>
    <s v="Africa"/>
    <s v="Project Manager"/>
  </r>
  <r>
    <s v="EMP0356"/>
    <n v="48"/>
    <x v="1"/>
    <s v="Male"/>
    <s v="South America"/>
    <s v="Sales"/>
  </r>
  <r>
    <s v="EMP0357"/>
    <n v="31"/>
    <x v="0"/>
    <s v="Non-binary"/>
    <s v="Asia"/>
    <s v="HR"/>
  </r>
  <r>
    <s v="EMP0358"/>
    <n v="28"/>
    <x v="3"/>
    <s v="Male"/>
    <s v="Asia"/>
    <s v="Designer"/>
  </r>
  <r>
    <s v="EMP0359"/>
    <n v="49"/>
    <x v="1"/>
    <s v="Male"/>
    <s v="South America"/>
    <s v="Sales"/>
  </r>
  <r>
    <s v="EMP0360"/>
    <n v="56"/>
    <x v="2"/>
    <s v="Prefer not to say"/>
    <s v="Europe"/>
    <s v="HR"/>
  </r>
  <r>
    <s v="EMP0361"/>
    <n v="56"/>
    <x v="2"/>
    <s v="Non-binary"/>
    <s v="Asia"/>
    <s v="Sales"/>
  </r>
  <r>
    <s v="EMP0362"/>
    <n v="51"/>
    <x v="2"/>
    <s v="Female"/>
    <s v="Europe"/>
    <s v="Sales"/>
  </r>
  <r>
    <s v="EMP0363"/>
    <n v="38"/>
    <x v="0"/>
    <s v="Non-binary"/>
    <s v="South America"/>
    <s v="Designer"/>
  </r>
  <r>
    <s v="EMP0364"/>
    <n v="40"/>
    <x v="1"/>
    <s v="Male"/>
    <s v="South America"/>
    <s v="Project Manager"/>
  </r>
  <r>
    <s v="EMP0365"/>
    <n v="56"/>
    <x v="2"/>
    <s v="Non-binary"/>
    <s v="Africa"/>
    <s v="Project Manager"/>
  </r>
  <r>
    <s v="EMP0366"/>
    <n v="33"/>
    <x v="0"/>
    <s v="Non-binary"/>
    <s v="South America"/>
    <s v="Sales"/>
  </r>
  <r>
    <s v="EMP0367"/>
    <n v="45"/>
    <x v="1"/>
    <s v="Male"/>
    <s v="Europe"/>
    <s v="Marketing"/>
  </r>
  <r>
    <s v="EMP0368"/>
    <n v="55"/>
    <x v="2"/>
    <s v="Non-binary"/>
    <s v="Europe"/>
    <s v="Sales"/>
  </r>
  <r>
    <s v="EMP0369"/>
    <n v="39"/>
    <x v="0"/>
    <s v="Female"/>
    <s v="South America"/>
    <s v="Data Scientist"/>
  </r>
  <r>
    <s v="EMP0370"/>
    <n v="58"/>
    <x v="2"/>
    <s v="Non-binary"/>
    <s v="Africa"/>
    <s v="Software Engineer"/>
  </r>
  <r>
    <s v="EMP0371"/>
    <n v="41"/>
    <x v="1"/>
    <s v="Non-binary"/>
    <s v="Oceania"/>
    <s v="Data Scientist"/>
  </r>
  <r>
    <s v="EMP0372"/>
    <n v="57"/>
    <x v="2"/>
    <s v="Prefer not to say"/>
    <s v="Europe"/>
    <s v="Marketing"/>
  </r>
  <r>
    <s v="EMP0373"/>
    <n v="31"/>
    <x v="0"/>
    <s v="Female"/>
    <s v="Africa"/>
    <s v="Software Engineer"/>
  </r>
  <r>
    <s v="EMP0374"/>
    <n v="34"/>
    <x v="0"/>
    <s v="Prefer not to say"/>
    <s v="Oceania"/>
    <s v="Sales"/>
  </r>
  <r>
    <s v="EMP0375"/>
    <n v="39"/>
    <x v="0"/>
    <s v="Prefer not to say"/>
    <s v="Oceania"/>
    <s v="Software Engineer"/>
  </r>
  <r>
    <s v="EMP0376"/>
    <n v="29"/>
    <x v="3"/>
    <s v="Non-binary"/>
    <s v="Oceania"/>
    <s v="Designer"/>
  </r>
  <r>
    <s v="EMP0377"/>
    <n v="31"/>
    <x v="0"/>
    <s v="Prefer not to say"/>
    <s v="South America"/>
    <s v="Designer"/>
  </r>
  <r>
    <s v="EMP0378"/>
    <n v="30"/>
    <x v="0"/>
    <s v="Female"/>
    <s v="Europe"/>
    <s v="Designer"/>
  </r>
  <r>
    <s v="EMP0379"/>
    <n v="53"/>
    <x v="2"/>
    <s v="Prefer not to say"/>
    <s v="Africa"/>
    <s v="Designer"/>
  </r>
  <r>
    <s v="EMP0380"/>
    <n v="27"/>
    <x v="3"/>
    <s v="Male"/>
    <s v="Oceania"/>
    <s v="Marketing"/>
  </r>
  <r>
    <s v="EMP0381"/>
    <n v="39"/>
    <x v="0"/>
    <s v="Male"/>
    <s v="Africa"/>
    <s v="Designer"/>
  </r>
  <r>
    <s v="EMP0382"/>
    <n v="59"/>
    <x v="2"/>
    <s v="Male"/>
    <s v="South America"/>
    <s v="Project Manager"/>
  </r>
  <r>
    <s v="EMP0383"/>
    <n v="58"/>
    <x v="2"/>
    <s v="Non-binary"/>
    <s v="North America"/>
    <s v="HR"/>
  </r>
  <r>
    <s v="EMP0384"/>
    <n v="28"/>
    <x v="3"/>
    <s v="Prefer not to say"/>
    <s v="Europe"/>
    <s v="Sales"/>
  </r>
  <r>
    <s v="EMP0385"/>
    <n v="56"/>
    <x v="2"/>
    <s v="Male"/>
    <s v="Asia"/>
    <s v="Designer"/>
  </r>
  <r>
    <s v="EMP0386"/>
    <n v="31"/>
    <x v="0"/>
    <s v="Non-binary"/>
    <s v="Oceania"/>
    <s v="Project Manager"/>
  </r>
  <r>
    <s v="EMP0387"/>
    <n v="28"/>
    <x v="3"/>
    <s v="Female"/>
    <s v="Africa"/>
    <s v="Sales"/>
  </r>
  <r>
    <s v="EMP0388"/>
    <n v="46"/>
    <x v="1"/>
    <s v="Female"/>
    <s v="Africa"/>
    <s v="Sales"/>
  </r>
  <r>
    <s v="EMP0389"/>
    <n v="32"/>
    <x v="0"/>
    <s v="Female"/>
    <s v="South America"/>
    <s v="Sales"/>
  </r>
  <r>
    <s v="EMP0390"/>
    <n v="37"/>
    <x v="0"/>
    <s v="Male"/>
    <s v="Europe"/>
    <s v="Software Engineer"/>
  </r>
  <r>
    <s v="EMP0391"/>
    <n v="50"/>
    <x v="2"/>
    <s v="Prefer not to say"/>
    <s v="North America"/>
    <s v="Project Manager"/>
  </r>
  <r>
    <s v="EMP0392"/>
    <n v="55"/>
    <x v="2"/>
    <s v="Female"/>
    <s v="South America"/>
    <s v="Marketing"/>
  </r>
  <r>
    <s v="EMP0393"/>
    <n v="45"/>
    <x v="1"/>
    <s v="Female"/>
    <s v="Africa"/>
    <s v="HR"/>
  </r>
  <r>
    <s v="EMP0394"/>
    <n v="50"/>
    <x v="2"/>
    <s v="Female"/>
    <s v="North America"/>
    <s v="Sales"/>
  </r>
  <r>
    <s v="EMP0395"/>
    <n v="43"/>
    <x v="1"/>
    <s v="Prefer not to say"/>
    <s v="Oceania"/>
    <s v="Project Manager"/>
  </r>
  <r>
    <s v="EMP0396"/>
    <n v="39"/>
    <x v="0"/>
    <s v="Non-binary"/>
    <s v="Africa"/>
    <s v="Marketing"/>
  </r>
  <r>
    <s v="EMP0397"/>
    <n v="30"/>
    <x v="0"/>
    <s v="Female"/>
    <s v="Europe"/>
    <s v="Data Scientist"/>
  </r>
  <r>
    <s v="EMP0398"/>
    <n v="36"/>
    <x v="0"/>
    <s v="Male"/>
    <s v="Europe"/>
    <s v="Project Manager"/>
  </r>
  <r>
    <s v="EMP0399"/>
    <n v="58"/>
    <x v="2"/>
    <s v="Prefer not to say"/>
    <s v="Europe"/>
    <s v="Designer"/>
  </r>
  <r>
    <s v="EMP0400"/>
    <n v="53"/>
    <x v="2"/>
    <s v="Prefer not to say"/>
    <s v="Africa"/>
    <s v="Data Scientist"/>
  </r>
  <r>
    <s v="EMP0401"/>
    <n v="56"/>
    <x v="2"/>
    <s v="Non-binary"/>
    <s v="Asia"/>
    <s v="HR"/>
  </r>
  <r>
    <s v="EMP0402"/>
    <n v="57"/>
    <x v="2"/>
    <s v="Male"/>
    <s v="South America"/>
    <s v="Project Manager"/>
  </r>
  <r>
    <s v="EMP0403"/>
    <n v="58"/>
    <x v="2"/>
    <s v="Male"/>
    <s v="Africa"/>
    <s v="Data Scientist"/>
  </r>
  <r>
    <s v="EMP0404"/>
    <n v="57"/>
    <x v="2"/>
    <s v="Female"/>
    <s v="Europe"/>
    <s v="Designer"/>
  </r>
  <r>
    <s v="EMP0405"/>
    <n v="46"/>
    <x v="1"/>
    <s v="Non-binary"/>
    <s v="Asia"/>
    <s v="Data Scientist"/>
  </r>
  <r>
    <s v="EMP0406"/>
    <n v="42"/>
    <x v="1"/>
    <s v="Female"/>
    <s v="Europe"/>
    <s v="HR"/>
  </r>
  <r>
    <s v="EMP0407"/>
    <n v="24"/>
    <x v="3"/>
    <s v="Prefer not to say"/>
    <s v="South America"/>
    <s v="Project Manager"/>
  </r>
  <r>
    <s v="EMP0408"/>
    <n v="53"/>
    <x v="2"/>
    <s v="Female"/>
    <s v="Oceania"/>
    <s v="HR"/>
  </r>
  <r>
    <s v="EMP0409"/>
    <n v="24"/>
    <x v="3"/>
    <s v="Female"/>
    <s v="North America"/>
    <s v="Data Scientist"/>
  </r>
  <r>
    <s v="EMP0410"/>
    <n v="30"/>
    <x v="0"/>
    <s v="Non-binary"/>
    <s v="South America"/>
    <s v="Project Manager"/>
  </r>
  <r>
    <s v="EMP0411"/>
    <n v="22"/>
    <x v="3"/>
    <s v="Prefer not to say"/>
    <s v="Europe"/>
    <s v="Software Engineer"/>
  </r>
  <r>
    <s v="EMP0412"/>
    <n v="28"/>
    <x v="3"/>
    <s v="Non-binary"/>
    <s v="South America"/>
    <s v="Designer"/>
  </r>
  <r>
    <s v="EMP0413"/>
    <n v="52"/>
    <x v="2"/>
    <s v="Non-binary"/>
    <s v="Europe"/>
    <s v="Sales"/>
  </r>
  <r>
    <s v="EMP0414"/>
    <n v="47"/>
    <x v="1"/>
    <s v="Prefer not to say"/>
    <s v="South America"/>
    <s v="Project Manager"/>
  </r>
  <r>
    <s v="EMP0415"/>
    <n v="30"/>
    <x v="0"/>
    <s v="Male"/>
    <s v="Oceania"/>
    <s v="Data Scientist"/>
  </r>
  <r>
    <s v="EMP0416"/>
    <n v="52"/>
    <x v="2"/>
    <s v="Female"/>
    <s v="North America"/>
    <s v="Sales"/>
  </r>
  <r>
    <s v="EMP0417"/>
    <n v="25"/>
    <x v="3"/>
    <s v="Prefer not to say"/>
    <s v="Asia"/>
    <s v="Sales"/>
  </r>
  <r>
    <s v="EMP0418"/>
    <n v="50"/>
    <x v="2"/>
    <s v="Non-binary"/>
    <s v="Oceania"/>
    <s v="HR"/>
  </r>
  <r>
    <s v="EMP0419"/>
    <n v="60"/>
    <x v="2"/>
    <s v="Female"/>
    <s v="Asia"/>
    <s v="HR"/>
  </r>
  <r>
    <s v="EMP0420"/>
    <n v="48"/>
    <x v="1"/>
    <s v="Female"/>
    <s v="Africa"/>
    <s v="Marketing"/>
  </r>
  <r>
    <s v="EMP0421"/>
    <n v="28"/>
    <x v="3"/>
    <s v="Male"/>
    <s v="Asia"/>
    <s v="HR"/>
  </r>
  <r>
    <s v="EMP0422"/>
    <n v="23"/>
    <x v="3"/>
    <s v="Prefer not to say"/>
    <s v="Oceania"/>
    <s v="Marketing"/>
  </r>
  <r>
    <s v="EMP0423"/>
    <n v="26"/>
    <x v="3"/>
    <s v="Male"/>
    <s v="Europe"/>
    <s v="Project Manager"/>
  </r>
  <r>
    <s v="EMP0424"/>
    <n v="27"/>
    <x v="3"/>
    <s v="Female"/>
    <s v="North America"/>
    <s v="Marketing"/>
  </r>
  <r>
    <s v="EMP0425"/>
    <n v="52"/>
    <x v="2"/>
    <s v="Non-binary"/>
    <s v="Asia"/>
    <s v="Sales"/>
  </r>
  <r>
    <s v="EMP0426"/>
    <n v="32"/>
    <x v="0"/>
    <s v="Prefer not to say"/>
    <s v="Asia"/>
    <s v="Software Engineer"/>
  </r>
  <r>
    <s v="EMP0427"/>
    <n v="23"/>
    <x v="3"/>
    <s v="Prefer not to say"/>
    <s v="Europe"/>
    <s v="Sales"/>
  </r>
  <r>
    <s v="EMP0428"/>
    <n v="41"/>
    <x v="1"/>
    <s v="Prefer not to say"/>
    <s v="Oceania"/>
    <s v="Sales"/>
  </r>
  <r>
    <s v="EMP0429"/>
    <n v="33"/>
    <x v="0"/>
    <s v="Female"/>
    <s v="North America"/>
    <s v="Project Manager"/>
  </r>
  <r>
    <s v="EMP0430"/>
    <n v="37"/>
    <x v="0"/>
    <s v="Non-binary"/>
    <s v="Europe"/>
    <s v="Sales"/>
  </r>
  <r>
    <s v="EMP0431"/>
    <n v="33"/>
    <x v="0"/>
    <s v="Male"/>
    <s v="Oceania"/>
    <s v="Project Manager"/>
  </r>
  <r>
    <s v="EMP0432"/>
    <n v="28"/>
    <x v="3"/>
    <s v="Non-binary"/>
    <s v="North America"/>
    <s v="Marketing"/>
  </r>
  <r>
    <s v="EMP0433"/>
    <n v="57"/>
    <x v="2"/>
    <s v="Non-binary"/>
    <s v="South America"/>
    <s v="Project Manager"/>
  </r>
  <r>
    <s v="EMP0434"/>
    <n v="45"/>
    <x v="1"/>
    <s v="Female"/>
    <s v="Oceania"/>
    <s v="Designer"/>
  </r>
  <r>
    <s v="EMP0435"/>
    <n v="50"/>
    <x v="2"/>
    <s v="Female"/>
    <s v="Oceania"/>
    <s v="Data Scientist"/>
  </r>
  <r>
    <s v="EMP0436"/>
    <n v="53"/>
    <x v="2"/>
    <s v="Non-binary"/>
    <s v="Oceania"/>
    <s v="Marketing"/>
  </r>
  <r>
    <s v="EMP0437"/>
    <n v="58"/>
    <x v="2"/>
    <s v="Prefer not to say"/>
    <s v="Europe"/>
    <s v="HR"/>
  </r>
  <r>
    <s v="EMP0438"/>
    <n v="48"/>
    <x v="1"/>
    <s v="Prefer not to say"/>
    <s v="Asia"/>
    <s v="Project Manager"/>
  </r>
  <r>
    <s v="EMP0439"/>
    <n v="42"/>
    <x v="1"/>
    <s v="Prefer not to say"/>
    <s v="Europe"/>
    <s v="Sales"/>
  </r>
  <r>
    <s v="EMP0440"/>
    <n v="22"/>
    <x v="3"/>
    <s v="Non-binary"/>
    <s v="Asia"/>
    <s v="Software Engineer"/>
  </r>
  <r>
    <s v="EMP0441"/>
    <n v="23"/>
    <x v="3"/>
    <s v="Female"/>
    <s v="South America"/>
    <s v="Data Scientist"/>
  </r>
  <r>
    <s v="EMP0442"/>
    <n v="59"/>
    <x v="2"/>
    <s v="Prefer not to say"/>
    <s v="North America"/>
    <s v="HR"/>
  </r>
  <r>
    <s v="EMP0443"/>
    <n v="50"/>
    <x v="2"/>
    <s v="Non-binary"/>
    <s v="Oceania"/>
    <s v="Designer"/>
  </r>
  <r>
    <s v="EMP0444"/>
    <n v="27"/>
    <x v="3"/>
    <s v="Female"/>
    <s v="Oceania"/>
    <s v="HR"/>
  </r>
  <r>
    <s v="EMP0445"/>
    <n v="25"/>
    <x v="3"/>
    <s v="Prefer not to say"/>
    <s v="Africa"/>
    <s v="Software Engineer"/>
  </r>
  <r>
    <s v="EMP0446"/>
    <n v="52"/>
    <x v="2"/>
    <s v="Male"/>
    <s v="Africa"/>
    <s v="Designer"/>
  </r>
  <r>
    <s v="EMP0447"/>
    <n v="37"/>
    <x v="0"/>
    <s v="Non-binary"/>
    <s v="North America"/>
    <s v="Sales"/>
  </r>
  <r>
    <s v="EMP0448"/>
    <n v="22"/>
    <x v="3"/>
    <s v="Non-binary"/>
    <s v="South America"/>
    <s v="Project Manager"/>
  </r>
  <r>
    <s v="EMP0449"/>
    <n v="51"/>
    <x v="2"/>
    <s v="Male"/>
    <s v="Asia"/>
    <s v="HR"/>
  </r>
  <r>
    <s v="EMP0450"/>
    <n v="57"/>
    <x v="2"/>
    <s v="Male"/>
    <s v="Europe"/>
    <s v="Project Manager"/>
  </r>
  <r>
    <s v="EMP0451"/>
    <n v="58"/>
    <x v="2"/>
    <s v="Prefer not to say"/>
    <s v="North America"/>
    <s v="Data Scientist"/>
  </r>
  <r>
    <s v="EMP0452"/>
    <n v="32"/>
    <x v="0"/>
    <s v="Prefer not to say"/>
    <s v="Oceania"/>
    <s v="Data Scientist"/>
  </r>
  <r>
    <s v="EMP0453"/>
    <n v="41"/>
    <x v="1"/>
    <s v="Female"/>
    <s v="Oceania"/>
    <s v="Data Scientist"/>
  </r>
  <r>
    <s v="EMP0454"/>
    <n v="36"/>
    <x v="0"/>
    <s v="Female"/>
    <s v="Asia"/>
    <s v="Marketing"/>
  </r>
  <r>
    <s v="EMP0455"/>
    <n v="51"/>
    <x v="2"/>
    <s v="Non-binary"/>
    <s v="Asia"/>
    <s v="Data Scientist"/>
  </r>
  <r>
    <s v="EMP0456"/>
    <n v="60"/>
    <x v="2"/>
    <s v="Female"/>
    <s v="South America"/>
    <s v="Sales"/>
  </r>
  <r>
    <s v="EMP0457"/>
    <n v="34"/>
    <x v="0"/>
    <s v="Female"/>
    <s v="Africa"/>
    <s v="HR"/>
  </r>
  <r>
    <s v="EMP0458"/>
    <n v="33"/>
    <x v="0"/>
    <s v="Female"/>
    <s v="Oceania"/>
    <s v="Sales"/>
  </r>
  <r>
    <s v="EMP0459"/>
    <n v="53"/>
    <x v="2"/>
    <s v="Prefer not to say"/>
    <s v="Asia"/>
    <s v="Marketing"/>
  </r>
  <r>
    <s v="EMP0460"/>
    <n v="53"/>
    <x v="2"/>
    <s v="Female"/>
    <s v="Africa"/>
    <s v="Sales"/>
  </r>
  <r>
    <s v="EMP0461"/>
    <n v="40"/>
    <x v="1"/>
    <s v="Female"/>
    <s v="Europe"/>
    <s v="Project Manager"/>
  </r>
  <r>
    <s v="EMP0462"/>
    <n v="36"/>
    <x v="0"/>
    <s v="Non-binary"/>
    <s v="Europe"/>
    <s v="Designer"/>
  </r>
  <r>
    <s v="EMP0463"/>
    <n v="54"/>
    <x v="2"/>
    <s v="Prefer not to say"/>
    <s v="Europe"/>
    <s v="Designer"/>
  </r>
  <r>
    <s v="EMP0464"/>
    <n v="41"/>
    <x v="1"/>
    <s v="Prefer not to say"/>
    <s v="North America"/>
    <s v="HR"/>
  </r>
  <r>
    <s v="EMP0465"/>
    <n v="55"/>
    <x v="2"/>
    <s v="Female"/>
    <s v="Europe"/>
    <s v="Sales"/>
  </r>
  <r>
    <s v="EMP0466"/>
    <n v="34"/>
    <x v="0"/>
    <s v="Prefer not to say"/>
    <s v="Europe"/>
    <s v="Marketing"/>
  </r>
  <r>
    <s v="EMP0467"/>
    <n v="43"/>
    <x v="1"/>
    <s v="Prefer not to say"/>
    <s v="Europe"/>
    <s v="Project Manager"/>
  </r>
  <r>
    <s v="EMP0468"/>
    <n v="37"/>
    <x v="0"/>
    <s v="Non-binary"/>
    <s v="Oceania"/>
    <s v="Project Manager"/>
  </r>
  <r>
    <s v="EMP0469"/>
    <n v="37"/>
    <x v="0"/>
    <s v="Prefer not to say"/>
    <s v="Asia"/>
    <s v="HR"/>
  </r>
  <r>
    <s v="EMP0470"/>
    <n v="57"/>
    <x v="2"/>
    <s v="Female"/>
    <s v="Africa"/>
    <s v="Sales"/>
  </r>
  <r>
    <s v="EMP0471"/>
    <n v="33"/>
    <x v="0"/>
    <s v="Female"/>
    <s v="Europe"/>
    <s v="Sales"/>
  </r>
  <r>
    <s v="EMP0472"/>
    <n v="51"/>
    <x v="2"/>
    <s v="Female"/>
    <s v="Africa"/>
    <s v="HR"/>
  </r>
  <r>
    <s v="EMP0473"/>
    <n v="50"/>
    <x v="2"/>
    <s v="Male"/>
    <s v="Europe"/>
    <s v="Designer"/>
  </r>
  <r>
    <s v="EMP0474"/>
    <n v="35"/>
    <x v="0"/>
    <s v="Female"/>
    <s v="Asia"/>
    <s v="Sales"/>
  </r>
  <r>
    <s v="EMP0475"/>
    <n v="40"/>
    <x v="1"/>
    <s v="Non-binary"/>
    <s v="Africa"/>
    <s v="Marketing"/>
  </r>
  <r>
    <s v="EMP0476"/>
    <n v="53"/>
    <x v="2"/>
    <s v="Non-binary"/>
    <s v="South America"/>
    <s v="Project Manager"/>
  </r>
  <r>
    <s v="EMP0477"/>
    <n v="32"/>
    <x v="0"/>
    <s v="Male"/>
    <s v="Africa"/>
    <s v="Marketing"/>
  </r>
  <r>
    <s v="EMP0478"/>
    <n v="56"/>
    <x v="2"/>
    <s v="Female"/>
    <s v="Africa"/>
    <s v="Designer"/>
  </r>
  <r>
    <s v="EMP0479"/>
    <n v="55"/>
    <x v="2"/>
    <s v="Female"/>
    <s v="South America"/>
    <s v="Sales"/>
  </r>
  <r>
    <s v="EMP0480"/>
    <n v="49"/>
    <x v="1"/>
    <s v="Non-binary"/>
    <s v="Africa"/>
    <s v="Project Manager"/>
  </r>
  <r>
    <s v="EMP0481"/>
    <n v="23"/>
    <x v="3"/>
    <s v="Female"/>
    <s v="North America"/>
    <s v="Software Engineer"/>
  </r>
  <r>
    <s v="EMP0482"/>
    <n v="38"/>
    <x v="0"/>
    <s v="Male"/>
    <s v="Africa"/>
    <s v="Sales"/>
  </r>
  <r>
    <s v="EMP0483"/>
    <n v="23"/>
    <x v="3"/>
    <s v="Male"/>
    <s v="Africa"/>
    <s v="Marketing"/>
  </r>
  <r>
    <s v="EMP0484"/>
    <n v="29"/>
    <x v="3"/>
    <s v="Female"/>
    <s v="Africa"/>
    <s v="Project Manager"/>
  </r>
  <r>
    <s v="EMP0485"/>
    <n v="24"/>
    <x v="3"/>
    <s v="Female"/>
    <s v="Europe"/>
    <s v="Data Scientist"/>
  </r>
  <r>
    <s v="EMP0486"/>
    <n v="58"/>
    <x v="2"/>
    <s v="Male"/>
    <s v="South America"/>
    <s v="Software Engineer"/>
  </r>
  <r>
    <s v="EMP0487"/>
    <n v="42"/>
    <x v="1"/>
    <s v="Male"/>
    <s v="Africa"/>
    <s v="Project Manager"/>
  </r>
  <r>
    <s v="EMP0488"/>
    <n v="42"/>
    <x v="1"/>
    <s v="Male"/>
    <s v="South America"/>
    <s v="Designer"/>
  </r>
  <r>
    <s v="EMP0489"/>
    <n v="39"/>
    <x v="0"/>
    <s v="Non-binary"/>
    <s v="Asia"/>
    <s v="Sales"/>
  </r>
  <r>
    <s v="EMP0490"/>
    <n v="45"/>
    <x v="1"/>
    <s v="Male"/>
    <s v="Oceania"/>
    <s v="Designer"/>
  </r>
  <r>
    <s v="EMP0491"/>
    <n v="53"/>
    <x v="2"/>
    <s v="Non-binary"/>
    <s v="Oceania"/>
    <s v="Project Manager"/>
  </r>
  <r>
    <s v="EMP0492"/>
    <n v="43"/>
    <x v="1"/>
    <s v="Prefer not to say"/>
    <s v="North America"/>
    <s v="Sales"/>
  </r>
  <r>
    <s v="EMP0493"/>
    <n v="24"/>
    <x v="3"/>
    <s v="Prefer not to say"/>
    <s v="South America"/>
    <s v="Designer"/>
  </r>
  <r>
    <s v="EMP0494"/>
    <n v="44"/>
    <x v="1"/>
    <s v="Male"/>
    <s v="Europe"/>
    <s v="Marketing"/>
  </r>
  <r>
    <s v="EMP0495"/>
    <n v="39"/>
    <x v="0"/>
    <s v="Prefer not to say"/>
    <s v="North America"/>
    <s v="Software Engineer"/>
  </r>
  <r>
    <s v="EMP0496"/>
    <n v="40"/>
    <x v="1"/>
    <s v="Prefer not to say"/>
    <s v="Europe"/>
    <s v="HR"/>
  </r>
  <r>
    <s v="EMP0497"/>
    <n v="41"/>
    <x v="1"/>
    <s v="Non-binary"/>
    <s v="North America"/>
    <s v="Designer"/>
  </r>
  <r>
    <s v="EMP0498"/>
    <n v="23"/>
    <x v="3"/>
    <s v="Male"/>
    <s v="North America"/>
    <s v="Data Scientist"/>
  </r>
  <r>
    <s v="EMP0499"/>
    <n v="53"/>
    <x v="2"/>
    <s v="Female"/>
    <s v="North America"/>
    <s v="Software Engineer"/>
  </r>
  <r>
    <s v="EMP0500"/>
    <n v="52"/>
    <x v="2"/>
    <s v="Non-binary"/>
    <s v="Asia"/>
    <s v="Project Manager"/>
  </r>
  <r>
    <s v="EMP0501"/>
    <n v="58"/>
    <x v="2"/>
    <s v="Female"/>
    <s v="Europe"/>
    <s v="Data Scientist"/>
  </r>
  <r>
    <s v="EMP0502"/>
    <n v="56"/>
    <x v="2"/>
    <s v="Prefer not to say"/>
    <s v="Oceania"/>
    <s v="Data Scientist"/>
  </r>
  <r>
    <s v="EMP0503"/>
    <n v="34"/>
    <x v="0"/>
    <s v="Female"/>
    <s v="Africa"/>
    <s v="Software Engineer"/>
  </r>
  <r>
    <s v="EMP0504"/>
    <n v="36"/>
    <x v="0"/>
    <s v="Non-binary"/>
    <s v="Europe"/>
    <s v="Sales"/>
  </r>
  <r>
    <s v="EMP0505"/>
    <n v="50"/>
    <x v="2"/>
    <s v="Male"/>
    <s v="South America"/>
    <s v="Software Engineer"/>
  </r>
  <r>
    <s v="EMP0506"/>
    <n v="41"/>
    <x v="1"/>
    <s v="Male"/>
    <s v="Asia"/>
    <s v="Software Engineer"/>
  </r>
  <r>
    <s v="EMP0507"/>
    <n v="27"/>
    <x v="3"/>
    <s v="Female"/>
    <s v="North America"/>
    <s v="Sales"/>
  </r>
  <r>
    <s v="EMP0508"/>
    <n v="40"/>
    <x v="1"/>
    <s v="Non-binary"/>
    <s v="Europe"/>
    <s v="Designer"/>
  </r>
  <r>
    <s v="EMP0509"/>
    <n v="33"/>
    <x v="0"/>
    <s v="Male"/>
    <s v="Africa"/>
    <s v="HR"/>
  </r>
  <r>
    <s v="EMP0510"/>
    <n v="45"/>
    <x v="1"/>
    <s v="Prefer not to say"/>
    <s v="Oceania"/>
    <s v="Sales"/>
  </r>
  <r>
    <s v="EMP0511"/>
    <n v="39"/>
    <x v="0"/>
    <s v="Prefer not to say"/>
    <s v="Oceania"/>
    <s v="HR"/>
  </r>
  <r>
    <s v="EMP0512"/>
    <n v="34"/>
    <x v="0"/>
    <s v="Male"/>
    <s v="Asia"/>
    <s v="Designer"/>
  </r>
  <r>
    <s v="EMP0513"/>
    <n v="40"/>
    <x v="1"/>
    <s v="Female"/>
    <s v="Oceania"/>
    <s v="Marketing"/>
  </r>
  <r>
    <s v="EMP0514"/>
    <n v="49"/>
    <x v="1"/>
    <s v="Female"/>
    <s v="North America"/>
    <s v="Data Scientist"/>
  </r>
  <r>
    <s v="EMP0515"/>
    <n v="35"/>
    <x v="0"/>
    <s v="Female"/>
    <s v="Africa"/>
    <s v="Project Manager"/>
  </r>
  <r>
    <s v="EMP0516"/>
    <n v="43"/>
    <x v="1"/>
    <s v="Non-binary"/>
    <s v="Asia"/>
    <s v="Designer"/>
  </r>
  <r>
    <s v="EMP0517"/>
    <n v="59"/>
    <x v="2"/>
    <s v="Female"/>
    <s v="Europe"/>
    <s v="HR"/>
  </r>
  <r>
    <s v="EMP0518"/>
    <n v="60"/>
    <x v="2"/>
    <s v="Prefer not to say"/>
    <s v="Asia"/>
    <s v="Data Scientist"/>
  </r>
  <r>
    <s v="EMP0519"/>
    <n v="42"/>
    <x v="1"/>
    <s v="Female"/>
    <s v="Oceania"/>
    <s v="Project Manager"/>
  </r>
  <r>
    <s v="EMP0520"/>
    <n v="42"/>
    <x v="1"/>
    <s v="Prefer not to say"/>
    <s v="Asia"/>
    <s v="Designer"/>
  </r>
  <r>
    <s v="EMP0521"/>
    <n v="37"/>
    <x v="0"/>
    <s v="Male"/>
    <s v="South America"/>
    <s v="HR"/>
  </r>
  <r>
    <s v="EMP0522"/>
    <n v="60"/>
    <x v="2"/>
    <s v="Female"/>
    <s v="Oceania"/>
    <s v="Data Scientist"/>
  </r>
  <r>
    <s v="EMP0523"/>
    <n v="33"/>
    <x v="0"/>
    <s v="Non-binary"/>
    <s v="Europe"/>
    <s v="Software Engineer"/>
  </r>
  <r>
    <s v="EMP0524"/>
    <n v="60"/>
    <x v="2"/>
    <s v="Male"/>
    <s v="Oceania"/>
    <s v="Project Manager"/>
  </r>
  <r>
    <s v="EMP0525"/>
    <n v="58"/>
    <x v="2"/>
    <s v="Female"/>
    <s v="Oceania"/>
    <s v="Designer"/>
  </r>
  <r>
    <s v="EMP0526"/>
    <n v="25"/>
    <x v="3"/>
    <s v="Male"/>
    <s v="South America"/>
    <s v="Software Engineer"/>
  </r>
  <r>
    <s v="EMP0527"/>
    <n v="30"/>
    <x v="0"/>
    <s v="Prefer not to say"/>
    <s v="North America"/>
    <s v="Project Manager"/>
  </r>
  <r>
    <s v="EMP0528"/>
    <n v="28"/>
    <x v="3"/>
    <s v="Female"/>
    <s v="Africa"/>
    <s v="Software Engineer"/>
  </r>
  <r>
    <s v="EMP0529"/>
    <n v="28"/>
    <x v="3"/>
    <s v="Non-binary"/>
    <s v="North America"/>
    <s v="Project Manager"/>
  </r>
  <r>
    <s v="EMP0530"/>
    <n v="23"/>
    <x v="3"/>
    <s v="Prefer not to say"/>
    <s v="Europe"/>
    <s v="Marketing"/>
  </r>
  <r>
    <s v="EMP0531"/>
    <n v="36"/>
    <x v="0"/>
    <s v="Female"/>
    <s v="Oceania"/>
    <s v="Software Engineer"/>
  </r>
  <r>
    <s v="EMP0532"/>
    <n v="50"/>
    <x v="2"/>
    <s v="Male"/>
    <s v="South America"/>
    <s v="Designer"/>
  </r>
  <r>
    <s v="EMP0533"/>
    <n v="57"/>
    <x v="2"/>
    <s v="Non-binary"/>
    <s v="South America"/>
    <s v="Designer"/>
  </r>
  <r>
    <s v="EMP0534"/>
    <n v="44"/>
    <x v="1"/>
    <s v="Male"/>
    <s v="Africa"/>
    <s v="Sales"/>
  </r>
  <r>
    <s v="EMP0535"/>
    <n v="24"/>
    <x v="3"/>
    <s v="Non-binary"/>
    <s v="Africa"/>
    <s v="Marketing"/>
  </r>
  <r>
    <s v="EMP0536"/>
    <n v="39"/>
    <x v="0"/>
    <s v="Prefer not to say"/>
    <s v="South America"/>
    <s v="Software Engineer"/>
  </r>
  <r>
    <s v="EMP0537"/>
    <n v="57"/>
    <x v="2"/>
    <s v="Male"/>
    <s v="Europe"/>
    <s v="Marketing"/>
  </r>
  <r>
    <s v="EMP0538"/>
    <n v="45"/>
    <x v="1"/>
    <s v="Prefer not to say"/>
    <s v="North America"/>
    <s v="HR"/>
  </r>
  <r>
    <s v="EMP0539"/>
    <n v="35"/>
    <x v="0"/>
    <s v="Female"/>
    <s v="North America"/>
    <s v="Marketing"/>
  </r>
  <r>
    <s v="EMP0540"/>
    <n v="59"/>
    <x v="2"/>
    <s v="Prefer not to say"/>
    <s v="North America"/>
    <s v="Project Manager"/>
  </r>
  <r>
    <s v="EMP0541"/>
    <n v="58"/>
    <x v="2"/>
    <s v="Prefer not to say"/>
    <s v="Oceania"/>
    <s v="Marketing"/>
  </r>
  <r>
    <s v="EMP0542"/>
    <n v="48"/>
    <x v="1"/>
    <s v="Male"/>
    <s v="Oceania"/>
    <s v="Data Scientist"/>
  </r>
  <r>
    <s v="EMP0543"/>
    <n v="55"/>
    <x v="2"/>
    <s v="Prefer not to say"/>
    <s v="South America"/>
    <s v="Data Scientist"/>
  </r>
  <r>
    <s v="EMP0544"/>
    <n v="60"/>
    <x v="2"/>
    <s v="Male"/>
    <s v="Europe"/>
    <s v="Designer"/>
  </r>
  <r>
    <s v="EMP0545"/>
    <n v="60"/>
    <x v="2"/>
    <s v="Prefer not to say"/>
    <s v="Europe"/>
    <s v="Software Engineer"/>
  </r>
  <r>
    <s v="EMP0546"/>
    <n v="23"/>
    <x v="3"/>
    <s v="Non-binary"/>
    <s v="South America"/>
    <s v="HR"/>
  </r>
  <r>
    <s v="EMP0547"/>
    <n v="28"/>
    <x v="3"/>
    <s v="Male"/>
    <s v="North America"/>
    <s v="Designer"/>
  </r>
  <r>
    <s v="EMP0548"/>
    <n v="49"/>
    <x v="1"/>
    <s v="Female"/>
    <s v="Oceania"/>
    <s v="Marketing"/>
  </r>
  <r>
    <s v="EMP0549"/>
    <n v="45"/>
    <x v="1"/>
    <s v="Male"/>
    <s v="Europe"/>
    <s v="Designer"/>
  </r>
  <r>
    <s v="EMP0550"/>
    <n v="22"/>
    <x v="3"/>
    <s v="Male"/>
    <s v="South America"/>
    <s v="Project Manager"/>
  </r>
  <r>
    <s v="EMP0551"/>
    <n v="24"/>
    <x v="3"/>
    <s v="Female"/>
    <s v="Oceania"/>
    <s v="Designer"/>
  </r>
  <r>
    <s v="EMP0552"/>
    <n v="39"/>
    <x v="0"/>
    <s v="Male"/>
    <s v="Oceania"/>
    <s v="Sales"/>
  </r>
  <r>
    <s v="EMP0553"/>
    <n v="27"/>
    <x v="3"/>
    <s v="Non-binary"/>
    <s v="South America"/>
    <s v="HR"/>
  </r>
  <r>
    <s v="EMP0554"/>
    <n v="38"/>
    <x v="0"/>
    <s v="Male"/>
    <s v="North America"/>
    <s v="Project Manager"/>
  </r>
  <r>
    <s v="EMP0555"/>
    <n v="50"/>
    <x v="2"/>
    <s v="Female"/>
    <s v="Africa"/>
    <s v="Project Manager"/>
  </r>
  <r>
    <s v="EMP0556"/>
    <n v="46"/>
    <x v="1"/>
    <s v="Non-binary"/>
    <s v="North America"/>
    <s v="HR"/>
  </r>
  <r>
    <s v="EMP0557"/>
    <n v="46"/>
    <x v="1"/>
    <s v="Prefer not to say"/>
    <s v="Asia"/>
    <s v="Designer"/>
  </r>
  <r>
    <s v="EMP0558"/>
    <n v="28"/>
    <x v="3"/>
    <s v="Prefer not to say"/>
    <s v="Europe"/>
    <s v="Sales"/>
  </r>
  <r>
    <s v="EMP0559"/>
    <n v="53"/>
    <x v="2"/>
    <s v="Prefer not to say"/>
    <s v="Oceania"/>
    <s v="HR"/>
  </r>
  <r>
    <s v="EMP0560"/>
    <n v="34"/>
    <x v="0"/>
    <s v="Female"/>
    <s v="North America"/>
    <s v="Software Engineer"/>
  </r>
  <r>
    <s v="EMP0561"/>
    <n v="35"/>
    <x v="0"/>
    <s v="Female"/>
    <s v="Asia"/>
    <s v="Project Manager"/>
  </r>
  <r>
    <s v="EMP0562"/>
    <n v="48"/>
    <x v="1"/>
    <s v="Prefer not to say"/>
    <s v="North America"/>
    <s v="HR"/>
  </r>
  <r>
    <s v="EMP0563"/>
    <n v="25"/>
    <x v="3"/>
    <s v="Male"/>
    <s v="Asia"/>
    <s v="Sales"/>
  </r>
  <r>
    <s v="EMP0564"/>
    <n v="54"/>
    <x v="2"/>
    <s v="Prefer not to say"/>
    <s v="South America"/>
    <s v="Software Engineer"/>
  </r>
  <r>
    <s v="EMP0565"/>
    <n v="37"/>
    <x v="0"/>
    <s v="Male"/>
    <s v="Oceania"/>
    <s v="Sales"/>
  </r>
  <r>
    <s v="EMP0566"/>
    <n v="33"/>
    <x v="0"/>
    <s v="Male"/>
    <s v="Africa"/>
    <s v="Project Manager"/>
  </r>
  <r>
    <s v="EMP0567"/>
    <n v="24"/>
    <x v="3"/>
    <s v="Female"/>
    <s v="South America"/>
    <s v="Sales"/>
  </r>
  <r>
    <s v="EMP0568"/>
    <n v="52"/>
    <x v="2"/>
    <s v="Prefer not to say"/>
    <s v="North America"/>
    <s v="HR"/>
  </r>
  <r>
    <s v="EMP0569"/>
    <n v="22"/>
    <x v="3"/>
    <s v="Male"/>
    <s v="Oceania"/>
    <s v="Project Manager"/>
  </r>
  <r>
    <s v="EMP0570"/>
    <n v="48"/>
    <x v="1"/>
    <s v="Prefer not to say"/>
    <s v="Asia"/>
    <s v="Software Engineer"/>
  </r>
  <r>
    <s v="EMP0571"/>
    <n v="48"/>
    <x v="1"/>
    <s v="Male"/>
    <s v="South America"/>
    <s v="Designer"/>
  </r>
  <r>
    <s v="EMP0572"/>
    <n v="47"/>
    <x v="1"/>
    <s v="Female"/>
    <s v="Africa"/>
    <s v="Sales"/>
  </r>
  <r>
    <s v="EMP0573"/>
    <n v="51"/>
    <x v="2"/>
    <s v="Male"/>
    <s v="South America"/>
    <s v="Software Engineer"/>
  </r>
  <r>
    <s v="EMP0574"/>
    <n v="52"/>
    <x v="2"/>
    <s v="Male"/>
    <s v="North America"/>
    <s v="Marketing"/>
  </r>
  <r>
    <s v="EMP0575"/>
    <n v="41"/>
    <x v="1"/>
    <s v="Female"/>
    <s v="Oceania"/>
    <s v="Software Engineer"/>
  </r>
  <r>
    <s v="EMP0576"/>
    <n v="28"/>
    <x v="3"/>
    <s v="Male"/>
    <s v="Oceania"/>
    <s v="Project Manager"/>
  </r>
  <r>
    <s v="EMP0577"/>
    <n v="44"/>
    <x v="1"/>
    <s v="Prefer not to say"/>
    <s v="South America"/>
    <s v="Designer"/>
  </r>
  <r>
    <s v="EMP0578"/>
    <n v="50"/>
    <x v="2"/>
    <s v="Non-binary"/>
    <s v="Europe"/>
    <s v="Sales"/>
  </r>
  <r>
    <s v="EMP0579"/>
    <n v="43"/>
    <x v="1"/>
    <s v="Prefer not to say"/>
    <s v="Europe"/>
    <s v="Project Manager"/>
  </r>
  <r>
    <s v="EMP0580"/>
    <n v="43"/>
    <x v="1"/>
    <s v="Male"/>
    <s v="North America"/>
    <s v="HR"/>
  </r>
  <r>
    <s v="EMP0581"/>
    <n v="29"/>
    <x v="3"/>
    <s v="Prefer not to say"/>
    <s v="Oceania"/>
    <s v="Marketing"/>
  </r>
  <r>
    <s v="EMP0582"/>
    <n v="30"/>
    <x v="0"/>
    <s v="Prefer not to say"/>
    <s v="Europe"/>
    <s v="Marketing"/>
  </r>
  <r>
    <s v="EMP0583"/>
    <n v="50"/>
    <x v="2"/>
    <s v="Prefer not to say"/>
    <s v="Oceania"/>
    <s v="HR"/>
  </r>
  <r>
    <s v="EMP0584"/>
    <n v="60"/>
    <x v="2"/>
    <s v="Male"/>
    <s v="South America"/>
    <s v="HR"/>
  </r>
  <r>
    <s v="EMP0585"/>
    <n v="31"/>
    <x v="0"/>
    <s v="Prefer not to say"/>
    <s v="North America"/>
    <s v="Data Scientist"/>
  </r>
  <r>
    <s v="EMP0586"/>
    <n v="43"/>
    <x v="1"/>
    <s v="Female"/>
    <s v="Europe"/>
    <s v="Sales"/>
  </r>
  <r>
    <s v="EMP0587"/>
    <n v="58"/>
    <x v="2"/>
    <s v="Female"/>
    <s v="Africa"/>
    <s v="Sales"/>
  </r>
  <r>
    <s v="EMP0588"/>
    <n v="56"/>
    <x v="2"/>
    <s v="Prefer not to say"/>
    <s v="South America"/>
    <s v="Software Engineer"/>
  </r>
  <r>
    <s v="EMP0589"/>
    <n v="40"/>
    <x v="1"/>
    <s v="Non-binary"/>
    <s v="South America"/>
    <s v="Designer"/>
  </r>
  <r>
    <s v="EMP0590"/>
    <n v="57"/>
    <x v="2"/>
    <s v="Female"/>
    <s v="Asia"/>
    <s v="Designer"/>
  </r>
  <r>
    <s v="EMP0591"/>
    <n v="31"/>
    <x v="0"/>
    <s v="Male"/>
    <s v="North America"/>
    <s v="Project Manager"/>
  </r>
  <r>
    <s v="EMP0592"/>
    <n v="35"/>
    <x v="0"/>
    <s v="Female"/>
    <s v="South America"/>
    <s v="Marketing"/>
  </r>
  <r>
    <s v="EMP0593"/>
    <n v="32"/>
    <x v="0"/>
    <s v="Prefer not to say"/>
    <s v="Africa"/>
    <s v="Sales"/>
  </r>
  <r>
    <s v="EMP0594"/>
    <n v="31"/>
    <x v="0"/>
    <s v="Prefer not to say"/>
    <s v="Oceania"/>
    <s v="Project Manager"/>
  </r>
  <r>
    <s v="EMP0595"/>
    <n v="53"/>
    <x v="2"/>
    <s v="Prefer not to say"/>
    <s v="Europe"/>
    <s v="Sales"/>
  </r>
  <r>
    <s v="EMP0596"/>
    <n v="42"/>
    <x v="1"/>
    <s v="Prefer not to say"/>
    <s v="Oceania"/>
    <s v="Designer"/>
  </r>
  <r>
    <s v="EMP0597"/>
    <n v="35"/>
    <x v="0"/>
    <s v="Male"/>
    <s v="Europe"/>
    <s v="Designer"/>
  </r>
  <r>
    <s v="EMP0598"/>
    <n v="58"/>
    <x v="2"/>
    <s v="Female"/>
    <s v="South America"/>
    <s v="HR"/>
  </r>
  <r>
    <s v="EMP0599"/>
    <n v="26"/>
    <x v="3"/>
    <s v="Female"/>
    <s v="South America"/>
    <s v="Marketing"/>
  </r>
  <r>
    <s v="EMP0600"/>
    <n v="45"/>
    <x v="1"/>
    <s v="Non-binary"/>
    <s v="Oceania"/>
    <s v="Software Engineer"/>
  </r>
  <r>
    <s v="EMP0601"/>
    <n v="36"/>
    <x v="0"/>
    <s v="Male"/>
    <s v="Africa"/>
    <s v="Designer"/>
  </r>
  <r>
    <s v="EMP0602"/>
    <n v="25"/>
    <x v="3"/>
    <s v="Non-binary"/>
    <s v="Asia"/>
    <s v="Marketing"/>
  </r>
  <r>
    <s v="EMP0603"/>
    <n v="55"/>
    <x v="2"/>
    <s v="Prefer not to say"/>
    <s v="Asia"/>
    <s v="Project Manager"/>
  </r>
  <r>
    <s v="EMP0604"/>
    <n v="47"/>
    <x v="1"/>
    <s v="Female"/>
    <s v="Asia"/>
    <s v="Data Scientist"/>
  </r>
  <r>
    <s v="EMP0605"/>
    <n v="46"/>
    <x v="1"/>
    <s v="Female"/>
    <s v="Asia"/>
    <s v="Sales"/>
  </r>
  <r>
    <s v="EMP0606"/>
    <n v="39"/>
    <x v="0"/>
    <s v="Prefer not to say"/>
    <s v="Africa"/>
    <s v="Sales"/>
  </r>
  <r>
    <s v="EMP0607"/>
    <n v="27"/>
    <x v="3"/>
    <s v="Male"/>
    <s v="South America"/>
    <s v="Designer"/>
  </r>
  <r>
    <s v="EMP0608"/>
    <n v="35"/>
    <x v="0"/>
    <s v="Prefer not to say"/>
    <s v="North America"/>
    <s v="Sales"/>
  </r>
  <r>
    <s v="EMP0609"/>
    <n v="60"/>
    <x v="2"/>
    <s v="Female"/>
    <s v="North America"/>
    <s v="Marketing"/>
  </r>
  <r>
    <s v="EMP0610"/>
    <n v="33"/>
    <x v="0"/>
    <s v="Female"/>
    <s v="North America"/>
    <s v="Software Engineer"/>
  </r>
  <r>
    <s v="EMP0611"/>
    <n v="45"/>
    <x v="1"/>
    <s v="Prefer not to say"/>
    <s v="South America"/>
    <s v="Marketing"/>
  </r>
  <r>
    <s v="EMP0612"/>
    <n v="26"/>
    <x v="3"/>
    <s v="Male"/>
    <s v="Asia"/>
    <s v="HR"/>
  </r>
  <r>
    <s v="EMP0613"/>
    <n v="25"/>
    <x v="3"/>
    <s v="Male"/>
    <s v="Asia"/>
    <s v="Marketing"/>
  </r>
  <r>
    <s v="EMP0614"/>
    <n v="57"/>
    <x v="2"/>
    <s v="Female"/>
    <s v="Oceania"/>
    <s v="Sales"/>
  </r>
  <r>
    <s v="EMP0615"/>
    <n v="38"/>
    <x v="0"/>
    <s v="Prefer not to say"/>
    <s v="Asia"/>
    <s v="Sales"/>
  </r>
  <r>
    <s v="EMP0616"/>
    <n v="50"/>
    <x v="2"/>
    <s v="Non-binary"/>
    <s v="Europe"/>
    <s v="Sales"/>
  </r>
  <r>
    <s v="EMP0617"/>
    <n v="38"/>
    <x v="0"/>
    <s v="Male"/>
    <s v="Asia"/>
    <s v="Marketing"/>
  </r>
  <r>
    <s v="EMP0618"/>
    <n v="56"/>
    <x v="2"/>
    <s v="Male"/>
    <s v="Oceania"/>
    <s v="Sales"/>
  </r>
  <r>
    <s v="EMP0619"/>
    <n v="54"/>
    <x v="2"/>
    <s v="Non-binary"/>
    <s v="South America"/>
    <s v="Software Engineer"/>
  </r>
  <r>
    <s v="EMP0620"/>
    <n v="27"/>
    <x v="3"/>
    <s v="Prefer not to say"/>
    <s v="North America"/>
    <s v="HR"/>
  </r>
  <r>
    <s v="EMP0621"/>
    <n v="29"/>
    <x v="3"/>
    <s v="Non-binary"/>
    <s v="Africa"/>
    <s v="Software Engineer"/>
  </r>
  <r>
    <s v="EMP0622"/>
    <n v="34"/>
    <x v="0"/>
    <s v="Non-binary"/>
    <s v="Oceania"/>
    <s v="Project Manager"/>
  </r>
  <r>
    <s v="EMP0623"/>
    <n v="25"/>
    <x v="3"/>
    <s v="Prefer not to say"/>
    <s v="South America"/>
    <s v="Designer"/>
  </r>
  <r>
    <s v="EMP0624"/>
    <n v="35"/>
    <x v="0"/>
    <s v="Male"/>
    <s v="South America"/>
    <s v="Designer"/>
  </r>
  <r>
    <s v="EMP0625"/>
    <n v="48"/>
    <x v="1"/>
    <s v="Female"/>
    <s v="Europe"/>
    <s v="HR"/>
  </r>
  <r>
    <s v="EMP0626"/>
    <n v="28"/>
    <x v="3"/>
    <s v="Female"/>
    <s v="Oceania"/>
    <s v="Project Manager"/>
  </r>
  <r>
    <s v="EMP0627"/>
    <n v="23"/>
    <x v="3"/>
    <s v="Non-binary"/>
    <s v="Asia"/>
    <s v="Software Engineer"/>
  </r>
  <r>
    <s v="EMP0628"/>
    <n v="34"/>
    <x v="0"/>
    <s v="Non-binary"/>
    <s v="Africa"/>
    <s v="Marketing"/>
  </r>
  <r>
    <s v="EMP0629"/>
    <n v="53"/>
    <x v="2"/>
    <s v="Prefer not to say"/>
    <s v="Oceania"/>
    <s v="Data Scientist"/>
  </r>
  <r>
    <s v="EMP0630"/>
    <n v="52"/>
    <x v="2"/>
    <s v="Prefer not to say"/>
    <s v="North America"/>
    <s v="Designer"/>
  </r>
  <r>
    <s v="EMP0631"/>
    <n v="29"/>
    <x v="3"/>
    <s v="Male"/>
    <s v="Asia"/>
    <s v="Project Manager"/>
  </r>
  <r>
    <s v="EMP0632"/>
    <n v="53"/>
    <x v="2"/>
    <s v="Female"/>
    <s v="North America"/>
    <s v="Designer"/>
  </r>
  <r>
    <s v="EMP0633"/>
    <n v="42"/>
    <x v="1"/>
    <s v="Male"/>
    <s v="North America"/>
    <s v="Sales"/>
  </r>
  <r>
    <s v="EMP0634"/>
    <n v="35"/>
    <x v="0"/>
    <s v="Male"/>
    <s v="Oceania"/>
    <s v="Marketing"/>
  </r>
  <r>
    <s v="EMP0635"/>
    <n v="42"/>
    <x v="1"/>
    <s v="Non-binary"/>
    <s v="Asia"/>
    <s v="Project Manager"/>
  </r>
  <r>
    <s v="EMP0636"/>
    <n v="45"/>
    <x v="1"/>
    <s v="Male"/>
    <s v="Africa"/>
    <s v="Software Engineer"/>
  </r>
  <r>
    <s v="EMP0637"/>
    <n v="24"/>
    <x v="3"/>
    <s v="Male"/>
    <s v="Asia"/>
    <s v="Sales"/>
  </r>
  <r>
    <s v="EMP0638"/>
    <n v="40"/>
    <x v="1"/>
    <s v="Female"/>
    <s v="Europe"/>
    <s v="Software Engineer"/>
  </r>
  <r>
    <s v="EMP0639"/>
    <n v="52"/>
    <x v="2"/>
    <s v="Non-binary"/>
    <s v="Africa"/>
    <s v="Software Engineer"/>
  </r>
  <r>
    <s v="EMP0640"/>
    <n v="55"/>
    <x v="2"/>
    <s v="Male"/>
    <s v="North America"/>
    <s v="Sales"/>
  </r>
  <r>
    <s v="EMP0641"/>
    <n v="38"/>
    <x v="0"/>
    <s v="Non-binary"/>
    <s v="North America"/>
    <s v="Data Scientist"/>
  </r>
  <r>
    <s v="EMP0642"/>
    <n v="50"/>
    <x v="2"/>
    <s v="Male"/>
    <s v="North America"/>
    <s v="Designer"/>
  </r>
  <r>
    <s v="EMP0643"/>
    <n v="36"/>
    <x v="0"/>
    <s v="Male"/>
    <s v="Oceania"/>
    <s v="Marketing"/>
  </r>
  <r>
    <s v="EMP0644"/>
    <n v="36"/>
    <x v="0"/>
    <s v="Female"/>
    <s v="Europe"/>
    <s v="Project Manager"/>
  </r>
  <r>
    <s v="EMP0645"/>
    <n v="34"/>
    <x v="0"/>
    <s v="Male"/>
    <s v="Oceania"/>
    <s v="Sales"/>
  </r>
  <r>
    <s v="EMP0646"/>
    <n v="55"/>
    <x v="2"/>
    <s v="Male"/>
    <s v="South America"/>
    <s v="Designer"/>
  </r>
  <r>
    <s v="EMP0647"/>
    <n v="37"/>
    <x v="0"/>
    <s v="Prefer not to say"/>
    <s v="North America"/>
    <s v="HR"/>
  </r>
  <r>
    <s v="EMP0648"/>
    <n v="39"/>
    <x v="0"/>
    <s v="Female"/>
    <s v="North America"/>
    <s v="Designer"/>
  </r>
  <r>
    <s v="EMP0649"/>
    <n v="41"/>
    <x v="1"/>
    <s v="Female"/>
    <s v="Asia"/>
    <s v="Marketing"/>
  </r>
  <r>
    <s v="EMP0650"/>
    <n v="58"/>
    <x v="2"/>
    <s v="Male"/>
    <s v="Asia"/>
    <s v="Sales"/>
  </r>
  <r>
    <s v="EMP0651"/>
    <n v="25"/>
    <x v="3"/>
    <s v="Female"/>
    <s v="Africa"/>
    <s v="Software Engineer"/>
  </r>
  <r>
    <s v="EMP0652"/>
    <n v="26"/>
    <x v="3"/>
    <s v="Male"/>
    <s v="Oceania"/>
    <s v="HR"/>
  </r>
  <r>
    <s v="EMP0653"/>
    <n v="23"/>
    <x v="3"/>
    <s v="Male"/>
    <s v="North America"/>
    <s v="Project Manager"/>
  </r>
  <r>
    <s v="EMP0654"/>
    <n v="45"/>
    <x v="1"/>
    <s v="Male"/>
    <s v="Europe"/>
    <s v="Data Scientist"/>
  </r>
  <r>
    <s v="EMP0655"/>
    <n v="55"/>
    <x v="2"/>
    <s v="Male"/>
    <s v="Asia"/>
    <s v="Software Engineer"/>
  </r>
  <r>
    <s v="EMP0656"/>
    <n v="23"/>
    <x v="3"/>
    <s v="Male"/>
    <s v="North America"/>
    <s v="Designer"/>
  </r>
  <r>
    <s v="EMP0657"/>
    <n v="27"/>
    <x v="3"/>
    <s v="Female"/>
    <s v="Oceania"/>
    <s v="Software Engineer"/>
  </r>
  <r>
    <s v="EMP0658"/>
    <n v="33"/>
    <x v="0"/>
    <s v="Male"/>
    <s v="Oceania"/>
    <s v="Marketing"/>
  </r>
  <r>
    <s v="EMP0659"/>
    <n v="54"/>
    <x v="2"/>
    <s v="Non-binary"/>
    <s v="Europe"/>
    <s v="HR"/>
  </r>
  <r>
    <s v="EMP0660"/>
    <n v="47"/>
    <x v="1"/>
    <s v="Non-binary"/>
    <s v="Europe"/>
    <s v="Software Engineer"/>
  </r>
  <r>
    <s v="EMP0661"/>
    <n v="48"/>
    <x v="1"/>
    <s v="Prefer not to say"/>
    <s v="Africa"/>
    <s v="Software Engineer"/>
  </r>
  <r>
    <s v="EMP0662"/>
    <n v="35"/>
    <x v="0"/>
    <s v="Female"/>
    <s v="Asia"/>
    <s v="Designer"/>
  </r>
  <r>
    <s v="EMP0663"/>
    <n v="43"/>
    <x v="1"/>
    <s v="Male"/>
    <s v="South America"/>
    <s v="Software Engineer"/>
  </r>
  <r>
    <s v="EMP0664"/>
    <n v="43"/>
    <x v="1"/>
    <s v="Female"/>
    <s v="Africa"/>
    <s v="Sales"/>
  </r>
  <r>
    <s v="EMP0665"/>
    <n v="46"/>
    <x v="1"/>
    <s v="Prefer not to say"/>
    <s v="South America"/>
    <s v="Marketing"/>
  </r>
  <r>
    <s v="EMP0666"/>
    <n v="38"/>
    <x v="0"/>
    <s v="Non-binary"/>
    <s v="Oceania"/>
    <s v="Project Manager"/>
  </r>
  <r>
    <s v="EMP0667"/>
    <n v="22"/>
    <x v="3"/>
    <s v="Female"/>
    <s v="Asia"/>
    <s v="HR"/>
  </r>
  <r>
    <s v="EMP0668"/>
    <n v="41"/>
    <x v="1"/>
    <s v="Non-binary"/>
    <s v="North America"/>
    <s v="Data Scientist"/>
  </r>
  <r>
    <s v="EMP0669"/>
    <n v="50"/>
    <x v="2"/>
    <s v="Male"/>
    <s v="Oceania"/>
    <s v="Sales"/>
  </r>
  <r>
    <s v="EMP0670"/>
    <n v="50"/>
    <x v="2"/>
    <s v="Prefer not to say"/>
    <s v="Africa"/>
    <s v="Marketing"/>
  </r>
  <r>
    <s v="EMP0671"/>
    <n v="42"/>
    <x v="1"/>
    <s v="Prefer not to say"/>
    <s v="Europe"/>
    <s v="Software Engineer"/>
  </r>
  <r>
    <s v="EMP0672"/>
    <n v="22"/>
    <x v="3"/>
    <s v="Non-binary"/>
    <s v="Europe"/>
    <s v="Designer"/>
  </r>
  <r>
    <s v="EMP0673"/>
    <n v="60"/>
    <x v="2"/>
    <s v="Female"/>
    <s v="Asia"/>
    <s v="Sales"/>
  </r>
  <r>
    <s v="EMP0674"/>
    <n v="58"/>
    <x v="2"/>
    <s v="Prefer not to say"/>
    <s v="Asia"/>
    <s v="Sales"/>
  </r>
  <r>
    <s v="EMP0675"/>
    <n v="32"/>
    <x v="0"/>
    <s v="Non-binary"/>
    <s v="Europe"/>
    <s v="HR"/>
  </r>
  <r>
    <s v="EMP0676"/>
    <n v="32"/>
    <x v="0"/>
    <s v="Male"/>
    <s v="Oceania"/>
    <s v="Sales"/>
  </r>
  <r>
    <s v="EMP0677"/>
    <n v="44"/>
    <x v="1"/>
    <s v="Female"/>
    <s v="North America"/>
    <s v="Sales"/>
  </r>
  <r>
    <s v="EMP0678"/>
    <n v="42"/>
    <x v="1"/>
    <s v="Prefer not to say"/>
    <s v="Africa"/>
    <s v="Software Engineer"/>
  </r>
  <r>
    <s v="EMP0679"/>
    <n v="25"/>
    <x v="3"/>
    <s v="Prefer not to say"/>
    <s v="South America"/>
    <s v="HR"/>
  </r>
  <r>
    <s v="EMP0680"/>
    <n v="43"/>
    <x v="1"/>
    <s v="Male"/>
    <s v="Europe"/>
    <s v="Data Scientist"/>
  </r>
  <r>
    <s v="EMP0681"/>
    <n v="39"/>
    <x v="0"/>
    <s v="Male"/>
    <s v="Oceania"/>
    <s v="Project Manager"/>
  </r>
  <r>
    <s v="EMP0682"/>
    <n v="53"/>
    <x v="2"/>
    <s v="Prefer not to say"/>
    <s v="Oceania"/>
    <s v="Data Scientist"/>
  </r>
  <r>
    <s v="EMP0683"/>
    <n v="30"/>
    <x v="0"/>
    <s v="Prefer not to say"/>
    <s v="North America"/>
    <s v="Sales"/>
  </r>
  <r>
    <s v="EMP0684"/>
    <n v="40"/>
    <x v="1"/>
    <s v="Non-binary"/>
    <s v="Africa"/>
    <s v="Sales"/>
  </r>
  <r>
    <s v="EMP0685"/>
    <n v="53"/>
    <x v="2"/>
    <s v="Prefer not to say"/>
    <s v="Africa"/>
    <s v="Data Scientist"/>
  </r>
  <r>
    <s v="EMP0686"/>
    <n v="59"/>
    <x v="2"/>
    <s v="Male"/>
    <s v="Africa"/>
    <s v="Sales"/>
  </r>
  <r>
    <s v="EMP0687"/>
    <n v="39"/>
    <x v="0"/>
    <s v="Prefer not to say"/>
    <s v="Asia"/>
    <s v="Data Scientist"/>
  </r>
  <r>
    <s v="EMP0688"/>
    <n v="57"/>
    <x v="2"/>
    <s v="Non-binary"/>
    <s v="Africa"/>
    <s v="Data Scientist"/>
  </r>
  <r>
    <s v="EMP0689"/>
    <n v="57"/>
    <x v="2"/>
    <s v="Male"/>
    <s v="South America"/>
    <s v="Marketing"/>
  </r>
  <r>
    <s v="EMP0690"/>
    <n v="45"/>
    <x v="1"/>
    <s v="Prefer not to say"/>
    <s v="Asia"/>
    <s v="Software Engineer"/>
  </r>
  <r>
    <s v="EMP0691"/>
    <n v="31"/>
    <x v="0"/>
    <s v="Prefer not to say"/>
    <s v="South America"/>
    <s v="Marketing"/>
  </r>
  <r>
    <s v="EMP0692"/>
    <n v="44"/>
    <x v="1"/>
    <s v="Female"/>
    <s v="Oceania"/>
    <s v="Designer"/>
  </r>
  <r>
    <s v="EMP0693"/>
    <n v="47"/>
    <x v="1"/>
    <s v="Non-binary"/>
    <s v="Oceania"/>
    <s v="HR"/>
  </r>
  <r>
    <s v="EMP0694"/>
    <n v="54"/>
    <x v="2"/>
    <s v="Non-binary"/>
    <s v="Europe"/>
    <s v="HR"/>
  </r>
  <r>
    <s v="EMP0695"/>
    <n v="48"/>
    <x v="1"/>
    <s v="Male"/>
    <s v="Oceania"/>
    <s v="Software Engineer"/>
  </r>
  <r>
    <s v="EMP0696"/>
    <n v="58"/>
    <x v="2"/>
    <s v="Male"/>
    <s v="North America"/>
    <s v="Marketing"/>
  </r>
  <r>
    <s v="EMP0697"/>
    <n v="29"/>
    <x v="3"/>
    <s v="Male"/>
    <s v="Europe"/>
    <s v="HR"/>
  </r>
  <r>
    <s v="EMP0698"/>
    <n v="43"/>
    <x v="1"/>
    <s v="Female"/>
    <s v="Africa"/>
    <s v="Project Manager"/>
  </r>
  <r>
    <s v="EMP0699"/>
    <n v="53"/>
    <x v="2"/>
    <s v="Male"/>
    <s v="Africa"/>
    <s v="Designer"/>
  </r>
  <r>
    <s v="EMP0700"/>
    <n v="43"/>
    <x v="1"/>
    <s v="Prefer not to say"/>
    <s v="Oceania"/>
    <s v="Data Scientist"/>
  </r>
  <r>
    <s v="EMP0701"/>
    <n v="47"/>
    <x v="1"/>
    <s v="Non-binary"/>
    <s v="South America"/>
    <s v="Designer"/>
  </r>
  <r>
    <s v="EMP0702"/>
    <n v="26"/>
    <x v="3"/>
    <s v="Non-binary"/>
    <s v="North America"/>
    <s v="Designer"/>
  </r>
  <r>
    <s v="EMP0703"/>
    <n v="57"/>
    <x v="2"/>
    <s v="Non-binary"/>
    <s v="North America"/>
    <s v="HR"/>
  </r>
  <r>
    <s v="EMP0704"/>
    <n v="36"/>
    <x v="0"/>
    <s v="Male"/>
    <s v="South America"/>
    <s v="Project Manager"/>
  </r>
  <r>
    <s v="EMP0705"/>
    <n v="26"/>
    <x v="3"/>
    <s v="Male"/>
    <s v="Oceania"/>
    <s v="Marketing"/>
  </r>
  <r>
    <s v="EMP0706"/>
    <n v="47"/>
    <x v="1"/>
    <s v="Female"/>
    <s v="Africa"/>
    <s v="Designer"/>
  </r>
  <r>
    <s v="EMP0707"/>
    <n v="59"/>
    <x v="2"/>
    <s v="Female"/>
    <s v="Africa"/>
    <s v="Software Engineer"/>
  </r>
  <r>
    <s v="EMP0708"/>
    <n v="59"/>
    <x v="2"/>
    <s v="Male"/>
    <s v="Asia"/>
    <s v="Project Manager"/>
  </r>
  <r>
    <s v="EMP0709"/>
    <n v="40"/>
    <x v="1"/>
    <s v="Prefer not to say"/>
    <s v="North America"/>
    <s v="Designer"/>
  </r>
  <r>
    <s v="EMP0710"/>
    <n v="31"/>
    <x v="0"/>
    <s v="Female"/>
    <s v="Asia"/>
    <s v="Project Manager"/>
  </r>
  <r>
    <s v="EMP0711"/>
    <n v="37"/>
    <x v="0"/>
    <s v="Prefer not to say"/>
    <s v="Oceania"/>
    <s v="HR"/>
  </r>
  <r>
    <s v="EMP0712"/>
    <n v="54"/>
    <x v="2"/>
    <s v="Prefer not to say"/>
    <s v="Europe"/>
    <s v="Software Engineer"/>
  </r>
  <r>
    <s v="EMP0713"/>
    <n v="43"/>
    <x v="1"/>
    <s v="Male"/>
    <s v="Asia"/>
    <s v="Designer"/>
  </r>
  <r>
    <s v="EMP0714"/>
    <n v="24"/>
    <x v="3"/>
    <s v="Female"/>
    <s v="Asia"/>
    <s v="Sales"/>
  </r>
  <r>
    <s v="EMP0715"/>
    <n v="29"/>
    <x v="3"/>
    <s v="Male"/>
    <s v="North America"/>
    <s v="Software Engineer"/>
  </r>
  <r>
    <s v="EMP0716"/>
    <n v="41"/>
    <x v="1"/>
    <s v="Prefer not to say"/>
    <s v="North America"/>
    <s v="Designer"/>
  </r>
  <r>
    <s v="EMP0717"/>
    <n v="51"/>
    <x v="2"/>
    <s v="Male"/>
    <s v="Asia"/>
    <s v="Software Engineer"/>
  </r>
  <r>
    <s v="EMP0718"/>
    <n v="38"/>
    <x v="0"/>
    <s v="Non-binary"/>
    <s v="South America"/>
    <s v="Software Engineer"/>
  </r>
  <r>
    <s v="EMP0719"/>
    <n v="56"/>
    <x v="2"/>
    <s v="Male"/>
    <s v="Africa"/>
    <s v="Data Scientist"/>
  </r>
  <r>
    <s v="EMP0720"/>
    <n v="41"/>
    <x v="1"/>
    <s v="Non-binary"/>
    <s v="Asia"/>
    <s v="Designer"/>
  </r>
  <r>
    <s v="EMP0721"/>
    <n v="28"/>
    <x v="3"/>
    <s v="Male"/>
    <s v="Europe"/>
    <s v="Designer"/>
  </r>
  <r>
    <s v="EMP0722"/>
    <n v="49"/>
    <x v="1"/>
    <s v="Prefer not to say"/>
    <s v="Europe"/>
    <s v="HR"/>
  </r>
  <r>
    <s v="EMP0723"/>
    <n v="49"/>
    <x v="1"/>
    <s v="Male"/>
    <s v="Europe"/>
    <s v="Marketing"/>
  </r>
  <r>
    <s v="EMP0724"/>
    <n v="55"/>
    <x v="2"/>
    <s v="Non-binary"/>
    <s v="Europe"/>
    <s v="Software Engineer"/>
  </r>
  <r>
    <s v="EMP0725"/>
    <n v="60"/>
    <x v="2"/>
    <s v="Prefer not to say"/>
    <s v="South America"/>
    <s v="Software Engineer"/>
  </r>
  <r>
    <s v="EMP0726"/>
    <n v="45"/>
    <x v="1"/>
    <s v="Female"/>
    <s v="Oceania"/>
    <s v="Sales"/>
  </r>
  <r>
    <s v="EMP0727"/>
    <n v="41"/>
    <x v="1"/>
    <s v="Male"/>
    <s v="Europe"/>
    <s v="Sales"/>
  </r>
  <r>
    <s v="EMP0728"/>
    <n v="52"/>
    <x v="2"/>
    <s v="Female"/>
    <s v="Asia"/>
    <s v="Data Scientist"/>
  </r>
  <r>
    <s v="EMP0729"/>
    <n v="60"/>
    <x v="2"/>
    <s v="Prefer not to say"/>
    <s v="Asia"/>
    <s v="Designer"/>
  </r>
  <r>
    <s v="EMP0730"/>
    <n v="53"/>
    <x v="2"/>
    <s v="Non-binary"/>
    <s v="Europe"/>
    <s v="Project Manager"/>
  </r>
  <r>
    <s v="EMP0731"/>
    <n v="42"/>
    <x v="1"/>
    <s v="Prefer not to say"/>
    <s v="Asia"/>
    <s v="Designer"/>
  </r>
  <r>
    <s v="EMP0732"/>
    <n v="43"/>
    <x v="1"/>
    <s v="Prefer not to say"/>
    <s v="Oceania"/>
    <s v="Data Scientist"/>
  </r>
  <r>
    <s v="EMP0733"/>
    <n v="43"/>
    <x v="1"/>
    <s v="Male"/>
    <s v="Europe"/>
    <s v="Designer"/>
  </r>
  <r>
    <s v="EMP0734"/>
    <n v="40"/>
    <x v="1"/>
    <s v="Female"/>
    <s v="Asia"/>
    <s v="Software Engineer"/>
  </r>
  <r>
    <s v="EMP0735"/>
    <n v="49"/>
    <x v="1"/>
    <s v="Male"/>
    <s v="Asia"/>
    <s v="Designer"/>
  </r>
  <r>
    <s v="EMP0736"/>
    <n v="24"/>
    <x v="3"/>
    <s v="Male"/>
    <s v="Oceania"/>
    <s v="Marketing"/>
  </r>
  <r>
    <s v="EMP0737"/>
    <n v="30"/>
    <x v="0"/>
    <s v="Prefer not to say"/>
    <s v="South America"/>
    <s v="Software Engineer"/>
  </r>
  <r>
    <s v="EMP0738"/>
    <n v="55"/>
    <x v="2"/>
    <s v="Prefer not to say"/>
    <s v="Africa"/>
    <s v="HR"/>
  </r>
  <r>
    <s v="EMP0739"/>
    <n v="28"/>
    <x v="3"/>
    <s v="Prefer not to say"/>
    <s v="Africa"/>
    <s v="Project Manager"/>
  </r>
  <r>
    <s v="EMP0740"/>
    <n v="42"/>
    <x v="1"/>
    <s v="Prefer not to say"/>
    <s v="Asia"/>
    <s v="Sales"/>
  </r>
  <r>
    <s v="EMP0741"/>
    <n v="60"/>
    <x v="2"/>
    <s v="Non-binary"/>
    <s v="South America"/>
    <s v="Designer"/>
  </r>
  <r>
    <s v="EMP0742"/>
    <n v="42"/>
    <x v="1"/>
    <s v="Female"/>
    <s v="Africa"/>
    <s v="Marketing"/>
  </r>
  <r>
    <s v="EMP0743"/>
    <n v="55"/>
    <x v="2"/>
    <s v="Male"/>
    <s v="Asia"/>
    <s v="Marketing"/>
  </r>
  <r>
    <s v="EMP0744"/>
    <n v="53"/>
    <x v="2"/>
    <s v="Non-binary"/>
    <s v="North America"/>
    <s v="Software Engineer"/>
  </r>
  <r>
    <s v="EMP0745"/>
    <n v="46"/>
    <x v="1"/>
    <s v="Male"/>
    <s v="North America"/>
    <s v="HR"/>
  </r>
  <r>
    <s v="EMP0746"/>
    <n v="26"/>
    <x v="3"/>
    <s v="Non-binary"/>
    <s v="South America"/>
    <s v="Designer"/>
  </r>
  <r>
    <s v="EMP0747"/>
    <n v="53"/>
    <x v="2"/>
    <s v="Male"/>
    <s v="Europe"/>
    <s v="HR"/>
  </r>
  <r>
    <s v="EMP0748"/>
    <n v="29"/>
    <x v="3"/>
    <s v="Male"/>
    <s v="Asia"/>
    <s v="HR"/>
  </r>
  <r>
    <s v="EMP0749"/>
    <n v="43"/>
    <x v="1"/>
    <s v="Female"/>
    <s v="North America"/>
    <s v="Project Manager"/>
  </r>
  <r>
    <s v="EMP0750"/>
    <n v="22"/>
    <x v="3"/>
    <s v="Male"/>
    <s v="South America"/>
    <s v="Sales"/>
  </r>
  <r>
    <s v="EMP0751"/>
    <n v="51"/>
    <x v="2"/>
    <s v="Non-binary"/>
    <s v="South America"/>
    <s v="Data Scientist"/>
  </r>
  <r>
    <s v="EMP0752"/>
    <n v="33"/>
    <x v="0"/>
    <s v="Prefer not to say"/>
    <s v="Asia"/>
    <s v="Designer"/>
  </r>
  <r>
    <s v="EMP0753"/>
    <n v="43"/>
    <x v="1"/>
    <s v="Female"/>
    <s v="South America"/>
    <s v="Data Scientist"/>
  </r>
  <r>
    <s v="EMP0754"/>
    <n v="56"/>
    <x v="2"/>
    <s v="Female"/>
    <s v="Oceania"/>
    <s v="Data Scientist"/>
  </r>
  <r>
    <s v="EMP0755"/>
    <n v="59"/>
    <x v="2"/>
    <s v="Prefer not to say"/>
    <s v="North America"/>
    <s v="Designer"/>
  </r>
  <r>
    <s v="EMP0756"/>
    <n v="47"/>
    <x v="1"/>
    <s v="Male"/>
    <s v="South America"/>
    <s v="Marketing"/>
  </r>
  <r>
    <s v="EMP0757"/>
    <n v="49"/>
    <x v="1"/>
    <s v="Male"/>
    <s v="South America"/>
    <s v="Software Engineer"/>
  </r>
  <r>
    <s v="EMP0758"/>
    <n v="35"/>
    <x v="0"/>
    <s v="Non-binary"/>
    <s v="South America"/>
    <s v="Designer"/>
  </r>
  <r>
    <s v="EMP0759"/>
    <n v="58"/>
    <x v="2"/>
    <s v="Non-binary"/>
    <s v="South America"/>
    <s v="Software Engineer"/>
  </r>
  <r>
    <s v="EMP0760"/>
    <n v="36"/>
    <x v="0"/>
    <s v="Male"/>
    <s v="Africa"/>
    <s v="HR"/>
  </r>
  <r>
    <s v="EMP0761"/>
    <n v="22"/>
    <x v="3"/>
    <s v="Female"/>
    <s v="Europe"/>
    <s v="Data Scientist"/>
  </r>
  <r>
    <s v="EMP0762"/>
    <n v="33"/>
    <x v="0"/>
    <s v="Male"/>
    <s v="Africa"/>
    <s v="Project Manager"/>
  </r>
  <r>
    <s v="EMP0763"/>
    <n v="56"/>
    <x v="2"/>
    <s v="Male"/>
    <s v="South America"/>
    <s v="Marketing"/>
  </r>
  <r>
    <s v="EMP0764"/>
    <n v="29"/>
    <x v="3"/>
    <s v="Non-binary"/>
    <s v="North America"/>
    <s v="Software Engineer"/>
  </r>
  <r>
    <s v="EMP0765"/>
    <n v="39"/>
    <x v="0"/>
    <s v="Male"/>
    <s v="North America"/>
    <s v="Software Engineer"/>
  </r>
  <r>
    <s v="EMP0766"/>
    <n v="33"/>
    <x v="0"/>
    <s v="Male"/>
    <s v="Europe"/>
    <s v="Designer"/>
  </r>
  <r>
    <s v="EMP0767"/>
    <n v="41"/>
    <x v="1"/>
    <s v="Non-binary"/>
    <s v="Europe"/>
    <s v="Marketing"/>
  </r>
  <r>
    <s v="EMP0768"/>
    <n v="40"/>
    <x v="1"/>
    <s v="Female"/>
    <s v="Europe"/>
    <s v="Marketing"/>
  </r>
  <r>
    <s v="EMP0769"/>
    <n v="36"/>
    <x v="0"/>
    <s v="Male"/>
    <s v="South America"/>
    <s v="Software Engineer"/>
  </r>
  <r>
    <s v="EMP0770"/>
    <n v="40"/>
    <x v="1"/>
    <s v="Non-binary"/>
    <s v="Oceania"/>
    <s v="Project Manager"/>
  </r>
  <r>
    <s v="EMP0771"/>
    <n v="33"/>
    <x v="0"/>
    <s v="Female"/>
    <s v="North America"/>
    <s v="Marketing"/>
  </r>
  <r>
    <s v="EMP0772"/>
    <n v="30"/>
    <x v="0"/>
    <s v="Prefer not to say"/>
    <s v="Asia"/>
    <s v="Designer"/>
  </r>
  <r>
    <s v="EMP0773"/>
    <n v="40"/>
    <x v="1"/>
    <s v="Non-binary"/>
    <s v="Europe"/>
    <s v="Marketing"/>
  </r>
  <r>
    <s v="EMP0774"/>
    <n v="58"/>
    <x v="2"/>
    <s v="Female"/>
    <s v="South America"/>
    <s v="Project Manager"/>
  </r>
  <r>
    <s v="EMP0775"/>
    <n v="45"/>
    <x v="1"/>
    <s v="Female"/>
    <s v="North America"/>
    <s v="Project Manager"/>
  </r>
  <r>
    <s v="EMP0776"/>
    <n v="40"/>
    <x v="1"/>
    <s v="Female"/>
    <s v="North America"/>
    <s v="Sales"/>
  </r>
  <r>
    <s v="EMP0777"/>
    <n v="38"/>
    <x v="0"/>
    <s v="Male"/>
    <s v="North America"/>
    <s v="Designer"/>
  </r>
  <r>
    <s v="EMP0778"/>
    <n v="55"/>
    <x v="2"/>
    <s v="Female"/>
    <s v="Asia"/>
    <s v="Marketing"/>
  </r>
  <r>
    <s v="EMP0779"/>
    <n v="29"/>
    <x v="3"/>
    <s v="Male"/>
    <s v="Africa"/>
    <s v="Project Manager"/>
  </r>
  <r>
    <s v="EMP0780"/>
    <n v="31"/>
    <x v="0"/>
    <s v="Male"/>
    <s v="Asia"/>
    <s v="Designer"/>
  </r>
  <r>
    <s v="EMP0781"/>
    <n v="60"/>
    <x v="2"/>
    <s v="Non-binary"/>
    <s v="North America"/>
    <s v="Designer"/>
  </r>
  <r>
    <s v="EMP0782"/>
    <n v="40"/>
    <x v="1"/>
    <s v="Non-binary"/>
    <s v="Oceania"/>
    <s v="HR"/>
  </r>
  <r>
    <s v="EMP0783"/>
    <n v="24"/>
    <x v="3"/>
    <s v="Non-binary"/>
    <s v="Africa"/>
    <s v="Data Scientist"/>
  </r>
  <r>
    <s v="EMP0784"/>
    <n v="30"/>
    <x v="0"/>
    <s v="Non-binary"/>
    <s v="Africa"/>
    <s v="Project Manager"/>
  </r>
  <r>
    <s v="EMP0785"/>
    <n v="28"/>
    <x v="3"/>
    <s v="Prefer not to say"/>
    <s v="Europe"/>
    <s v="Software Engineer"/>
  </r>
  <r>
    <s v="EMP0786"/>
    <n v="46"/>
    <x v="1"/>
    <s v="Prefer not to say"/>
    <s v="South America"/>
    <s v="HR"/>
  </r>
  <r>
    <s v="EMP0787"/>
    <n v="22"/>
    <x v="3"/>
    <s v="Prefer not to say"/>
    <s v="Asia"/>
    <s v="HR"/>
  </r>
  <r>
    <s v="EMP0788"/>
    <n v="22"/>
    <x v="3"/>
    <s v="Non-binary"/>
    <s v="Africa"/>
    <s v="Marketing"/>
  </r>
  <r>
    <s v="EMP0789"/>
    <n v="25"/>
    <x v="3"/>
    <s v="Non-binary"/>
    <s v="South America"/>
    <s v="Designer"/>
  </r>
  <r>
    <s v="EMP0790"/>
    <n v="26"/>
    <x v="3"/>
    <s v="Prefer not to say"/>
    <s v="Asia"/>
    <s v="Data Scientist"/>
  </r>
  <r>
    <s v="EMP0791"/>
    <n v="46"/>
    <x v="1"/>
    <s v="Non-binary"/>
    <s v="North America"/>
    <s v="Data Scientist"/>
  </r>
  <r>
    <s v="EMP0792"/>
    <n v="46"/>
    <x v="1"/>
    <s v="Non-binary"/>
    <s v="Africa"/>
    <s v="Marketing"/>
  </r>
  <r>
    <s v="EMP0793"/>
    <n v="60"/>
    <x v="2"/>
    <s v="Prefer not to say"/>
    <s v="Oceania"/>
    <s v="Data Scientist"/>
  </r>
  <r>
    <s v="EMP0794"/>
    <n v="55"/>
    <x v="2"/>
    <s v="Male"/>
    <s v="Asia"/>
    <s v="Marketing"/>
  </r>
  <r>
    <s v="EMP0795"/>
    <n v="25"/>
    <x v="3"/>
    <s v="Prefer not to say"/>
    <s v="Europe"/>
    <s v="Sales"/>
  </r>
  <r>
    <s v="EMP0796"/>
    <n v="42"/>
    <x v="1"/>
    <s v="Female"/>
    <s v="Africa"/>
    <s v="Software Engineer"/>
  </r>
  <r>
    <s v="EMP0797"/>
    <n v="30"/>
    <x v="0"/>
    <s v="Non-binary"/>
    <s v="Europe"/>
    <s v="Software Engineer"/>
  </r>
  <r>
    <s v="EMP0798"/>
    <n v="58"/>
    <x v="2"/>
    <s v="Male"/>
    <s v="Africa"/>
    <s v="Data Scientist"/>
  </r>
  <r>
    <s v="EMP0799"/>
    <n v="46"/>
    <x v="1"/>
    <s v="Male"/>
    <s v="Europe"/>
    <s v="Data Scientist"/>
  </r>
  <r>
    <s v="EMP0800"/>
    <n v="36"/>
    <x v="0"/>
    <s v="Female"/>
    <s v="Africa"/>
    <s v="Marketing"/>
  </r>
  <r>
    <s v="EMP0801"/>
    <n v="46"/>
    <x v="1"/>
    <s v="Female"/>
    <s v="Europe"/>
    <s v="Marketing"/>
  </r>
  <r>
    <s v="EMP0802"/>
    <n v="24"/>
    <x v="3"/>
    <s v="Male"/>
    <s v="Africa"/>
    <s v="Data Scientist"/>
  </r>
  <r>
    <s v="EMP0803"/>
    <n v="27"/>
    <x v="3"/>
    <s v="Male"/>
    <s v="Oceania"/>
    <s v="Sales"/>
  </r>
  <r>
    <s v="EMP0804"/>
    <n v="39"/>
    <x v="0"/>
    <s v="Prefer not to say"/>
    <s v="Oceania"/>
    <s v="Data Scientist"/>
  </r>
  <r>
    <s v="EMP0805"/>
    <n v="40"/>
    <x v="1"/>
    <s v="Non-binary"/>
    <s v="Asia"/>
    <s v="Data Scientist"/>
  </r>
  <r>
    <s v="EMP0806"/>
    <n v="46"/>
    <x v="1"/>
    <s v="Male"/>
    <s v="Asia"/>
    <s v="Project Manager"/>
  </r>
  <r>
    <s v="EMP0807"/>
    <n v="45"/>
    <x v="1"/>
    <s v="Prefer not to say"/>
    <s v="Asia"/>
    <s v="Software Engineer"/>
  </r>
  <r>
    <s v="EMP0808"/>
    <n v="58"/>
    <x v="2"/>
    <s v="Prefer not to say"/>
    <s v="Europe"/>
    <s v="Designer"/>
  </r>
  <r>
    <s v="EMP0809"/>
    <n v="33"/>
    <x v="0"/>
    <s v="Female"/>
    <s v="Asia"/>
    <s v="Software Engineer"/>
  </r>
  <r>
    <s v="EMP0810"/>
    <n v="41"/>
    <x v="1"/>
    <s v="Prefer not to say"/>
    <s v="Oceania"/>
    <s v="HR"/>
  </r>
  <r>
    <s v="EMP0811"/>
    <n v="42"/>
    <x v="1"/>
    <s v="Non-binary"/>
    <s v="Europe"/>
    <s v="Designer"/>
  </r>
  <r>
    <s v="EMP0812"/>
    <n v="34"/>
    <x v="0"/>
    <s v="Non-binary"/>
    <s v="South America"/>
    <s v="Software Engineer"/>
  </r>
  <r>
    <s v="EMP0813"/>
    <n v="25"/>
    <x v="3"/>
    <s v="Non-binary"/>
    <s v="Asia"/>
    <s v="Project Manager"/>
  </r>
  <r>
    <s v="EMP0814"/>
    <n v="46"/>
    <x v="1"/>
    <s v="Female"/>
    <s v="Asia"/>
    <s v="Software Engineer"/>
  </r>
  <r>
    <s v="EMP0815"/>
    <n v="58"/>
    <x v="2"/>
    <s v="Female"/>
    <s v="Europe"/>
    <s v="Software Engineer"/>
  </r>
  <r>
    <s v="EMP0816"/>
    <n v="39"/>
    <x v="0"/>
    <s v="Prefer not to say"/>
    <s v="North America"/>
    <s v="Software Engineer"/>
  </r>
  <r>
    <s v="EMP0817"/>
    <n v="35"/>
    <x v="0"/>
    <s v="Non-binary"/>
    <s v="Africa"/>
    <s v="Sales"/>
  </r>
  <r>
    <s v="EMP0818"/>
    <n v="28"/>
    <x v="3"/>
    <s v="Non-binary"/>
    <s v="South America"/>
    <s v="Software Engineer"/>
  </r>
  <r>
    <s v="EMP0819"/>
    <n v="35"/>
    <x v="0"/>
    <s v="Male"/>
    <s v="Africa"/>
    <s v="Marketing"/>
  </r>
  <r>
    <s v="EMP0820"/>
    <n v="59"/>
    <x v="2"/>
    <s v="Male"/>
    <s v="Asia"/>
    <s v="Sales"/>
  </r>
  <r>
    <s v="EMP0821"/>
    <n v="52"/>
    <x v="2"/>
    <s v="Prefer not to say"/>
    <s v="Asia"/>
    <s v="Sales"/>
  </r>
  <r>
    <s v="EMP0822"/>
    <n v="52"/>
    <x v="2"/>
    <s v="Male"/>
    <s v="Asia"/>
    <s v="Marketing"/>
  </r>
  <r>
    <s v="EMP0823"/>
    <n v="51"/>
    <x v="2"/>
    <s v="Non-binary"/>
    <s v="Asia"/>
    <s v="HR"/>
  </r>
  <r>
    <s v="EMP0824"/>
    <n v="42"/>
    <x v="1"/>
    <s v="Female"/>
    <s v="Oceania"/>
    <s v="Designer"/>
  </r>
  <r>
    <s v="EMP0825"/>
    <n v="48"/>
    <x v="1"/>
    <s v="Prefer not to say"/>
    <s v="Europe"/>
    <s v="Sales"/>
  </r>
  <r>
    <s v="EMP0826"/>
    <n v="24"/>
    <x v="3"/>
    <s v="Female"/>
    <s v="South America"/>
    <s v="Designer"/>
  </r>
  <r>
    <s v="EMP0827"/>
    <n v="45"/>
    <x v="1"/>
    <s v="Prefer not to say"/>
    <s v="Oceania"/>
    <s v="Marketing"/>
  </r>
  <r>
    <s v="EMP0828"/>
    <n v="32"/>
    <x v="0"/>
    <s v="Female"/>
    <s v="South America"/>
    <s v="Sales"/>
  </r>
  <r>
    <s v="EMP0829"/>
    <n v="50"/>
    <x v="2"/>
    <s v="Prefer not to say"/>
    <s v="South America"/>
    <s v="Marketing"/>
  </r>
  <r>
    <s v="EMP0830"/>
    <n v="46"/>
    <x v="1"/>
    <s v="Non-binary"/>
    <s v="Oceania"/>
    <s v="Marketing"/>
  </r>
  <r>
    <s v="EMP0831"/>
    <n v="43"/>
    <x v="1"/>
    <s v="Prefer not to say"/>
    <s v="Europe"/>
    <s v="HR"/>
  </r>
  <r>
    <s v="EMP0832"/>
    <n v="30"/>
    <x v="0"/>
    <s v="Female"/>
    <s v="Oceania"/>
    <s v="Software Engineer"/>
  </r>
  <r>
    <s v="EMP0833"/>
    <n v="24"/>
    <x v="3"/>
    <s v="Male"/>
    <s v="Asia"/>
    <s v="Data Scientist"/>
  </r>
  <r>
    <s v="EMP0834"/>
    <n v="43"/>
    <x v="1"/>
    <s v="Female"/>
    <s v="Asia"/>
    <s v="Data Scientist"/>
  </r>
  <r>
    <s v="EMP0835"/>
    <n v="46"/>
    <x v="1"/>
    <s v="Male"/>
    <s v="North America"/>
    <s v="Sales"/>
  </r>
  <r>
    <s v="EMP0836"/>
    <n v="55"/>
    <x v="2"/>
    <s v="Non-binary"/>
    <s v="Europe"/>
    <s v="Sales"/>
  </r>
  <r>
    <s v="EMP0837"/>
    <n v="46"/>
    <x v="1"/>
    <s v="Non-binary"/>
    <s v="North America"/>
    <s v="HR"/>
  </r>
  <r>
    <s v="EMP0838"/>
    <n v="50"/>
    <x v="2"/>
    <s v="Prefer not to say"/>
    <s v="North America"/>
    <s v="Project Manager"/>
  </r>
  <r>
    <s v="EMP0839"/>
    <n v="54"/>
    <x v="2"/>
    <s v="Female"/>
    <s v="Asia"/>
    <s v="HR"/>
  </r>
  <r>
    <s v="EMP0840"/>
    <n v="31"/>
    <x v="0"/>
    <s v="Prefer not to say"/>
    <s v="Oceania"/>
    <s v="Sales"/>
  </r>
  <r>
    <s v="EMP0841"/>
    <n v="51"/>
    <x v="2"/>
    <s v="Non-binary"/>
    <s v="North America"/>
    <s v="Sales"/>
  </r>
  <r>
    <s v="EMP0842"/>
    <n v="51"/>
    <x v="2"/>
    <s v="Non-binary"/>
    <s v="South America"/>
    <s v="Designer"/>
  </r>
  <r>
    <s v="EMP0843"/>
    <n v="41"/>
    <x v="1"/>
    <s v="Prefer not to say"/>
    <s v="Asia"/>
    <s v="Designer"/>
  </r>
  <r>
    <s v="EMP0844"/>
    <n v="60"/>
    <x v="2"/>
    <s v="Prefer not to say"/>
    <s v="Oceania"/>
    <s v="Project Manager"/>
  </r>
  <r>
    <s v="EMP0845"/>
    <n v="27"/>
    <x v="3"/>
    <s v="Prefer not to say"/>
    <s v="Oceania"/>
    <s v="Designer"/>
  </r>
  <r>
    <s v="EMP0846"/>
    <n v="39"/>
    <x v="0"/>
    <s v="Male"/>
    <s v="Africa"/>
    <s v="Project Manager"/>
  </r>
  <r>
    <s v="EMP0847"/>
    <n v="57"/>
    <x v="2"/>
    <s v="Prefer not to say"/>
    <s v="Asia"/>
    <s v="HR"/>
  </r>
  <r>
    <s v="EMP0848"/>
    <n v="32"/>
    <x v="0"/>
    <s v="Prefer not to say"/>
    <s v="Europe"/>
    <s v="Marketing"/>
  </r>
  <r>
    <s v="EMP0849"/>
    <n v="42"/>
    <x v="1"/>
    <s v="Non-binary"/>
    <s v="Oceania"/>
    <s v="HR"/>
  </r>
  <r>
    <s v="EMP0850"/>
    <n v="43"/>
    <x v="1"/>
    <s v="Non-binary"/>
    <s v="North America"/>
    <s v="Software Engineer"/>
  </r>
  <r>
    <s v="EMP0851"/>
    <n v="58"/>
    <x v="2"/>
    <s v="Prefer not to say"/>
    <s v="Africa"/>
    <s v="Data Scientist"/>
  </r>
  <r>
    <s v="EMP0852"/>
    <n v="25"/>
    <x v="3"/>
    <s v="Male"/>
    <s v="Oceania"/>
    <s v="Sales"/>
  </r>
  <r>
    <s v="EMP0853"/>
    <n v="59"/>
    <x v="2"/>
    <s v="Female"/>
    <s v="Oceania"/>
    <s v="Marketing"/>
  </r>
  <r>
    <s v="EMP0854"/>
    <n v="28"/>
    <x v="3"/>
    <s v="Prefer not to say"/>
    <s v="Asia"/>
    <s v="HR"/>
  </r>
  <r>
    <s v="EMP0855"/>
    <n v="41"/>
    <x v="1"/>
    <s v="Female"/>
    <s v="Europe"/>
    <s v="HR"/>
  </r>
  <r>
    <s v="EMP0856"/>
    <n v="45"/>
    <x v="1"/>
    <s v="Non-binary"/>
    <s v="Asia"/>
    <s v="Designer"/>
  </r>
  <r>
    <s v="EMP0857"/>
    <n v="37"/>
    <x v="0"/>
    <s v="Male"/>
    <s v="Oceania"/>
    <s v="Sales"/>
  </r>
  <r>
    <s v="EMP0858"/>
    <n v="27"/>
    <x v="3"/>
    <s v="Non-binary"/>
    <s v="South America"/>
    <s v="Software Engineer"/>
  </r>
  <r>
    <s v="EMP0859"/>
    <n v="46"/>
    <x v="1"/>
    <s v="Female"/>
    <s v="Asia"/>
    <s v="Project Manager"/>
  </r>
  <r>
    <s v="EMP0860"/>
    <n v="48"/>
    <x v="1"/>
    <s v="Prefer not to say"/>
    <s v="Europe"/>
    <s v="Data Scientist"/>
  </r>
  <r>
    <s v="EMP0861"/>
    <n v="35"/>
    <x v="0"/>
    <s v="Prefer not to say"/>
    <s v="Europe"/>
    <s v="Marketing"/>
  </r>
  <r>
    <s v="EMP0862"/>
    <n v="32"/>
    <x v="0"/>
    <s v="Male"/>
    <s v="South America"/>
    <s v="Data Scientist"/>
  </r>
  <r>
    <s v="EMP0863"/>
    <n v="36"/>
    <x v="0"/>
    <s v="Female"/>
    <s v="North America"/>
    <s v="Marketing"/>
  </r>
  <r>
    <s v="EMP0864"/>
    <n v="24"/>
    <x v="3"/>
    <s v="Non-binary"/>
    <s v="Asia"/>
    <s v="Data Scientist"/>
  </r>
  <r>
    <s v="EMP0865"/>
    <n v="58"/>
    <x v="2"/>
    <s v="Female"/>
    <s v="North America"/>
    <s v="Sales"/>
  </r>
  <r>
    <s v="EMP0866"/>
    <n v="53"/>
    <x v="2"/>
    <s v="Non-binary"/>
    <s v="South America"/>
    <s v="Marketing"/>
  </r>
  <r>
    <s v="EMP0867"/>
    <n v="35"/>
    <x v="0"/>
    <s v="Prefer not to say"/>
    <s v="Africa"/>
    <s v="HR"/>
  </r>
  <r>
    <s v="EMP0868"/>
    <n v="26"/>
    <x v="3"/>
    <s v="Prefer not to say"/>
    <s v="North America"/>
    <s v="Project Manager"/>
  </r>
  <r>
    <s v="EMP0869"/>
    <n v="50"/>
    <x v="2"/>
    <s v="Non-binary"/>
    <s v="Africa"/>
    <s v="Data Scientist"/>
  </r>
  <r>
    <s v="EMP0870"/>
    <n v="33"/>
    <x v="0"/>
    <s v="Non-binary"/>
    <s v="North America"/>
    <s v="Sales"/>
  </r>
  <r>
    <s v="EMP0871"/>
    <n v="30"/>
    <x v="0"/>
    <s v="Female"/>
    <s v="South America"/>
    <s v="Sales"/>
  </r>
  <r>
    <s v="EMP0872"/>
    <n v="60"/>
    <x v="2"/>
    <s v="Non-binary"/>
    <s v="Asia"/>
    <s v="Marketing"/>
  </r>
  <r>
    <s v="EMP0873"/>
    <n v="59"/>
    <x v="2"/>
    <s v="Female"/>
    <s v="Europe"/>
    <s v="Software Engineer"/>
  </r>
  <r>
    <s v="EMP0874"/>
    <n v="57"/>
    <x v="2"/>
    <s v="Non-binary"/>
    <s v="Africa"/>
    <s v="Designer"/>
  </r>
  <r>
    <s v="EMP0875"/>
    <n v="47"/>
    <x v="1"/>
    <s v="Prefer not to say"/>
    <s v="North America"/>
    <s v="Designer"/>
  </r>
  <r>
    <s v="EMP0876"/>
    <n v="37"/>
    <x v="0"/>
    <s v="Prefer not to say"/>
    <s v="North America"/>
    <s v="Designer"/>
  </r>
  <r>
    <s v="EMP0877"/>
    <n v="37"/>
    <x v="0"/>
    <s v="Non-binary"/>
    <s v="Europe"/>
    <s v="Software Engineer"/>
  </r>
  <r>
    <s v="EMP0878"/>
    <n v="35"/>
    <x v="0"/>
    <s v="Male"/>
    <s v="Africa"/>
    <s v="HR"/>
  </r>
  <r>
    <s v="EMP0879"/>
    <n v="49"/>
    <x v="1"/>
    <s v="Non-binary"/>
    <s v="South America"/>
    <s v="Sales"/>
  </r>
  <r>
    <s v="EMP0880"/>
    <n v="42"/>
    <x v="1"/>
    <s v="Female"/>
    <s v="Africa"/>
    <s v="Marketing"/>
  </r>
  <r>
    <s v="EMP0881"/>
    <n v="53"/>
    <x v="2"/>
    <s v="Non-binary"/>
    <s v="Africa"/>
    <s v="Project Manager"/>
  </r>
  <r>
    <s v="EMP0882"/>
    <n v="29"/>
    <x v="3"/>
    <s v="Male"/>
    <s v="Oceania"/>
    <s v="Software Engineer"/>
  </r>
  <r>
    <s v="EMP0883"/>
    <n v="31"/>
    <x v="0"/>
    <s v="Female"/>
    <s v="Africa"/>
    <s v="Project Manager"/>
  </r>
  <r>
    <s v="EMP0884"/>
    <n v="47"/>
    <x v="1"/>
    <s v="Non-binary"/>
    <s v="Oceania"/>
    <s v="Project Manager"/>
  </r>
  <r>
    <s v="EMP0885"/>
    <n v="57"/>
    <x v="2"/>
    <s v="Male"/>
    <s v="South America"/>
    <s v="Software Engineer"/>
  </r>
  <r>
    <s v="EMP0886"/>
    <n v="59"/>
    <x v="2"/>
    <s v="Non-binary"/>
    <s v="North America"/>
    <s v="Designer"/>
  </r>
  <r>
    <s v="EMP0887"/>
    <n v="51"/>
    <x v="2"/>
    <s v="Female"/>
    <s v="Asia"/>
    <s v="Marketing"/>
  </r>
  <r>
    <s v="EMP0888"/>
    <n v="30"/>
    <x v="0"/>
    <s v="Female"/>
    <s v="Oceania"/>
    <s v="Software Engineer"/>
  </r>
  <r>
    <s v="EMP0889"/>
    <n v="46"/>
    <x v="1"/>
    <s v="Prefer not to say"/>
    <s v="Africa"/>
    <s v="Marketing"/>
  </r>
  <r>
    <s v="EMP0890"/>
    <n v="39"/>
    <x v="0"/>
    <s v="Female"/>
    <s v="Africa"/>
    <s v="Software Engineer"/>
  </r>
  <r>
    <s v="EMP0891"/>
    <n v="57"/>
    <x v="2"/>
    <s v="Prefer not to say"/>
    <s v="Oceania"/>
    <s v="HR"/>
  </r>
  <r>
    <s v="EMP0892"/>
    <n v="36"/>
    <x v="0"/>
    <s v="Female"/>
    <s v="North America"/>
    <s v="HR"/>
  </r>
  <r>
    <s v="EMP0893"/>
    <n v="28"/>
    <x v="3"/>
    <s v="Prefer not to say"/>
    <s v="Oceania"/>
    <s v="Marketing"/>
  </r>
  <r>
    <s v="EMP0894"/>
    <n v="60"/>
    <x v="2"/>
    <s v="Prefer not to say"/>
    <s v="Europe"/>
    <s v="Project Manager"/>
  </r>
  <r>
    <s v="EMP0895"/>
    <n v="38"/>
    <x v="0"/>
    <s v="Prefer not to say"/>
    <s v="South America"/>
    <s v="Data Scientist"/>
  </r>
  <r>
    <s v="EMP0896"/>
    <n v="45"/>
    <x v="1"/>
    <s v="Male"/>
    <s v="Asia"/>
    <s v="Marketing"/>
  </r>
  <r>
    <s v="EMP0897"/>
    <n v="53"/>
    <x v="2"/>
    <s v="Male"/>
    <s v="North America"/>
    <s v="Sales"/>
  </r>
  <r>
    <s v="EMP0898"/>
    <n v="57"/>
    <x v="2"/>
    <s v="Non-binary"/>
    <s v="South America"/>
    <s v="Software Engineer"/>
  </r>
  <r>
    <s v="EMP0899"/>
    <n v="56"/>
    <x v="2"/>
    <s v="Male"/>
    <s v="Asia"/>
    <s v="Marketing"/>
  </r>
  <r>
    <s v="EMP0900"/>
    <n v="33"/>
    <x v="0"/>
    <s v="Male"/>
    <s v="Europe"/>
    <s v="Data Scientist"/>
  </r>
  <r>
    <s v="EMP0901"/>
    <n v="33"/>
    <x v="0"/>
    <s v="Female"/>
    <s v="Europe"/>
    <s v="Project Manager"/>
  </r>
  <r>
    <s v="EMP0902"/>
    <n v="60"/>
    <x v="2"/>
    <s v="Female"/>
    <s v="Africa"/>
    <s v="Sales"/>
  </r>
  <r>
    <s v="EMP0903"/>
    <n v="39"/>
    <x v="0"/>
    <s v="Non-binary"/>
    <s v="Asia"/>
    <s v="Software Engineer"/>
  </r>
  <r>
    <s v="EMP0904"/>
    <n v="58"/>
    <x v="2"/>
    <s v="Male"/>
    <s v="Asia"/>
    <s v="Data Scientist"/>
  </r>
  <r>
    <s v="EMP0905"/>
    <n v="60"/>
    <x v="2"/>
    <s v="Non-binary"/>
    <s v="Africa"/>
    <s v="HR"/>
  </r>
  <r>
    <s v="EMP0906"/>
    <n v="43"/>
    <x v="1"/>
    <s v="Male"/>
    <s v="North America"/>
    <s v="Project Manager"/>
  </r>
  <r>
    <s v="EMP0907"/>
    <n v="48"/>
    <x v="1"/>
    <s v="Non-binary"/>
    <s v="Africa"/>
    <s v="Designer"/>
  </r>
  <r>
    <s v="EMP0908"/>
    <n v="60"/>
    <x v="2"/>
    <s v="Male"/>
    <s v="Africa"/>
    <s v="Software Engineer"/>
  </r>
  <r>
    <s v="EMP0909"/>
    <n v="45"/>
    <x v="1"/>
    <s v="Female"/>
    <s v="Africa"/>
    <s v="Software Engineer"/>
  </r>
  <r>
    <s v="EMP0910"/>
    <n v="58"/>
    <x v="2"/>
    <s v="Prefer not to say"/>
    <s v="South America"/>
    <s v="Software Engineer"/>
  </r>
  <r>
    <s v="EMP0911"/>
    <n v="22"/>
    <x v="3"/>
    <s v="Prefer not to say"/>
    <s v="Europe"/>
    <s v="Designer"/>
  </r>
  <r>
    <s v="EMP0912"/>
    <n v="42"/>
    <x v="1"/>
    <s v="Non-binary"/>
    <s v="Asia"/>
    <s v="Data Scientist"/>
  </r>
  <r>
    <s v="EMP0913"/>
    <n v="44"/>
    <x v="1"/>
    <s v="Non-binary"/>
    <s v="Asia"/>
    <s v="Sales"/>
  </r>
  <r>
    <s v="EMP0914"/>
    <n v="43"/>
    <x v="1"/>
    <s v="Prefer not to say"/>
    <s v="Asia"/>
    <s v="Data Scientist"/>
  </r>
  <r>
    <s v="EMP0915"/>
    <n v="35"/>
    <x v="0"/>
    <s v="Male"/>
    <s v="North America"/>
    <s v="Designer"/>
  </r>
  <r>
    <s v="EMP0916"/>
    <n v="47"/>
    <x v="1"/>
    <s v="Prefer not to say"/>
    <s v="Africa"/>
    <s v="Software Engineer"/>
  </r>
  <r>
    <s v="EMP0917"/>
    <n v="49"/>
    <x v="1"/>
    <s v="Non-binary"/>
    <s v="North America"/>
    <s v="Project Manager"/>
  </r>
  <r>
    <s v="EMP0918"/>
    <n v="49"/>
    <x v="1"/>
    <s v="Female"/>
    <s v="Asia"/>
    <s v="Software Engineer"/>
  </r>
  <r>
    <s v="EMP0919"/>
    <n v="40"/>
    <x v="1"/>
    <s v="Non-binary"/>
    <s v="Europe"/>
    <s v="Data Scientist"/>
  </r>
  <r>
    <s v="EMP0920"/>
    <n v="27"/>
    <x v="3"/>
    <s v="Female"/>
    <s v="Asia"/>
    <s v="HR"/>
  </r>
  <r>
    <s v="EMP0921"/>
    <n v="34"/>
    <x v="0"/>
    <s v="Male"/>
    <s v="Africa"/>
    <s v="Software Engineer"/>
  </r>
  <r>
    <s v="EMP0922"/>
    <n v="48"/>
    <x v="1"/>
    <s v="Prefer not to say"/>
    <s v="Oceania"/>
    <s v="Sales"/>
  </r>
  <r>
    <s v="EMP0923"/>
    <n v="46"/>
    <x v="1"/>
    <s v="Male"/>
    <s v="Asia"/>
    <s v="Sales"/>
  </r>
  <r>
    <s v="EMP0924"/>
    <n v="27"/>
    <x v="3"/>
    <s v="Female"/>
    <s v="Oceania"/>
    <s v="Data Scientist"/>
  </r>
  <r>
    <s v="EMP0925"/>
    <n v="50"/>
    <x v="2"/>
    <s v="Prefer not to say"/>
    <s v="Africa"/>
    <s v="Designer"/>
  </r>
  <r>
    <s v="EMP0926"/>
    <n v="23"/>
    <x v="3"/>
    <s v="Non-binary"/>
    <s v="South America"/>
    <s v="Data Scientist"/>
  </r>
  <r>
    <s v="EMP0927"/>
    <n v="35"/>
    <x v="0"/>
    <s v="Prefer not to say"/>
    <s v="South America"/>
    <s v="Designer"/>
  </r>
  <r>
    <s v="EMP0928"/>
    <n v="59"/>
    <x v="2"/>
    <s v="Prefer not to say"/>
    <s v="Asia"/>
    <s v="Sales"/>
  </r>
  <r>
    <s v="EMP0929"/>
    <n v="27"/>
    <x v="3"/>
    <s v="Male"/>
    <s v="Oceania"/>
    <s v="Project Manager"/>
  </r>
  <r>
    <s v="EMP0930"/>
    <n v="22"/>
    <x v="3"/>
    <s v="Male"/>
    <s v="South America"/>
    <s v="Project Manager"/>
  </r>
  <r>
    <s v="EMP0931"/>
    <n v="41"/>
    <x v="1"/>
    <s v="Prefer not to say"/>
    <s v="Asia"/>
    <s v="Designer"/>
  </r>
  <r>
    <s v="EMP0932"/>
    <n v="58"/>
    <x v="2"/>
    <s v="Male"/>
    <s v="Oceania"/>
    <s v="Designer"/>
  </r>
  <r>
    <s v="EMP0933"/>
    <n v="30"/>
    <x v="0"/>
    <s v="Male"/>
    <s v="Africa"/>
    <s v="HR"/>
  </r>
  <r>
    <s v="EMP0934"/>
    <n v="22"/>
    <x v="3"/>
    <s v="Prefer not to say"/>
    <s v="South America"/>
    <s v="Project Manager"/>
  </r>
  <r>
    <s v="EMP0935"/>
    <n v="34"/>
    <x v="0"/>
    <s v="Male"/>
    <s v="Asia"/>
    <s v="Software Engineer"/>
  </r>
  <r>
    <s v="EMP0936"/>
    <n v="48"/>
    <x v="1"/>
    <s v="Female"/>
    <s v="North America"/>
    <s v="Software Engineer"/>
  </r>
  <r>
    <s v="EMP0937"/>
    <n v="29"/>
    <x v="3"/>
    <s v="Non-binary"/>
    <s v="South America"/>
    <s v="Data Scientist"/>
  </r>
  <r>
    <s v="EMP0938"/>
    <n v="47"/>
    <x v="1"/>
    <s v="Male"/>
    <s v="Asia"/>
    <s v="Marketing"/>
  </r>
  <r>
    <s v="EMP0939"/>
    <n v="51"/>
    <x v="2"/>
    <s v="Non-binary"/>
    <s v="North America"/>
    <s v="HR"/>
  </r>
  <r>
    <s v="EMP0940"/>
    <n v="60"/>
    <x v="2"/>
    <s v="Female"/>
    <s v="North America"/>
    <s v="Software Engineer"/>
  </r>
  <r>
    <s v="EMP0941"/>
    <n v="48"/>
    <x v="1"/>
    <s v="Non-binary"/>
    <s v="North America"/>
    <s v="Marketing"/>
  </r>
  <r>
    <s v="EMP0942"/>
    <n v="38"/>
    <x v="0"/>
    <s v="Prefer not to say"/>
    <s v="South America"/>
    <s v="HR"/>
  </r>
  <r>
    <s v="EMP0943"/>
    <n v="58"/>
    <x v="2"/>
    <s v="Female"/>
    <s v="Oceania"/>
    <s v="Sales"/>
  </r>
  <r>
    <s v="EMP0944"/>
    <n v="35"/>
    <x v="0"/>
    <s v="Non-binary"/>
    <s v="Asia"/>
    <s v="Project Manager"/>
  </r>
  <r>
    <s v="EMP0945"/>
    <n v="32"/>
    <x v="0"/>
    <s v="Female"/>
    <s v="Africa"/>
    <s v="Designer"/>
  </r>
  <r>
    <s v="EMP0946"/>
    <n v="30"/>
    <x v="0"/>
    <s v="Male"/>
    <s v="Africa"/>
    <s v="Data Scientist"/>
  </r>
  <r>
    <s v="EMP0947"/>
    <n v="29"/>
    <x v="3"/>
    <s v="Male"/>
    <s v="North America"/>
    <s v="Software Engineer"/>
  </r>
  <r>
    <s v="EMP0948"/>
    <n v="45"/>
    <x v="1"/>
    <s v="Prefer not to say"/>
    <s v="Africa"/>
    <s v="Sales"/>
  </r>
  <r>
    <s v="EMP0949"/>
    <n v="45"/>
    <x v="1"/>
    <s v="Non-binary"/>
    <s v="Asia"/>
    <s v="Software Engineer"/>
  </r>
  <r>
    <s v="EMP0950"/>
    <n v="41"/>
    <x v="1"/>
    <s v="Female"/>
    <s v="Oceania"/>
    <s v="Software Engineer"/>
  </r>
  <r>
    <s v="EMP0951"/>
    <n v="56"/>
    <x v="2"/>
    <s v="Prefer not to say"/>
    <s v="North America"/>
    <s v="Designer"/>
  </r>
  <r>
    <s v="EMP0952"/>
    <n v="49"/>
    <x v="1"/>
    <s v="Non-binary"/>
    <s v="South America"/>
    <s v="Software Engineer"/>
  </r>
  <r>
    <s v="EMP0953"/>
    <n v="32"/>
    <x v="0"/>
    <s v="Male"/>
    <s v="North America"/>
    <s v="Marketing"/>
  </r>
  <r>
    <s v="EMP0954"/>
    <n v="58"/>
    <x v="2"/>
    <s v="Male"/>
    <s v="Oceania"/>
    <s v="Sales"/>
  </r>
  <r>
    <s v="EMP0955"/>
    <n v="41"/>
    <x v="1"/>
    <s v="Female"/>
    <s v="North America"/>
    <s v="Marketing"/>
  </r>
  <r>
    <s v="EMP0956"/>
    <n v="42"/>
    <x v="1"/>
    <s v="Prefer not to say"/>
    <s v="Asia"/>
    <s v="Data Scientist"/>
  </r>
  <r>
    <s v="EMP0957"/>
    <n v="36"/>
    <x v="0"/>
    <s v="Non-binary"/>
    <s v="Europe"/>
    <s v="HR"/>
  </r>
  <r>
    <s v="EMP0958"/>
    <n v="31"/>
    <x v="0"/>
    <s v="Male"/>
    <s v="Asia"/>
    <s v="Marketing"/>
  </r>
  <r>
    <s v="EMP0959"/>
    <n v="46"/>
    <x v="1"/>
    <s v="Prefer not to say"/>
    <s v="Europe"/>
    <s v="Designer"/>
  </r>
  <r>
    <s v="EMP0960"/>
    <n v="41"/>
    <x v="1"/>
    <s v="Prefer not to say"/>
    <s v="North America"/>
    <s v="Marketing"/>
  </r>
  <r>
    <s v="EMP0961"/>
    <n v="52"/>
    <x v="2"/>
    <s v="Male"/>
    <s v="Oceania"/>
    <s v="HR"/>
  </r>
  <r>
    <s v="EMP0962"/>
    <n v="51"/>
    <x v="2"/>
    <s v="Female"/>
    <s v="Asia"/>
    <s v="HR"/>
  </r>
  <r>
    <s v="EMP0963"/>
    <n v="23"/>
    <x v="3"/>
    <s v="Non-binary"/>
    <s v="Europe"/>
    <s v="Sales"/>
  </r>
  <r>
    <s v="EMP0964"/>
    <n v="34"/>
    <x v="0"/>
    <s v="Female"/>
    <s v="South America"/>
    <s v="Project Manager"/>
  </r>
  <r>
    <s v="EMP0965"/>
    <n v="37"/>
    <x v="0"/>
    <s v="Prefer not to say"/>
    <s v="Oceania"/>
    <s v="Sales"/>
  </r>
  <r>
    <s v="EMP0966"/>
    <n v="40"/>
    <x v="1"/>
    <s v="Non-binary"/>
    <s v="North America"/>
    <s v="Project Manager"/>
  </r>
  <r>
    <s v="EMP0967"/>
    <n v="46"/>
    <x v="1"/>
    <s v="Non-binary"/>
    <s v="Oceania"/>
    <s v="Sales"/>
  </r>
  <r>
    <s v="EMP0968"/>
    <n v="28"/>
    <x v="3"/>
    <s v="Prefer not to say"/>
    <s v="Oceania"/>
    <s v="Data Scientist"/>
  </r>
  <r>
    <s v="EMP0969"/>
    <n v="26"/>
    <x v="3"/>
    <s v="Male"/>
    <s v="Oceania"/>
    <s v="HR"/>
  </r>
  <r>
    <s v="EMP0970"/>
    <n v="25"/>
    <x v="3"/>
    <s v="Female"/>
    <s v="North America"/>
    <s v="Designer"/>
  </r>
  <r>
    <s v="EMP0971"/>
    <n v="30"/>
    <x v="0"/>
    <s v="Female"/>
    <s v="Africa"/>
    <s v="Software Engineer"/>
  </r>
  <r>
    <s v="EMP0972"/>
    <n v="57"/>
    <x v="2"/>
    <s v="Male"/>
    <s v="Europe"/>
    <s v="Software Engineer"/>
  </r>
  <r>
    <s v="EMP0973"/>
    <n v="33"/>
    <x v="0"/>
    <s v="Male"/>
    <s v="Asia"/>
    <s v="Software Engineer"/>
  </r>
  <r>
    <s v="EMP0974"/>
    <n v="38"/>
    <x v="0"/>
    <s v="Female"/>
    <s v="South America"/>
    <s v="Software Engineer"/>
  </r>
  <r>
    <s v="EMP0975"/>
    <n v="43"/>
    <x v="1"/>
    <s v="Female"/>
    <s v="Europe"/>
    <s v="HR"/>
  </r>
  <r>
    <s v="EMP0976"/>
    <n v="43"/>
    <x v="1"/>
    <s v="Prefer not to say"/>
    <s v="Europe"/>
    <s v="HR"/>
  </r>
  <r>
    <s v="EMP0977"/>
    <n v="44"/>
    <x v="1"/>
    <s v="Female"/>
    <s v="South America"/>
    <s v="Sales"/>
  </r>
  <r>
    <s v="EMP0978"/>
    <n v="52"/>
    <x v="2"/>
    <s v="Prefer not to say"/>
    <s v="Africa"/>
    <s v="Sales"/>
  </r>
  <r>
    <s v="EMP0979"/>
    <n v="25"/>
    <x v="3"/>
    <s v="Male"/>
    <s v="Oceania"/>
    <s v="Project Manager"/>
  </r>
  <r>
    <s v="EMP0980"/>
    <n v="28"/>
    <x v="3"/>
    <s v="Female"/>
    <s v="Europe"/>
    <s v="Project Manager"/>
  </r>
  <r>
    <s v="EMP0981"/>
    <n v="26"/>
    <x v="3"/>
    <s v="Non-binary"/>
    <s v="South America"/>
    <s v="Data Scientist"/>
  </r>
  <r>
    <s v="EMP0982"/>
    <n v="32"/>
    <x v="0"/>
    <s v="Female"/>
    <s v="Europe"/>
    <s v="Designer"/>
  </r>
  <r>
    <s v="EMP0983"/>
    <n v="28"/>
    <x v="3"/>
    <s v="Female"/>
    <s v="Europe"/>
    <s v="Data Scientist"/>
  </r>
  <r>
    <s v="EMP0984"/>
    <n v="32"/>
    <x v="0"/>
    <s v="Prefer not to say"/>
    <s v="North America"/>
    <s v="Project Manager"/>
  </r>
  <r>
    <s v="EMP0985"/>
    <n v="25"/>
    <x v="3"/>
    <s v="Non-binary"/>
    <s v="South America"/>
    <s v="Project Manager"/>
  </r>
  <r>
    <s v="EMP0986"/>
    <n v="57"/>
    <x v="2"/>
    <s v="Non-binary"/>
    <s v="Europe"/>
    <s v="Software Engineer"/>
  </r>
  <r>
    <s v="EMP0987"/>
    <n v="28"/>
    <x v="3"/>
    <s v="Non-binary"/>
    <s v="Europe"/>
    <s v="Marketing"/>
  </r>
  <r>
    <s v="EMP0988"/>
    <n v="51"/>
    <x v="2"/>
    <s v="Male"/>
    <s v="Africa"/>
    <s v="HR"/>
  </r>
  <r>
    <s v="EMP0989"/>
    <n v="60"/>
    <x v="2"/>
    <s v="Prefer not to say"/>
    <s v="Oceania"/>
    <s v="Marketing"/>
  </r>
  <r>
    <s v="EMP0990"/>
    <n v="49"/>
    <x v="1"/>
    <s v="Female"/>
    <s v="South America"/>
    <s v="Software Engineer"/>
  </r>
  <r>
    <s v="EMP0991"/>
    <n v="30"/>
    <x v="0"/>
    <s v="Male"/>
    <s v="North America"/>
    <s v="Software Engineer"/>
  </r>
  <r>
    <s v="EMP0992"/>
    <n v="35"/>
    <x v="0"/>
    <s v="Prefer not to say"/>
    <s v="Asia"/>
    <s v="Designer"/>
  </r>
  <r>
    <s v="EMP0993"/>
    <n v="45"/>
    <x v="1"/>
    <s v="Non-binary"/>
    <s v="North America"/>
    <s v="Software Engineer"/>
  </r>
  <r>
    <s v="EMP0994"/>
    <n v="42"/>
    <x v="1"/>
    <s v="Non-binary"/>
    <s v="Africa"/>
    <s v="Project Manager"/>
  </r>
  <r>
    <s v="EMP0995"/>
    <n v="38"/>
    <x v="0"/>
    <s v="Non-binary"/>
    <s v="Oceania"/>
    <s v="Software Engineer"/>
  </r>
  <r>
    <s v="EMP0996"/>
    <n v="36"/>
    <x v="0"/>
    <s v="Non-binary"/>
    <s v="Europe"/>
    <s v="Sales"/>
  </r>
  <r>
    <s v="EMP0997"/>
    <n v="23"/>
    <x v="3"/>
    <s v="Female"/>
    <s v="Africa"/>
    <s v="Project Manager"/>
  </r>
  <r>
    <s v="EMP0998"/>
    <n v="41"/>
    <x v="1"/>
    <s v="Non-binary"/>
    <s v="South America"/>
    <s v="Project Manager"/>
  </r>
  <r>
    <s v="EMP0999"/>
    <n v="43"/>
    <x v="1"/>
    <s v="Male"/>
    <s v="Oceania"/>
    <s v="Marketing"/>
  </r>
  <r>
    <s v="EMP1000"/>
    <n v="53"/>
    <x v="2"/>
    <s v="Non-binary"/>
    <s v="South America"/>
    <s v="Design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s v="Healthcare"/>
    <s v="Hybrid"/>
    <n v="13"/>
    <n v="47"/>
    <n v="7"/>
  </r>
  <r>
    <s v="EMP0002"/>
    <s v="IT"/>
    <s v="Remote"/>
    <n v="3"/>
    <n v="52"/>
    <n v="4"/>
  </r>
  <r>
    <s v="EMP0003"/>
    <s v="Education"/>
    <s v="Hybrid"/>
    <n v="22"/>
    <n v="46"/>
    <n v="11"/>
  </r>
  <r>
    <s v="EMP0004"/>
    <s v="Finance"/>
    <s v="Onsite"/>
    <n v="20"/>
    <n v="32"/>
    <n v="8"/>
  </r>
  <r>
    <s v="EMP0005"/>
    <s v="Consulting"/>
    <s v="Onsite"/>
    <n v="32"/>
    <n v="35"/>
    <n v="12"/>
  </r>
  <r>
    <s v="EMP0006"/>
    <s v="IT"/>
    <s v="Hybrid"/>
    <n v="31"/>
    <n v="39"/>
    <n v="3"/>
  </r>
  <r>
    <s v="EMP0007"/>
    <s v="IT"/>
    <s v="Remote"/>
    <n v="24"/>
    <n v="51"/>
    <n v="7"/>
  </r>
  <r>
    <s v="EMP0008"/>
    <s v="Manufacturing"/>
    <s v="Onsite"/>
    <n v="6"/>
    <n v="54"/>
    <n v="7"/>
  </r>
  <r>
    <s v="EMP0009"/>
    <s v="Healthcare"/>
    <s v="Hybrid"/>
    <n v="9"/>
    <n v="24"/>
    <n v="4"/>
  </r>
  <r>
    <s v="EMP0010"/>
    <s v="IT"/>
    <s v="Hybrid"/>
    <n v="28"/>
    <n v="57"/>
    <n v="6"/>
  </r>
  <r>
    <s v="EMP0011"/>
    <s v="Finance"/>
    <s v="Remote"/>
    <n v="17"/>
    <n v="48"/>
    <n v="3"/>
  </r>
  <r>
    <s v="EMP0012"/>
    <s v="Consulting"/>
    <s v="Hybrid"/>
    <n v="31"/>
    <n v="26"/>
    <n v="12"/>
  </r>
  <r>
    <s v="EMP0013"/>
    <s v="Consulting"/>
    <s v="Remote"/>
    <n v="1"/>
    <n v="21"/>
    <n v="7"/>
  </r>
  <r>
    <s v="EMP0014"/>
    <s v="Manufacturing"/>
    <s v="Hybrid"/>
    <n v="5"/>
    <n v="45"/>
    <n v="13"/>
  </r>
  <r>
    <s v="EMP0015"/>
    <s v="Retail"/>
    <s v="Remote"/>
    <n v="23"/>
    <n v="59"/>
    <n v="11"/>
  </r>
  <r>
    <s v="EMP0016"/>
    <s v="Healthcare"/>
    <s v="Remote"/>
    <n v="13"/>
    <n v="44"/>
    <n v="11"/>
  </r>
  <r>
    <s v="EMP0017"/>
    <s v="Education"/>
    <s v="Onsite"/>
    <n v="3"/>
    <n v="52"/>
    <n v="9"/>
  </r>
  <r>
    <s v="EMP0018"/>
    <s v="Consulting"/>
    <s v="Onsite"/>
    <n v="20"/>
    <n v="37"/>
    <n v="8"/>
  </r>
  <r>
    <s v="EMP0019"/>
    <s v="IT"/>
    <s v="Remote"/>
    <n v="30"/>
    <n v="36"/>
    <n v="6"/>
  </r>
  <r>
    <s v="EMP0020"/>
    <s v="Consulting"/>
    <s v="Remote"/>
    <n v="13"/>
    <n v="59"/>
    <n v="4"/>
  </r>
  <r>
    <s v="EMP0021"/>
    <s v="Retail"/>
    <s v="Hybrid"/>
    <n v="33"/>
    <n v="21"/>
    <n v="1"/>
  </r>
  <r>
    <s v="EMP0022"/>
    <s v="Education"/>
    <s v="Onsite"/>
    <n v="21"/>
    <n v="54"/>
    <n v="12"/>
  </r>
  <r>
    <s v="EMP0023"/>
    <s v="Finance"/>
    <s v="Onsite"/>
    <n v="21"/>
    <n v="57"/>
    <n v="1"/>
  </r>
  <r>
    <s v="EMP0024"/>
    <s v="Consulting"/>
    <s v="Onsite"/>
    <n v="11"/>
    <n v="22"/>
    <n v="12"/>
  </r>
  <r>
    <s v="EMP0025"/>
    <s v="Finance"/>
    <s v="Remote"/>
    <n v="6"/>
    <n v="54"/>
    <n v="15"/>
  </r>
  <r>
    <s v="EMP0026"/>
    <s v="Healthcare"/>
    <s v="Onsite"/>
    <n v="23"/>
    <n v="21"/>
    <n v="14"/>
  </r>
  <r>
    <s v="EMP0027"/>
    <s v="Retail"/>
    <s v="Onsite"/>
    <n v="30"/>
    <n v="24"/>
    <n v="12"/>
  </r>
  <r>
    <s v="EMP0028"/>
    <s v="Retail"/>
    <s v="Onsite"/>
    <n v="31"/>
    <n v="56"/>
    <n v="4"/>
  </r>
  <r>
    <s v="EMP0029"/>
    <s v="IT"/>
    <s v="Onsite"/>
    <n v="22"/>
    <n v="33"/>
    <n v="10"/>
  </r>
  <r>
    <s v="EMP0030"/>
    <s v="Healthcare"/>
    <s v="Remote"/>
    <n v="34"/>
    <n v="25"/>
    <n v="15"/>
  </r>
  <r>
    <s v="EMP0031"/>
    <s v="IT"/>
    <s v="Onsite"/>
    <n v="22"/>
    <n v="20"/>
    <n v="11"/>
  </r>
  <r>
    <s v="EMP0032"/>
    <s v="Manufacturing"/>
    <s v="Hybrid"/>
    <n v="4"/>
    <n v="33"/>
    <n v="14"/>
  </r>
  <r>
    <s v="EMP0033"/>
    <s v="Manufacturing"/>
    <s v="Remote"/>
    <n v="29"/>
    <n v="20"/>
    <n v="14"/>
  </r>
  <r>
    <s v="EMP0034"/>
    <s v="Healthcare"/>
    <s v="Remote"/>
    <n v="27"/>
    <n v="26"/>
    <n v="9"/>
  </r>
  <r>
    <s v="EMP0035"/>
    <s v="IT"/>
    <s v="Hybrid"/>
    <n v="24"/>
    <n v="22"/>
    <n v="6"/>
  </r>
  <r>
    <s v="EMP0036"/>
    <s v="Healthcare"/>
    <s v="Hybrid"/>
    <n v="28"/>
    <n v="57"/>
    <n v="8"/>
  </r>
  <r>
    <s v="EMP0037"/>
    <s v="Finance"/>
    <s v="Onsite"/>
    <n v="10"/>
    <n v="30"/>
    <n v="12"/>
  </r>
  <r>
    <s v="EMP0038"/>
    <s v="Healthcare"/>
    <s v="Remote"/>
    <n v="18"/>
    <n v="47"/>
    <n v="14"/>
  </r>
  <r>
    <s v="EMP0039"/>
    <s v="IT"/>
    <s v="Onsite"/>
    <n v="21"/>
    <n v="48"/>
    <n v="12"/>
  </r>
  <r>
    <s v="EMP0040"/>
    <s v="Consulting"/>
    <s v="Hybrid"/>
    <n v="20"/>
    <n v="20"/>
    <n v="1"/>
  </r>
  <r>
    <s v="EMP0041"/>
    <s v="IT"/>
    <s v="Remote"/>
    <n v="22"/>
    <n v="44"/>
    <n v="15"/>
  </r>
  <r>
    <s v="EMP0042"/>
    <s v="IT"/>
    <s v="Onsite"/>
    <n v="14"/>
    <n v="29"/>
    <n v="13"/>
  </r>
  <r>
    <s v="EMP0043"/>
    <s v="Finance"/>
    <s v="Remote"/>
    <n v="26"/>
    <n v="58"/>
    <n v="6"/>
  </r>
  <r>
    <s v="EMP0044"/>
    <s v="Manufacturing"/>
    <s v="Remote"/>
    <n v="12"/>
    <n v="53"/>
    <n v="12"/>
  </r>
  <r>
    <s v="EMP0045"/>
    <s v="Retail"/>
    <s v="Remote"/>
    <n v="13"/>
    <n v="23"/>
    <n v="6"/>
  </r>
  <r>
    <s v="EMP0046"/>
    <s v="Retail"/>
    <s v="Remote"/>
    <n v="24"/>
    <n v="42"/>
    <n v="8"/>
  </r>
  <r>
    <s v="EMP0047"/>
    <s v="Education"/>
    <s v="Remote"/>
    <n v="33"/>
    <n v="35"/>
    <n v="15"/>
  </r>
  <r>
    <s v="EMP0048"/>
    <s v="Consulting"/>
    <s v="Remote"/>
    <n v="4"/>
    <n v="39"/>
    <n v="2"/>
  </r>
  <r>
    <s v="EMP0049"/>
    <s v="Healthcare"/>
    <s v="Onsite"/>
    <n v="7"/>
    <n v="29"/>
    <n v="9"/>
  </r>
  <r>
    <s v="EMP0050"/>
    <s v="Retail"/>
    <s v="Onsite"/>
    <n v="11"/>
    <n v="37"/>
    <n v="3"/>
  </r>
  <r>
    <s v="EMP0051"/>
    <s v="Manufacturing"/>
    <s v="Onsite"/>
    <n v="34"/>
    <n v="28"/>
    <n v="10"/>
  </r>
  <r>
    <s v="EMP0052"/>
    <s v="Consulting"/>
    <s v="Remote"/>
    <n v="25"/>
    <n v="31"/>
    <n v="9"/>
  </r>
  <r>
    <s v="EMP0053"/>
    <s v="Retail"/>
    <s v="Onsite"/>
    <n v="3"/>
    <n v="26"/>
    <n v="14"/>
  </r>
  <r>
    <s v="EMP0054"/>
    <s v="Healthcare"/>
    <s v="Onsite"/>
    <n v="34"/>
    <n v="46"/>
    <n v="15"/>
  </r>
  <r>
    <s v="EMP0055"/>
    <s v="Education"/>
    <s v="Hybrid"/>
    <n v="5"/>
    <n v="55"/>
    <n v="6"/>
  </r>
  <r>
    <s v="EMP0056"/>
    <s v="Education"/>
    <s v="Hybrid"/>
    <n v="8"/>
    <n v="47"/>
    <n v="12"/>
  </r>
  <r>
    <s v="EMP0057"/>
    <s v="IT"/>
    <s v="Remote"/>
    <n v="14"/>
    <n v="48"/>
    <n v="13"/>
  </r>
  <r>
    <s v="EMP0058"/>
    <s v="IT"/>
    <s v="Onsite"/>
    <n v="7"/>
    <n v="49"/>
    <n v="6"/>
  </r>
  <r>
    <s v="EMP0059"/>
    <s v="Manufacturing"/>
    <s v="Remote"/>
    <n v="31"/>
    <n v="51"/>
    <n v="4"/>
  </r>
  <r>
    <s v="EMP0060"/>
    <s v="IT"/>
    <s v="Remote"/>
    <n v="17"/>
    <n v="57"/>
    <n v="13"/>
  </r>
  <r>
    <s v="EMP0061"/>
    <s v="Consulting"/>
    <s v="Hybrid"/>
    <n v="4"/>
    <n v="33"/>
    <n v="14"/>
  </r>
  <r>
    <s v="EMP0062"/>
    <s v="IT"/>
    <s v="Remote"/>
    <n v="14"/>
    <n v="30"/>
    <n v="15"/>
  </r>
  <r>
    <s v="EMP0063"/>
    <s v="Finance"/>
    <s v="Hybrid"/>
    <n v="20"/>
    <n v="28"/>
    <n v="4"/>
  </r>
  <r>
    <s v="EMP0064"/>
    <s v="Healthcare"/>
    <s v="Onsite"/>
    <n v="5"/>
    <n v="31"/>
    <n v="15"/>
  </r>
  <r>
    <s v="EMP0065"/>
    <s v="Healthcare"/>
    <s v="Hybrid"/>
    <n v="18"/>
    <n v="37"/>
    <n v="0"/>
  </r>
  <r>
    <s v="EMP0066"/>
    <s v="Finance"/>
    <s v="Remote"/>
    <n v="9"/>
    <n v="31"/>
    <n v="3"/>
  </r>
  <r>
    <s v="EMP0067"/>
    <s v="IT"/>
    <s v="Hybrid"/>
    <n v="6"/>
    <n v="46"/>
    <n v="3"/>
  </r>
  <r>
    <s v="EMP0068"/>
    <s v="Education"/>
    <s v="Remote"/>
    <n v="32"/>
    <n v="20"/>
    <n v="6"/>
  </r>
  <r>
    <s v="EMP0069"/>
    <s v="Manufacturing"/>
    <s v="Onsite"/>
    <n v="23"/>
    <n v="51"/>
    <n v="8"/>
  </r>
  <r>
    <s v="EMP0070"/>
    <s v="Finance"/>
    <s v="Remote"/>
    <n v="6"/>
    <n v="28"/>
    <n v="13"/>
  </r>
  <r>
    <s v="EMP0071"/>
    <s v="Consulting"/>
    <s v="Onsite"/>
    <n v="23"/>
    <n v="39"/>
    <n v="4"/>
  </r>
  <r>
    <s v="EMP0072"/>
    <s v="Consulting"/>
    <s v="Remote"/>
    <n v="25"/>
    <n v="29"/>
    <n v="13"/>
  </r>
  <r>
    <s v="EMP0073"/>
    <s v="Retail"/>
    <s v="Onsite"/>
    <n v="15"/>
    <n v="30"/>
    <n v="14"/>
  </r>
  <r>
    <s v="EMP0074"/>
    <s v="IT"/>
    <s v="Hybrid"/>
    <n v="29"/>
    <n v="53"/>
    <n v="7"/>
  </r>
  <r>
    <s v="EMP0075"/>
    <s v="Consulting"/>
    <s v="Onsite"/>
    <n v="35"/>
    <n v="57"/>
    <n v="10"/>
  </r>
  <r>
    <s v="EMP0076"/>
    <s v="Retail"/>
    <s v="Onsite"/>
    <n v="27"/>
    <n v="49"/>
    <n v="3"/>
  </r>
  <r>
    <s v="EMP0077"/>
    <s v="Consulting"/>
    <s v="Onsite"/>
    <n v="4"/>
    <n v="55"/>
    <n v="8"/>
  </r>
  <r>
    <s v="EMP0078"/>
    <s v="Healthcare"/>
    <s v="Remote"/>
    <n v="25"/>
    <n v="37"/>
    <n v="10"/>
  </r>
  <r>
    <s v="EMP0079"/>
    <s v="Manufacturing"/>
    <s v="Remote"/>
    <n v="15"/>
    <n v="51"/>
    <n v="5"/>
  </r>
  <r>
    <s v="EMP0080"/>
    <s v="Consulting"/>
    <s v="Hybrid"/>
    <n v="21"/>
    <n v="21"/>
    <n v="7"/>
  </r>
  <r>
    <s v="EMP0081"/>
    <s v="Education"/>
    <s v="Hybrid"/>
    <n v="5"/>
    <n v="21"/>
    <n v="10"/>
  </r>
  <r>
    <s v="EMP0082"/>
    <s v="Finance"/>
    <s v="Onsite"/>
    <n v="33"/>
    <n v="44"/>
    <n v="9"/>
  </r>
  <r>
    <s v="EMP0083"/>
    <s v="Education"/>
    <s v="Hybrid"/>
    <n v="32"/>
    <n v="26"/>
    <n v="10"/>
  </r>
  <r>
    <s v="EMP0084"/>
    <s v="Healthcare"/>
    <s v="Hybrid"/>
    <n v="15"/>
    <n v="43"/>
    <n v="6"/>
  </r>
  <r>
    <s v="EMP0085"/>
    <s v="Retail"/>
    <s v="Hybrid"/>
    <n v="9"/>
    <n v="42"/>
    <n v="14"/>
  </r>
  <r>
    <s v="EMP0086"/>
    <s v="Finance"/>
    <s v="Hybrid"/>
    <n v="20"/>
    <n v="44"/>
    <n v="8"/>
  </r>
  <r>
    <s v="EMP0087"/>
    <s v="Manufacturing"/>
    <s v="Onsite"/>
    <n v="10"/>
    <n v="27"/>
    <n v="0"/>
  </r>
  <r>
    <s v="EMP0088"/>
    <s v="Education"/>
    <s v="Hybrid"/>
    <n v="26"/>
    <n v="43"/>
    <n v="5"/>
  </r>
  <r>
    <s v="EMP0089"/>
    <s v="Consulting"/>
    <s v="Remote"/>
    <n v="11"/>
    <n v="38"/>
    <n v="0"/>
  </r>
  <r>
    <s v="EMP0090"/>
    <s v="Healthcare"/>
    <s v="Hybrid"/>
    <n v="23"/>
    <n v="38"/>
    <n v="4"/>
  </r>
  <r>
    <s v="EMP0091"/>
    <s v="Retail"/>
    <s v="Onsite"/>
    <n v="2"/>
    <n v="57"/>
    <n v="4"/>
  </r>
  <r>
    <s v="EMP0092"/>
    <s v="Manufacturing"/>
    <s v="Onsite"/>
    <n v="9"/>
    <n v="60"/>
    <n v="3"/>
  </r>
  <r>
    <s v="EMP0093"/>
    <s v="IT"/>
    <s v="Onsite"/>
    <n v="31"/>
    <n v="29"/>
    <n v="0"/>
  </r>
  <r>
    <s v="EMP0094"/>
    <s v="Education"/>
    <s v="Remote"/>
    <n v="34"/>
    <n v="54"/>
    <n v="12"/>
  </r>
  <r>
    <s v="EMP0095"/>
    <s v="Education"/>
    <s v="Onsite"/>
    <n v="11"/>
    <n v="31"/>
    <n v="11"/>
  </r>
  <r>
    <s v="EMP0096"/>
    <s v="Manufacturing"/>
    <s v="Remote"/>
    <n v="2"/>
    <n v="54"/>
    <n v="8"/>
  </r>
  <r>
    <s v="EMP0097"/>
    <s v="Healthcare"/>
    <s v="Hybrid"/>
    <n v="31"/>
    <n v="33"/>
    <n v="11"/>
  </r>
  <r>
    <s v="EMP0098"/>
    <s v="IT"/>
    <s v="Hybrid"/>
    <n v="32"/>
    <n v="25"/>
    <n v="1"/>
  </r>
  <r>
    <s v="EMP0099"/>
    <s v="Healthcare"/>
    <s v="Onsite"/>
    <n v="19"/>
    <n v="21"/>
    <n v="15"/>
  </r>
  <r>
    <s v="EMP0100"/>
    <s v="IT"/>
    <s v="Hybrid"/>
    <n v="12"/>
    <n v="45"/>
    <n v="10"/>
  </r>
  <r>
    <s v="EMP0101"/>
    <s v="Manufacturing"/>
    <s v="Onsite"/>
    <n v="32"/>
    <n v="53"/>
    <n v="5"/>
  </r>
  <r>
    <s v="EMP0102"/>
    <s v="Consulting"/>
    <s v="Hybrid"/>
    <n v="9"/>
    <n v="46"/>
    <n v="12"/>
  </r>
  <r>
    <s v="EMP0103"/>
    <s v="IT"/>
    <s v="Hybrid"/>
    <n v="3"/>
    <n v="22"/>
    <n v="9"/>
  </r>
  <r>
    <s v="EMP0104"/>
    <s v="Finance"/>
    <s v="Hybrid"/>
    <n v="18"/>
    <n v="60"/>
    <n v="12"/>
  </r>
  <r>
    <s v="EMP0105"/>
    <s v="Education"/>
    <s v="Hybrid"/>
    <n v="30"/>
    <n v="42"/>
    <n v="2"/>
  </r>
  <r>
    <s v="EMP0106"/>
    <s v="Healthcare"/>
    <s v="Onsite"/>
    <n v="18"/>
    <n v="60"/>
    <n v="2"/>
  </r>
  <r>
    <s v="EMP0107"/>
    <s v="IT"/>
    <s v="Onsite"/>
    <n v="25"/>
    <n v="35"/>
    <n v="14"/>
  </r>
  <r>
    <s v="EMP0108"/>
    <s v="Healthcare"/>
    <s v="Hybrid"/>
    <n v="27"/>
    <n v="44"/>
    <n v="2"/>
  </r>
  <r>
    <s v="EMP0109"/>
    <s v="Healthcare"/>
    <s v="Remote"/>
    <n v="2"/>
    <n v="50"/>
    <n v="2"/>
  </r>
  <r>
    <s v="EMP0110"/>
    <s v="Finance"/>
    <s v="Remote"/>
    <n v="4"/>
    <n v="22"/>
    <n v="7"/>
  </r>
  <r>
    <s v="EMP0111"/>
    <s v="Education"/>
    <s v="Hybrid"/>
    <n v="29"/>
    <n v="29"/>
    <n v="13"/>
  </r>
  <r>
    <s v="EMP0112"/>
    <s v="Finance"/>
    <s v="Remote"/>
    <n v="30"/>
    <n v="34"/>
    <n v="8"/>
  </r>
  <r>
    <s v="EMP0113"/>
    <s v="Retail"/>
    <s v="Remote"/>
    <n v="10"/>
    <n v="30"/>
    <n v="7"/>
  </r>
  <r>
    <s v="EMP0114"/>
    <s v="Retail"/>
    <s v="Onsite"/>
    <n v="21"/>
    <n v="53"/>
    <n v="0"/>
  </r>
  <r>
    <s v="EMP0115"/>
    <s v="Healthcare"/>
    <s v="Remote"/>
    <n v="25"/>
    <n v="29"/>
    <n v="5"/>
  </r>
  <r>
    <s v="EMP0116"/>
    <s v="Education"/>
    <s v="Onsite"/>
    <n v="35"/>
    <n v="27"/>
    <n v="1"/>
  </r>
  <r>
    <s v="EMP0117"/>
    <s v="Finance"/>
    <s v="Onsite"/>
    <n v="5"/>
    <n v="44"/>
    <n v="14"/>
  </r>
  <r>
    <s v="EMP0118"/>
    <s v="Education"/>
    <s v="Remote"/>
    <n v="25"/>
    <n v="42"/>
    <n v="13"/>
  </r>
  <r>
    <s v="EMP0119"/>
    <s v="Manufacturing"/>
    <s v="Hybrid"/>
    <n v="1"/>
    <n v="22"/>
    <n v="4"/>
  </r>
  <r>
    <s v="EMP0120"/>
    <s v="Consulting"/>
    <s v="Hybrid"/>
    <n v="27"/>
    <n v="34"/>
    <n v="13"/>
  </r>
  <r>
    <s v="EMP0121"/>
    <s v="Manufacturing"/>
    <s v="Onsite"/>
    <n v="29"/>
    <n v="51"/>
    <n v="13"/>
  </r>
  <r>
    <s v="EMP0122"/>
    <s v="Retail"/>
    <s v="Hybrid"/>
    <n v="18"/>
    <n v="48"/>
    <n v="6"/>
  </r>
  <r>
    <s v="EMP0123"/>
    <s v="Healthcare"/>
    <s v="Onsite"/>
    <n v="35"/>
    <n v="30"/>
    <n v="10"/>
  </r>
  <r>
    <s v="EMP0124"/>
    <s v="Consulting"/>
    <s v="Onsite"/>
    <n v="14"/>
    <n v="59"/>
    <n v="7"/>
  </r>
  <r>
    <s v="EMP0125"/>
    <s v="Manufacturing"/>
    <s v="Remote"/>
    <n v="27"/>
    <n v="26"/>
    <n v="14"/>
  </r>
  <r>
    <s v="EMP0126"/>
    <s v="Finance"/>
    <s v="Hybrid"/>
    <n v="27"/>
    <n v="60"/>
    <n v="1"/>
  </r>
  <r>
    <s v="EMP0127"/>
    <s v="Retail"/>
    <s v="Onsite"/>
    <n v="8"/>
    <n v="38"/>
    <n v="2"/>
  </r>
  <r>
    <s v="EMP0128"/>
    <s v="Finance"/>
    <s v="Remote"/>
    <n v="21"/>
    <n v="34"/>
    <n v="0"/>
  </r>
  <r>
    <s v="EMP0129"/>
    <s v="Consulting"/>
    <s v="Onsite"/>
    <n v="15"/>
    <n v="46"/>
    <n v="12"/>
  </r>
  <r>
    <s v="EMP0130"/>
    <s v="Retail"/>
    <s v="Hybrid"/>
    <n v="21"/>
    <n v="35"/>
    <n v="2"/>
  </r>
  <r>
    <s v="EMP0131"/>
    <s v="Education"/>
    <s v="Remote"/>
    <n v="16"/>
    <n v="23"/>
    <n v="9"/>
  </r>
  <r>
    <s v="EMP0132"/>
    <s v="Manufacturing"/>
    <s v="Remote"/>
    <n v="26"/>
    <n v="28"/>
    <n v="15"/>
  </r>
  <r>
    <s v="EMP0133"/>
    <s v="Retail"/>
    <s v="Onsite"/>
    <n v="4"/>
    <n v="57"/>
    <n v="10"/>
  </r>
  <r>
    <s v="EMP0134"/>
    <s v="Manufacturing"/>
    <s v="Hybrid"/>
    <n v="29"/>
    <n v="29"/>
    <n v="4"/>
  </r>
  <r>
    <s v="EMP0135"/>
    <s v="Finance"/>
    <s v="Hybrid"/>
    <n v="2"/>
    <n v="39"/>
    <n v="1"/>
  </r>
  <r>
    <s v="EMP0136"/>
    <s v="IT"/>
    <s v="Remote"/>
    <n v="26"/>
    <n v="46"/>
    <n v="4"/>
  </r>
  <r>
    <s v="EMP0137"/>
    <s v="Healthcare"/>
    <s v="Remote"/>
    <n v="14"/>
    <n v="26"/>
    <n v="9"/>
  </r>
  <r>
    <s v="EMP0138"/>
    <s v="IT"/>
    <s v="Remote"/>
    <n v="10"/>
    <n v="32"/>
    <n v="4"/>
  </r>
  <r>
    <s v="EMP0139"/>
    <s v="Education"/>
    <s v="Remote"/>
    <n v="34"/>
    <n v="30"/>
    <n v="11"/>
  </r>
  <r>
    <s v="EMP0140"/>
    <s v="Education"/>
    <s v="Hybrid"/>
    <n v="11"/>
    <n v="48"/>
    <n v="3"/>
  </r>
  <r>
    <s v="EMP0141"/>
    <s v="Education"/>
    <s v="Onsite"/>
    <n v="12"/>
    <n v="44"/>
    <n v="13"/>
  </r>
  <r>
    <s v="EMP0142"/>
    <s v="Healthcare"/>
    <s v="Hybrid"/>
    <n v="29"/>
    <n v="49"/>
    <n v="15"/>
  </r>
  <r>
    <s v="EMP0143"/>
    <s v="Manufacturing"/>
    <s v="Hybrid"/>
    <n v="11"/>
    <n v="23"/>
    <n v="0"/>
  </r>
  <r>
    <s v="EMP0144"/>
    <s v="Finance"/>
    <s v="Onsite"/>
    <n v="3"/>
    <n v="33"/>
    <n v="6"/>
  </r>
  <r>
    <s v="EMP0145"/>
    <s v="Education"/>
    <s v="Remote"/>
    <n v="18"/>
    <n v="35"/>
    <n v="15"/>
  </r>
  <r>
    <s v="EMP0146"/>
    <s v="Consulting"/>
    <s v="Remote"/>
    <n v="5"/>
    <n v="41"/>
    <n v="8"/>
  </r>
  <r>
    <s v="EMP0147"/>
    <s v="Healthcare"/>
    <s v="Hybrid"/>
    <n v="3"/>
    <n v="34"/>
    <n v="12"/>
  </r>
  <r>
    <s v="EMP0148"/>
    <s v="Finance"/>
    <s v="Remote"/>
    <n v="14"/>
    <n v="44"/>
    <n v="10"/>
  </r>
  <r>
    <s v="EMP0149"/>
    <s v="IT"/>
    <s v="Onsite"/>
    <n v="10"/>
    <n v="52"/>
    <n v="8"/>
  </r>
  <r>
    <s v="EMP0150"/>
    <s v="Consulting"/>
    <s v="Onsite"/>
    <n v="17"/>
    <n v="57"/>
    <n v="11"/>
  </r>
  <r>
    <s v="EMP0151"/>
    <s v="Consulting"/>
    <s v="Remote"/>
    <n v="34"/>
    <n v="32"/>
    <n v="15"/>
  </r>
  <r>
    <s v="EMP0152"/>
    <s v="Consulting"/>
    <s v="Remote"/>
    <n v="20"/>
    <n v="31"/>
    <n v="6"/>
  </r>
  <r>
    <s v="EMP0153"/>
    <s v="Healthcare"/>
    <s v="Hybrid"/>
    <n v="29"/>
    <n v="58"/>
    <n v="15"/>
  </r>
  <r>
    <s v="EMP0154"/>
    <s v="Consulting"/>
    <s v="Remote"/>
    <n v="31"/>
    <n v="26"/>
    <n v="9"/>
  </r>
  <r>
    <s v="EMP0155"/>
    <s v="Consulting"/>
    <s v="Remote"/>
    <n v="17"/>
    <n v="57"/>
    <n v="5"/>
  </r>
  <r>
    <s v="EMP0156"/>
    <s v="Healthcare"/>
    <s v="Onsite"/>
    <n v="31"/>
    <n v="20"/>
    <n v="8"/>
  </r>
  <r>
    <s v="EMP0157"/>
    <s v="Finance"/>
    <s v="Hybrid"/>
    <n v="23"/>
    <n v="26"/>
    <n v="0"/>
  </r>
  <r>
    <s v="EMP0158"/>
    <s v="Finance"/>
    <s v="Hybrid"/>
    <n v="21"/>
    <n v="43"/>
    <n v="15"/>
  </r>
  <r>
    <s v="EMP0159"/>
    <s v="Manufacturing"/>
    <s v="Onsite"/>
    <n v="6"/>
    <n v="50"/>
    <n v="14"/>
  </r>
  <r>
    <s v="EMP0160"/>
    <s v="Healthcare"/>
    <s v="Onsite"/>
    <n v="14"/>
    <n v="52"/>
    <n v="0"/>
  </r>
  <r>
    <s v="EMP0161"/>
    <s v="IT"/>
    <s v="Hybrid"/>
    <n v="34"/>
    <n v="37"/>
    <n v="1"/>
  </r>
  <r>
    <s v="EMP0162"/>
    <s v="Education"/>
    <s v="Hybrid"/>
    <n v="24"/>
    <n v="38"/>
    <n v="0"/>
  </r>
  <r>
    <s v="EMP0163"/>
    <s v="Consulting"/>
    <s v="Hybrid"/>
    <n v="3"/>
    <n v="55"/>
    <n v="11"/>
  </r>
  <r>
    <s v="EMP0164"/>
    <s v="Manufacturing"/>
    <s v="Hybrid"/>
    <n v="5"/>
    <n v="53"/>
    <n v="14"/>
  </r>
  <r>
    <s v="EMP0165"/>
    <s v="Healthcare"/>
    <s v="Onsite"/>
    <n v="11"/>
    <n v="20"/>
    <n v="13"/>
  </r>
  <r>
    <s v="EMP0166"/>
    <s v="Manufacturing"/>
    <s v="Hybrid"/>
    <n v="10"/>
    <n v="46"/>
    <n v="1"/>
  </r>
  <r>
    <s v="EMP0167"/>
    <s v="Education"/>
    <s v="Onsite"/>
    <n v="35"/>
    <n v="30"/>
    <n v="8"/>
  </r>
  <r>
    <s v="EMP0168"/>
    <s v="Retail"/>
    <s v="Remote"/>
    <n v="27"/>
    <n v="50"/>
    <n v="8"/>
  </r>
  <r>
    <s v="EMP0169"/>
    <s v="Healthcare"/>
    <s v="Remote"/>
    <n v="15"/>
    <n v="50"/>
    <n v="13"/>
  </r>
  <r>
    <s v="EMP0170"/>
    <s v="Manufacturing"/>
    <s v="Hybrid"/>
    <n v="10"/>
    <n v="50"/>
    <n v="0"/>
  </r>
  <r>
    <s v="EMP0171"/>
    <s v="Retail"/>
    <s v="Remote"/>
    <n v="19"/>
    <n v="23"/>
    <n v="7"/>
  </r>
  <r>
    <s v="EMP0172"/>
    <s v="Retail"/>
    <s v="Onsite"/>
    <n v="33"/>
    <n v="45"/>
    <n v="3"/>
  </r>
  <r>
    <s v="EMP0173"/>
    <s v="Finance"/>
    <s v="Hybrid"/>
    <n v="11"/>
    <n v="25"/>
    <n v="4"/>
  </r>
  <r>
    <s v="EMP0174"/>
    <s v="Manufacturing"/>
    <s v="Remote"/>
    <n v="35"/>
    <n v="36"/>
    <n v="9"/>
  </r>
  <r>
    <s v="EMP0175"/>
    <s v="Education"/>
    <s v="Onsite"/>
    <n v="10"/>
    <n v="60"/>
    <n v="3"/>
  </r>
  <r>
    <s v="EMP0176"/>
    <s v="Healthcare"/>
    <s v="Remote"/>
    <n v="12"/>
    <n v="35"/>
    <n v="7"/>
  </r>
  <r>
    <s v="EMP0177"/>
    <s v="Manufacturing"/>
    <s v="Hybrid"/>
    <n v="14"/>
    <n v="55"/>
    <n v="12"/>
  </r>
  <r>
    <s v="EMP0178"/>
    <s v="Finance"/>
    <s v="Onsite"/>
    <n v="31"/>
    <n v="47"/>
    <n v="10"/>
  </r>
  <r>
    <s v="EMP0179"/>
    <s v="Healthcare"/>
    <s v="Hybrid"/>
    <n v="32"/>
    <n v="57"/>
    <n v="10"/>
  </r>
  <r>
    <s v="EMP0180"/>
    <s v="Education"/>
    <s v="Hybrid"/>
    <n v="17"/>
    <n v="22"/>
    <n v="9"/>
  </r>
  <r>
    <s v="EMP0181"/>
    <s v="IT"/>
    <s v="Remote"/>
    <n v="22"/>
    <n v="43"/>
    <n v="5"/>
  </r>
  <r>
    <s v="EMP0182"/>
    <s v="Consulting"/>
    <s v="Remote"/>
    <n v="29"/>
    <n v="45"/>
    <n v="9"/>
  </r>
  <r>
    <s v="EMP0183"/>
    <s v="Healthcare"/>
    <s v="Onsite"/>
    <n v="21"/>
    <n v="56"/>
    <n v="14"/>
  </r>
  <r>
    <s v="EMP0184"/>
    <s v="IT"/>
    <s v="Onsite"/>
    <n v="22"/>
    <n v="46"/>
    <n v="14"/>
  </r>
  <r>
    <s v="EMP0185"/>
    <s v="Manufacturing"/>
    <s v="Hybrid"/>
    <n v="13"/>
    <n v="60"/>
    <n v="0"/>
  </r>
  <r>
    <s v="EMP0186"/>
    <s v="Consulting"/>
    <s v="Remote"/>
    <n v="12"/>
    <n v="32"/>
    <n v="9"/>
  </r>
  <r>
    <s v="EMP0187"/>
    <s v="Manufacturing"/>
    <s v="Hybrid"/>
    <n v="11"/>
    <n v="59"/>
    <n v="13"/>
  </r>
  <r>
    <s v="EMP0188"/>
    <s v="Consulting"/>
    <s v="Onsite"/>
    <n v="17"/>
    <n v="60"/>
    <n v="13"/>
  </r>
  <r>
    <s v="EMP0189"/>
    <s v="IT"/>
    <s v="Hybrid"/>
    <n v="35"/>
    <n v="43"/>
    <n v="4"/>
  </r>
  <r>
    <s v="EMP0190"/>
    <s v="Education"/>
    <s v="Remote"/>
    <n v="15"/>
    <n v="33"/>
    <n v="8"/>
  </r>
  <r>
    <s v="EMP0191"/>
    <s v="Finance"/>
    <s v="Hybrid"/>
    <n v="11"/>
    <n v="20"/>
    <n v="14"/>
  </r>
  <r>
    <s v="EMP0192"/>
    <s v="Retail"/>
    <s v="Hybrid"/>
    <n v="16"/>
    <n v="27"/>
    <n v="2"/>
  </r>
  <r>
    <s v="EMP0193"/>
    <s v="Healthcare"/>
    <s v="Onsite"/>
    <n v="4"/>
    <n v="43"/>
    <n v="1"/>
  </r>
  <r>
    <s v="EMP0194"/>
    <s v="IT"/>
    <s v="Onsite"/>
    <n v="29"/>
    <n v="23"/>
    <n v="12"/>
  </r>
  <r>
    <s v="EMP0195"/>
    <s v="Education"/>
    <s v="Onsite"/>
    <n v="22"/>
    <n v="29"/>
    <n v="0"/>
  </r>
  <r>
    <s v="EMP0196"/>
    <s v="Education"/>
    <s v="Remote"/>
    <n v="7"/>
    <n v="47"/>
    <n v="0"/>
  </r>
  <r>
    <s v="EMP0197"/>
    <s v="Healthcare"/>
    <s v="Onsite"/>
    <n v="28"/>
    <n v="46"/>
    <n v="12"/>
  </r>
  <r>
    <s v="EMP0198"/>
    <s v="Manufacturing"/>
    <s v="Hybrid"/>
    <n v="13"/>
    <n v="40"/>
    <n v="2"/>
  </r>
  <r>
    <s v="EMP0199"/>
    <s v="Retail"/>
    <s v="Remote"/>
    <n v="7"/>
    <n v="47"/>
    <n v="0"/>
  </r>
  <r>
    <s v="EMP0200"/>
    <s v="Finance"/>
    <s v="Remote"/>
    <n v="3"/>
    <n v="53"/>
    <n v="7"/>
  </r>
  <r>
    <s v="EMP0201"/>
    <s v="Education"/>
    <s v="Hybrid"/>
    <n v="3"/>
    <n v="55"/>
    <n v="14"/>
  </r>
  <r>
    <s v="EMP0202"/>
    <s v="Retail"/>
    <s v="Remote"/>
    <n v="2"/>
    <n v="40"/>
    <n v="1"/>
  </r>
  <r>
    <s v="EMP0203"/>
    <s v="IT"/>
    <s v="Hybrid"/>
    <n v="32"/>
    <n v="28"/>
    <n v="8"/>
  </r>
  <r>
    <s v="EMP0204"/>
    <s v="Consulting"/>
    <s v="Hybrid"/>
    <n v="18"/>
    <n v="39"/>
    <n v="14"/>
  </r>
  <r>
    <s v="EMP0205"/>
    <s v="IT"/>
    <s v="Onsite"/>
    <n v="14"/>
    <n v="41"/>
    <n v="5"/>
  </r>
  <r>
    <s v="EMP0206"/>
    <s v="Finance"/>
    <s v="Onsite"/>
    <n v="5"/>
    <n v="21"/>
    <n v="3"/>
  </r>
  <r>
    <s v="EMP0207"/>
    <s v="IT"/>
    <s v="Onsite"/>
    <n v="12"/>
    <n v="34"/>
    <n v="11"/>
  </r>
  <r>
    <s v="EMP0208"/>
    <s v="Retail"/>
    <s v="Remote"/>
    <n v="2"/>
    <n v="36"/>
    <n v="14"/>
  </r>
  <r>
    <s v="EMP0209"/>
    <s v="Manufacturing"/>
    <s v="Remote"/>
    <n v="19"/>
    <n v="32"/>
    <n v="2"/>
  </r>
  <r>
    <s v="EMP0210"/>
    <s v="Consulting"/>
    <s v="Hybrid"/>
    <n v="7"/>
    <n v="21"/>
    <n v="8"/>
  </r>
  <r>
    <s v="EMP0211"/>
    <s v="Manufacturing"/>
    <s v="Onsite"/>
    <n v="31"/>
    <n v="56"/>
    <n v="3"/>
  </r>
  <r>
    <s v="EMP0212"/>
    <s v="Manufacturing"/>
    <s v="Onsite"/>
    <n v="33"/>
    <n v="58"/>
    <n v="8"/>
  </r>
  <r>
    <s v="EMP0213"/>
    <s v="Manufacturing"/>
    <s v="Onsite"/>
    <n v="11"/>
    <n v="35"/>
    <n v="8"/>
  </r>
  <r>
    <s v="EMP0214"/>
    <s v="Healthcare"/>
    <s v="Hybrid"/>
    <n v="22"/>
    <n v="52"/>
    <n v="3"/>
  </r>
  <r>
    <s v="EMP0215"/>
    <s v="Consulting"/>
    <s v="Remote"/>
    <n v="30"/>
    <n v="33"/>
    <n v="8"/>
  </r>
  <r>
    <s v="EMP0216"/>
    <s v="Manufacturing"/>
    <s v="Remote"/>
    <n v="22"/>
    <n v="47"/>
    <n v="9"/>
  </r>
  <r>
    <s v="EMP0217"/>
    <s v="Education"/>
    <s v="Onsite"/>
    <n v="11"/>
    <n v="56"/>
    <n v="13"/>
  </r>
  <r>
    <s v="EMP0218"/>
    <s v="Education"/>
    <s v="Onsite"/>
    <n v="35"/>
    <n v="33"/>
    <n v="4"/>
  </r>
  <r>
    <s v="EMP0219"/>
    <s v="Education"/>
    <s v="Remote"/>
    <n v="5"/>
    <n v="60"/>
    <n v="9"/>
  </r>
  <r>
    <s v="EMP0220"/>
    <s v="Manufacturing"/>
    <s v="Hybrid"/>
    <n v="23"/>
    <n v="32"/>
    <n v="5"/>
  </r>
  <r>
    <s v="EMP0221"/>
    <s v="Retail"/>
    <s v="Hybrid"/>
    <n v="18"/>
    <n v="48"/>
    <n v="9"/>
  </r>
  <r>
    <s v="EMP0222"/>
    <s v="IT"/>
    <s v="Hybrid"/>
    <n v="20"/>
    <n v="39"/>
    <n v="6"/>
  </r>
  <r>
    <s v="EMP0223"/>
    <s v="Consulting"/>
    <s v="Onsite"/>
    <n v="6"/>
    <n v="23"/>
    <n v="6"/>
  </r>
  <r>
    <s v="EMP0224"/>
    <s v="Retail"/>
    <s v="Hybrid"/>
    <n v="29"/>
    <n v="38"/>
    <n v="3"/>
  </r>
  <r>
    <s v="EMP0225"/>
    <s v="Manufacturing"/>
    <s v="Remote"/>
    <n v="1"/>
    <n v="30"/>
    <n v="5"/>
  </r>
  <r>
    <s v="EMP0226"/>
    <s v="Retail"/>
    <s v="Onsite"/>
    <n v="4"/>
    <n v="35"/>
    <n v="3"/>
  </r>
  <r>
    <s v="EMP0227"/>
    <s v="Healthcare"/>
    <s v="Remote"/>
    <n v="6"/>
    <n v="22"/>
    <n v="0"/>
  </r>
  <r>
    <s v="EMP0228"/>
    <s v="IT"/>
    <s v="Onsite"/>
    <n v="8"/>
    <n v="28"/>
    <n v="15"/>
  </r>
  <r>
    <s v="EMP0229"/>
    <s v="Consulting"/>
    <s v="Onsite"/>
    <n v="32"/>
    <n v="57"/>
    <n v="4"/>
  </r>
  <r>
    <s v="EMP0230"/>
    <s v="Manufacturing"/>
    <s v="Hybrid"/>
    <n v="10"/>
    <n v="48"/>
    <n v="14"/>
  </r>
  <r>
    <s v="EMP0231"/>
    <s v="Retail"/>
    <s v="Onsite"/>
    <n v="7"/>
    <n v="45"/>
    <n v="14"/>
  </r>
  <r>
    <s v="EMP0232"/>
    <s v="Healthcare"/>
    <s v="Onsite"/>
    <n v="29"/>
    <n v="34"/>
    <n v="3"/>
  </r>
  <r>
    <s v="EMP0233"/>
    <s v="Manufacturing"/>
    <s v="Hybrid"/>
    <n v="19"/>
    <n v="59"/>
    <n v="9"/>
  </r>
  <r>
    <s v="EMP0234"/>
    <s v="Consulting"/>
    <s v="Remote"/>
    <n v="18"/>
    <n v="31"/>
    <n v="6"/>
  </r>
  <r>
    <s v="EMP0235"/>
    <s v="Retail"/>
    <s v="Onsite"/>
    <n v="9"/>
    <n v="55"/>
    <n v="12"/>
  </r>
  <r>
    <s v="EMP0236"/>
    <s v="Finance"/>
    <s v="Remote"/>
    <n v="18"/>
    <n v="23"/>
    <n v="11"/>
  </r>
  <r>
    <s v="EMP0237"/>
    <s v="Healthcare"/>
    <s v="Hybrid"/>
    <n v="33"/>
    <n v="51"/>
    <n v="7"/>
  </r>
  <r>
    <s v="EMP0238"/>
    <s v="Manufacturing"/>
    <s v="Remote"/>
    <n v="13"/>
    <n v="32"/>
    <n v="11"/>
  </r>
  <r>
    <s v="EMP0239"/>
    <s v="IT"/>
    <s v="Remote"/>
    <n v="4"/>
    <n v="41"/>
    <n v="14"/>
  </r>
  <r>
    <s v="EMP0240"/>
    <s v="Manufacturing"/>
    <s v="Hybrid"/>
    <n v="24"/>
    <n v="46"/>
    <n v="10"/>
  </r>
  <r>
    <s v="EMP0241"/>
    <s v="Education"/>
    <s v="Onsite"/>
    <n v="6"/>
    <n v="58"/>
    <n v="15"/>
  </r>
  <r>
    <s v="EMP0242"/>
    <s v="Manufacturing"/>
    <s v="Onsite"/>
    <n v="2"/>
    <n v="59"/>
    <n v="13"/>
  </r>
  <r>
    <s v="EMP0243"/>
    <s v="Education"/>
    <s v="Remote"/>
    <n v="10"/>
    <n v="40"/>
    <n v="1"/>
  </r>
  <r>
    <s v="EMP0244"/>
    <s v="Retail"/>
    <s v="Remote"/>
    <n v="32"/>
    <n v="56"/>
    <n v="3"/>
  </r>
  <r>
    <s v="EMP0245"/>
    <s v="Finance"/>
    <s v="Onsite"/>
    <n v="17"/>
    <n v="47"/>
    <n v="11"/>
  </r>
  <r>
    <s v="EMP0246"/>
    <s v="IT"/>
    <s v="Hybrid"/>
    <n v="25"/>
    <n v="38"/>
    <n v="2"/>
  </r>
  <r>
    <s v="EMP0247"/>
    <s v="Healthcare"/>
    <s v="Remote"/>
    <n v="25"/>
    <n v="59"/>
    <n v="12"/>
  </r>
  <r>
    <s v="EMP0248"/>
    <s v="Manufacturing"/>
    <s v="Onsite"/>
    <n v="17"/>
    <n v="47"/>
    <n v="4"/>
  </r>
  <r>
    <s v="EMP0249"/>
    <s v="Manufacturing"/>
    <s v="Remote"/>
    <n v="17"/>
    <n v="49"/>
    <n v="6"/>
  </r>
  <r>
    <s v="EMP0250"/>
    <s v="Manufacturing"/>
    <s v="Hybrid"/>
    <n v="18"/>
    <n v="20"/>
    <n v="6"/>
  </r>
  <r>
    <s v="EMP0251"/>
    <s v="Manufacturing"/>
    <s v="Hybrid"/>
    <n v="26"/>
    <n v="50"/>
    <n v="9"/>
  </r>
  <r>
    <s v="EMP0252"/>
    <s v="Education"/>
    <s v="Hybrid"/>
    <n v="21"/>
    <n v="32"/>
    <n v="0"/>
  </r>
  <r>
    <s v="EMP0253"/>
    <s v="IT"/>
    <s v="Hybrid"/>
    <n v="21"/>
    <n v="23"/>
    <n v="8"/>
  </r>
  <r>
    <s v="EMP0254"/>
    <s v="IT"/>
    <s v="Remote"/>
    <n v="25"/>
    <n v="22"/>
    <n v="13"/>
  </r>
  <r>
    <s v="EMP0255"/>
    <s v="Education"/>
    <s v="Hybrid"/>
    <n v="4"/>
    <n v="33"/>
    <n v="11"/>
  </r>
  <r>
    <s v="EMP0256"/>
    <s v="Education"/>
    <s v="Hybrid"/>
    <n v="25"/>
    <n v="32"/>
    <n v="13"/>
  </r>
  <r>
    <s v="EMP0257"/>
    <s v="Retail"/>
    <s v="Onsite"/>
    <n v="10"/>
    <n v="51"/>
    <n v="0"/>
  </r>
  <r>
    <s v="EMP0258"/>
    <s v="Healthcare"/>
    <s v="Hybrid"/>
    <n v="34"/>
    <n v="49"/>
    <n v="11"/>
  </r>
  <r>
    <s v="EMP0259"/>
    <s v="Education"/>
    <s v="Remote"/>
    <n v="9"/>
    <n v="30"/>
    <n v="9"/>
  </r>
  <r>
    <s v="EMP0260"/>
    <s v="Education"/>
    <s v="Remote"/>
    <n v="11"/>
    <n v="25"/>
    <n v="9"/>
  </r>
  <r>
    <s v="EMP0261"/>
    <s v="Manufacturing"/>
    <s v="Onsite"/>
    <n v="3"/>
    <n v="40"/>
    <n v="12"/>
  </r>
  <r>
    <s v="EMP0262"/>
    <s v="Finance"/>
    <s v="Onsite"/>
    <n v="20"/>
    <n v="32"/>
    <n v="13"/>
  </r>
  <r>
    <s v="EMP0263"/>
    <s v="Education"/>
    <s v="Onsite"/>
    <n v="18"/>
    <n v="20"/>
    <n v="15"/>
  </r>
  <r>
    <s v="EMP0264"/>
    <s v="Retail"/>
    <s v="Hybrid"/>
    <n v="8"/>
    <n v="35"/>
    <n v="5"/>
  </r>
  <r>
    <s v="EMP0265"/>
    <s v="Manufacturing"/>
    <s v="Remote"/>
    <n v="32"/>
    <n v="49"/>
    <n v="2"/>
  </r>
  <r>
    <s v="EMP0266"/>
    <s v="Retail"/>
    <s v="Onsite"/>
    <n v="21"/>
    <n v="34"/>
    <n v="5"/>
  </r>
  <r>
    <s v="EMP0267"/>
    <s v="Manufacturing"/>
    <s v="Hybrid"/>
    <n v="33"/>
    <n v="58"/>
    <n v="13"/>
  </r>
  <r>
    <s v="EMP0268"/>
    <s v="Consulting"/>
    <s v="Onsite"/>
    <n v="15"/>
    <n v="26"/>
    <n v="4"/>
  </r>
  <r>
    <s v="EMP0269"/>
    <s v="Retail"/>
    <s v="Onsite"/>
    <n v="12"/>
    <n v="36"/>
    <n v="7"/>
  </r>
  <r>
    <s v="EMP0270"/>
    <s v="Education"/>
    <s v="Hybrid"/>
    <n v="32"/>
    <n v="48"/>
    <n v="3"/>
  </r>
  <r>
    <s v="EMP0271"/>
    <s v="Finance"/>
    <s v="Onsite"/>
    <n v="3"/>
    <n v="57"/>
    <n v="5"/>
  </r>
  <r>
    <s v="EMP0272"/>
    <s v="Finance"/>
    <s v="Hybrid"/>
    <n v="28"/>
    <n v="32"/>
    <n v="8"/>
  </r>
  <r>
    <s v="EMP0273"/>
    <s v="Healthcare"/>
    <s v="Remote"/>
    <n v="17"/>
    <n v="55"/>
    <n v="7"/>
  </r>
  <r>
    <s v="EMP0274"/>
    <s v="Finance"/>
    <s v="Hybrid"/>
    <n v="35"/>
    <n v="28"/>
    <n v="3"/>
  </r>
  <r>
    <s v="EMP0275"/>
    <s v="Consulting"/>
    <s v="Onsite"/>
    <n v="7"/>
    <n v="53"/>
    <n v="10"/>
  </r>
  <r>
    <s v="EMP0276"/>
    <s v="Finance"/>
    <s v="Onsite"/>
    <n v="34"/>
    <n v="36"/>
    <n v="10"/>
  </r>
  <r>
    <s v="EMP0277"/>
    <s v="Manufacturing"/>
    <s v="Remote"/>
    <n v="18"/>
    <n v="54"/>
    <n v="7"/>
  </r>
  <r>
    <s v="EMP0278"/>
    <s v="Healthcare"/>
    <s v="Remote"/>
    <n v="8"/>
    <n v="33"/>
    <n v="8"/>
  </r>
  <r>
    <s v="EMP0279"/>
    <s v="Finance"/>
    <s v="Onsite"/>
    <n v="19"/>
    <n v="39"/>
    <n v="1"/>
  </r>
  <r>
    <s v="EMP0280"/>
    <s v="Healthcare"/>
    <s v="Hybrid"/>
    <n v="25"/>
    <n v="33"/>
    <n v="11"/>
  </r>
  <r>
    <s v="EMP0281"/>
    <s v="Education"/>
    <s v="Hybrid"/>
    <n v="2"/>
    <n v="48"/>
    <n v="4"/>
  </r>
  <r>
    <s v="EMP0282"/>
    <s v="Education"/>
    <s v="Remote"/>
    <n v="10"/>
    <n v="60"/>
    <n v="7"/>
  </r>
  <r>
    <s v="EMP0283"/>
    <s v="IT"/>
    <s v="Remote"/>
    <n v="35"/>
    <n v="24"/>
    <n v="1"/>
  </r>
  <r>
    <s v="EMP0284"/>
    <s v="Healthcare"/>
    <s v="Remote"/>
    <n v="18"/>
    <n v="28"/>
    <n v="7"/>
  </r>
  <r>
    <s v="EMP0285"/>
    <s v="Manufacturing"/>
    <s v="Hybrid"/>
    <n v="12"/>
    <n v="20"/>
    <n v="14"/>
  </r>
  <r>
    <s v="EMP0286"/>
    <s v="Finance"/>
    <s v="Onsite"/>
    <n v="35"/>
    <n v="28"/>
    <n v="14"/>
  </r>
  <r>
    <s v="EMP0287"/>
    <s v="Consulting"/>
    <s v="Remote"/>
    <n v="23"/>
    <n v="48"/>
    <n v="12"/>
  </r>
  <r>
    <s v="EMP0288"/>
    <s v="Healthcare"/>
    <s v="Hybrid"/>
    <n v="10"/>
    <n v="51"/>
    <n v="5"/>
  </r>
  <r>
    <s v="EMP0289"/>
    <s v="IT"/>
    <s v="Hybrid"/>
    <n v="22"/>
    <n v="39"/>
    <n v="5"/>
  </r>
  <r>
    <s v="EMP0290"/>
    <s v="Retail"/>
    <s v="Remote"/>
    <n v="14"/>
    <n v="25"/>
    <n v="2"/>
  </r>
  <r>
    <s v="EMP0291"/>
    <s v="IT"/>
    <s v="Hybrid"/>
    <n v="32"/>
    <n v="53"/>
    <n v="12"/>
  </r>
  <r>
    <s v="EMP0292"/>
    <s v="IT"/>
    <s v="Hybrid"/>
    <n v="10"/>
    <n v="44"/>
    <n v="13"/>
  </r>
  <r>
    <s v="EMP0293"/>
    <s v="Education"/>
    <s v="Hybrid"/>
    <n v="22"/>
    <n v="31"/>
    <n v="3"/>
  </r>
  <r>
    <s v="EMP0294"/>
    <s v="Healthcare"/>
    <s v="Onsite"/>
    <n v="3"/>
    <n v="58"/>
    <n v="2"/>
  </r>
  <r>
    <s v="EMP0295"/>
    <s v="Healthcare"/>
    <s v="Hybrid"/>
    <n v="33"/>
    <n v="26"/>
    <n v="5"/>
  </r>
  <r>
    <s v="EMP0296"/>
    <s v="Consulting"/>
    <s v="Hybrid"/>
    <n v="33"/>
    <n v="20"/>
    <n v="4"/>
  </r>
  <r>
    <s v="EMP0297"/>
    <s v="IT"/>
    <s v="Hybrid"/>
    <n v="11"/>
    <n v="28"/>
    <n v="14"/>
  </r>
  <r>
    <s v="EMP0298"/>
    <s v="Healthcare"/>
    <s v="Remote"/>
    <n v="7"/>
    <n v="35"/>
    <n v="14"/>
  </r>
  <r>
    <s v="EMP0299"/>
    <s v="Finance"/>
    <s v="Remote"/>
    <n v="9"/>
    <n v="30"/>
    <n v="14"/>
  </r>
  <r>
    <s v="EMP0300"/>
    <s v="Finance"/>
    <s v="Hybrid"/>
    <n v="6"/>
    <n v="28"/>
    <n v="0"/>
  </r>
  <r>
    <s v="EMP0301"/>
    <s v="Retail"/>
    <s v="Remote"/>
    <n v="16"/>
    <n v="21"/>
    <n v="4"/>
  </r>
  <r>
    <s v="EMP0302"/>
    <s v="IT"/>
    <s v="Remote"/>
    <n v="2"/>
    <n v="56"/>
    <n v="13"/>
  </r>
  <r>
    <s v="EMP0303"/>
    <s v="Retail"/>
    <s v="Hybrid"/>
    <n v="13"/>
    <n v="25"/>
    <n v="10"/>
  </r>
  <r>
    <s v="EMP0304"/>
    <s v="Education"/>
    <s v="Remote"/>
    <n v="20"/>
    <n v="21"/>
    <n v="0"/>
  </r>
  <r>
    <s v="EMP0305"/>
    <s v="Retail"/>
    <s v="Remote"/>
    <n v="17"/>
    <n v="50"/>
    <n v="2"/>
  </r>
  <r>
    <s v="EMP0306"/>
    <s v="Finance"/>
    <s v="Onsite"/>
    <n v="16"/>
    <n v="50"/>
    <n v="3"/>
  </r>
  <r>
    <s v="EMP0307"/>
    <s v="Manufacturing"/>
    <s v="Hybrid"/>
    <n v="14"/>
    <n v="27"/>
    <n v="10"/>
  </r>
  <r>
    <s v="EMP0308"/>
    <s v="Consulting"/>
    <s v="Onsite"/>
    <n v="3"/>
    <n v="31"/>
    <n v="14"/>
  </r>
  <r>
    <s v="EMP0309"/>
    <s v="Finance"/>
    <s v="Hybrid"/>
    <n v="27"/>
    <n v="45"/>
    <n v="11"/>
  </r>
  <r>
    <s v="EMP0310"/>
    <s v="Education"/>
    <s v="Remote"/>
    <n v="25"/>
    <n v="23"/>
    <n v="8"/>
  </r>
  <r>
    <s v="EMP0311"/>
    <s v="IT"/>
    <s v="Onsite"/>
    <n v="32"/>
    <n v="42"/>
    <n v="14"/>
  </r>
  <r>
    <s v="EMP0312"/>
    <s v="Finance"/>
    <s v="Onsite"/>
    <n v="16"/>
    <n v="37"/>
    <n v="8"/>
  </r>
  <r>
    <s v="EMP0313"/>
    <s v="IT"/>
    <s v="Onsite"/>
    <n v="15"/>
    <n v="40"/>
    <n v="7"/>
  </r>
  <r>
    <s v="EMP0314"/>
    <s v="Retail"/>
    <s v="Onsite"/>
    <n v="26"/>
    <n v="23"/>
    <n v="1"/>
  </r>
  <r>
    <s v="EMP0315"/>
    <s v="Education"/>
    <s v="Remote"/>
    <n v="22"/>
    <n v="20"/>
    <n v="3"/>
  </r>
  <r>
    <s v="EMP0316"/>
    <s v="Manufacturing"/>
    <s v="Remote"/>
    <n v="16"/>
    <n v="51"/>
    <n v="8"/>
  </r>
  <r>
    <s v="EMP0317"/>
    <s v="IT"/>
    <s v="Onsite"/>
    <n v="2"/>
    <n v="46"/>
    <n v="1"/>
  </r>
  <r>
    <s v="EMP0318"/>
    <s v="Education"/>
    <s v="Remote"/>
    <n v="6"/>
    <n v="37"/>
    <n v="7"/>
  </r>
  <r>
    <s v="EMP0319"/>
    <s v="Education"/>
    <s v="Onsite"/>
    <n v="6"/>
    <n v="42"/>
    <n v="4"/>
  </r>
  <r>
    <s v="EMP0320"/>
    <s v="Retail"/>
    <s v="Hybrid"/>
    <n v="4"/>
    <n v="53"/>
    <n v="15"/>
  </r>
  <r>
    <s v="EMP0321"/>
    <s v="Consulting"/>
    <s v="Hybrid"/>
    <n v="25"/>
    <n v="26"/>
    <n v="0"/>
  </r>
  <r>
    <s v="EMP0322"/>
    <s v="Education"/>
    <s v="Onsite"/>
    <n v="31"/>
    <n v="48"/>
    <n v="9"/>
  </r>
  <r>
    <s v="EMP0323"/>
    <s v="Education"/>
    <s v="Onsite"/>
    <n v="1"/>
    <n v="58"/>
    <n v="0"/>
  </r>
  <r>
    <s v="EMP0324"/>
    <s v="Consulting"/>
    <s v="Hybrid"/>
    <n v="29"/>
    <n v="52"/>
    <n v="7"/>
  </r>
  <r>
    <s v="EMP0325"/>
    <s v="Finance"/>
    <s v="Hybrid"/>
    <n v="4"/>
    <n v="52"/>
    <n v="13"/>
  </r>
  <r>
    <s v="EMP0326"/>
    <s v="Manufacturing"/>
    <s v="Onsite"/>
    <n v="2"/>
    <n v="49"/>
    <n v="7"/>
  </r>
  <r>
    <s v="EMP0327"/>
    <s v="Consulting"/>
    <s v="Hybrid"/>
    <n v="19"/>
    <n v="55"/>
    <n v="4"/>
  </r>
  <r>
    <s v="EMP0328"/>
    <s v="Healthcare"/>
    <s v="Remote"/>
    <n v="13"/>
    <n v="33"/>
    <n v="0"/>
  </r>
  <r>
    <s v="EMP0329"/>
    <s v="Healthcare"/>
    <s v="Onsite"/>
    <n v="2"/>
    <n v="24"/>
    <n v="12"/>
  </r>
  <r>
    <s v="EMP0330"/>
    <s v="Consulting"/>
    <s v="Onsite"/>
    <n v="31"/>
    <n v="21"/>
    <n v="15"/>
  </r>
  <r>
    <s v="EMP0331"/>
    <s v="Education"/>
    <s v="Remote"/>
    <n v="28"/>
    <n v="55"/>
    <n v="12"/>
  </r>
  <r>
    <s v="EMP0332"/>
    <s v="Education"/>
    <s v="Remote"/>
    <n v="25"/>
    <n v="44"/>
    <n v="10"/>
  </r>
  <r>
    <s v="EMP0333"/>
    <s v="Manufacturing"/>
    <s v="Onsite"/>
    <n v="21"/>
    <n v="24"/>
    <n v="7"/>
  </r>
  <r>
    <s v="EMP0334"/>
    <s v="IT"/>
    <s v="Onsite"/>
    <n v="11"/>
    <n v="25"/>
    <n v="6"/>
  </r>
  <r>
    <s v="EMP0335"/>
    <s v="Education"/>
    <s v="Hybrid"/>
    <n v="16"/>
    <n v="40"/>
    <n v="0"/>
  </r>
  <r>
    <s v="EMP0336"/>
    <s v="IT"/>
    <s v="Hybrid"/>
    <n v="32"/>
    <n v="59"/>
    <n v="3"/>
  </r>
  <r>
    <s v="EMP0337"/>
    <s v="IT"/>
    <s v="Onsite"/>
    <n v="31"/>
    <n v="22"/>
    <n v="9"/>
  </r>
  <r>
    <s v="EMP0338"/>
    <s v="Consulting"/>
    <s v="Hybrid"/>
    <n v="4"/>
    <n v="47"/>
    <n v="15"/>
  </r>
  <r>
    <s v="EMP0339"/>
    <s v="Finance"/>
    <s v="Hybrid"/>
    <n v="32"/>
    <n v="31"/>
    <n v="15"/>
  </r>
  <r>
    <s v="EMP0340"/>
    <s v="IT"/>
    <s v="Onsite"/>
    <n v="2"/>
    <n v="41"/>
    <n v="5"/>
  </r>
  <r>
    <s v="EMP0341"/>
    <s v="Manufacturing"/>
    <s v="Remote"/>
    <n v="18"/>
    <n v="52"/>
    <n v="0"/>
  </r>
  <r>
    <s v="EMP0342"/>
    <s v="Finance"/>
    <s v="Hybrid"/>
    <n v="6"/>
    <n v="48"/>
    <n v="0"/>
  </r>
  <r>
    <s v="EMP0343"/>
    <s v="Finance"/>
    <s v="Onsite"/>
    <n v="20"/>
    <n v="41"/>
    <n v="14"/>
  </r>
  <r>
    <s v="EMP0344"/>
    <s v="Finance"/>
    <s v="Remote"/>
    <n v="15"/>
    <n v="21"/>
    <n v="7"/>
  </r>
  <r>
    <s v="EMP0345"/>
    <s v="Healthcare"/>
    <s v="Hybrid"/>
    <n v="3"/>
    <n v="49"/>
    <n v="15"/>
  </r>
  <r>
    <s v="EMP0346"/>
    <s v="Education"/>
    <s v="Remote"/>
    <n v="29"/>
    <n v="32"/>
    <n v="7"/>
  </r>
  <r>
    <s v="EMP0347"/>
    <s v="Education"/>
    <s v="Remote"/>
    <n v="12"/>
    <n v="40"/>
    <n v="12"/>
  </r>
  <r>
    <s v="EMP0348"/>
    <s v="Finance"/>
    <s v="Onsite"/>
    <n v="23"/>
    <n v="22"/>
    <n v="10"/>
  </r>
  <r>
    <s v="EMP0349"/>
    <s v="Consulting"/>
    <s v="Hybrid"/>
    <n v="34"/>
    <n v="44"/>
    <n v="9"/>
  </r>
  <r>
    <s v="EMP0350"/>
    <s v="Manufacturing"/>
    <s v="Onsite"/>
    <n v="16"/>
    <n v="41"/>
    <n v="15"/>
  </r>
  <r>
    <s v="EMP0351"/>
    <s v="Manufacturing"/>
    <s v="Remote"/>
    <n v="6"/>
    <n v="37"/>
    <n v="11"/>
  </r>
  <r>
    <s v="EMP0352"/>
    <s v="Healthcare"/>
    <s v="Onsite"/>
    <n v="18"/>
    <n v="54"/>
    <n v="12"/>
  </r>
  <r>
    <s v="EMP0353"/>
    <s v="Retail"/>
    <s v="Onsite"/>
    <n v="3"/>
    <n v="31"/>
    <n v="3"/>
  </r>
  <r>
    <s v="EMP0354"/>
    <s v="Consulting"/>
    <s v="Hybrid"/>
    <n v="14"/>
    <n v="53"/>
    <n v="13"/>
  </r>
  <r>
    <s v="EMP0355"/>
    <s v="Education"/>
    <s v="Remote"/>
    <n v="20"/>
    <n v="23"/>
    <n v="13"/>
  </r>
  <r>
    <s v="EMP0356"/>
    <s v="Healthcare"/>
    <s v="Remote"/>
    <n v="2"/>
    <n v="58"/>
    <n v="3"/>
  </r>
  <r>
    <s v="EMP0357"/>
    <s v="Finance"/>
    <s v="Remote"/>
    <n v="9"/>
    <n v="26"/>
    <n v="7"/>
  </r>
  <r>
    <s v="EMP0358"/>
    <s v="Manufacturing"/>
    <s v="Remote"/>
    <n v="23"/>
    <n v="46"/>
    <n v="7"/>
  </r>
  <r>
    <s v="EMP0359"/>
    <s v="Manufacturing"/>
    <s v="Remote"/>
    <n v="6"/>
    <n v="20"/>
    <n v="7"/>
  </r>
  <r>
    <s v="EMP0360"/>
    <s v="Finance"/>
    <s v="Hybrid"/>
    <n v="13"/>
    <n v="56"/>
    <n v="0"/>
  </r>
  <r>
    <s v="EMP0361"/>
    <s v="Retail"/>
    <s v="Onsite"/>
    <n v="30"/>
    <n v="28"/>
    <n v="15"/>
  </r>
  <r>
    <s v="EMP0362"/>
    <s v="Consulting"/>
    <s v="Hybrid"/>
    <n v="10"/>
    <n v="39"/>
    <n v="2"/>
  </r>
  <r>
    <s v="EMP0363"/>
    <s v="Manufacturing"/>
    <s v="Onsite"/>
    <n v="11"/>
    <n v="22"/>
    <n v="10"/>
  </r>
  <r>
    <s v="EMP0364"/>
    <s v="IT"/>
    <s v="Onsite"/>
    <n v="9"/>
    <n v="32"/>
    <n v="4"/>
  </r>
  <r>
    <s v="EMP0365"/>
    <s v="Consulting"/>
    <s v="Hybrid"/>
    <n v="23"/>
    <n v="28"/>
    <n v="9"/>
  </r>
  <r>
    <s v="EMP0366"/>
    <s v="IT"/>
    <s v="Hybrid"/>
    <n v="12"/>
    <n v="22"/>
    <n v="6"/>
  </r>
  <r>
    <s v="EMP0367"/>
    <s v="Manufacturing"/>
    <s v="Onsite"/>
    <n v="28"/>
    <n v="53"/>
    <n v="2"/>
  </r>
  <r>
    <s v="EMP0368"/>
    <s v="IT"/>
    <s v="Hybrid"/>
    <n v="32"/>
    <n v="33"/>
    <n v="11"/>
  </r>
  <r>
    <s v="EMP0369"/>
    <s v="Manufacturing"/>
    <s v="Remote"/>
    <n v="33"/>
    <n v="34"/>
    <n v="5"/>
  </r>
  <r>
    <s v="EMP0370"/>
    <s v="Education"/>
    <s v="Remote"/>
    <n v="2"/>
    <n v="50"/>
    <n v="0"/>
  </r>
  <r>
    <s v="EMP0371"/>
    <s v="Healthcare"/>
    <s v="Onsite"/>
    <n v="33"/>
    <n v="28"/>
    <n v="1"/>
  </r>
  <r>
    <s v="EMP0372"/>
    <s v="Healthcare"/>
    <s v="Onsite"/>
    <n v="16"/>
    <n v="51"/>
    <n v="7"/>
  </r>
  <r>
    <s v="EMP0373"/>
    <s v="Education"/>
    <s v="Remote"/>
    <n v="12"/>
    <n v="35"/>
    <n v="0"/>
  </r>
  <r>
    <s v="EMP0374"/>
    <s v="Healthcare"/>
    <s v="Remote"/>
    <n v="25"/>
    <n v="39"/>
    <n v="8"/>
  </r>
  <r>
    <s v="EMP0375"/>
    <s v="Healthcare"/>
    <s v="Hybrid"/>
    <n v="8"/>
    <n v="58"/>
    <n v="14"/>
  </r>
  <r>
    <s v="EMP0376"/>
    <s v="IT"/>
    <s v="Hybrid"/>
    <n v="26"/>
    <n v="34"/>
    <n v="3"/>
  </r>
  <r>
    <s v="EMP0377"/>
    <s v="IT"/>
    <s v="Hybrid"/>
    <n v="7"/>
    <n v="48"/>
    <n v="4"/>
  </r>
  <r>
    <s v="EMP0378"/>
    <s v="Healthcare"/>
    <s v="Remote"/>
    <n v="2"/>
    <n v="52"/>
    <n v="0"/>
  </r>
  <r>
    <s v="EMP0379"/>
    <s v="Healthcare"/>
    <s v="Remote"/>
    <n v="35"/>
    <n v="59"/>
    <n v="8"/>
  </r>
  <r>
    <s v="EMP0380"/>
    <s v="Consulting"/>
    <s v="Remote"/>
    <n v="15"/>
    <n v="32"/>
    <n v="14"/>
  </r>
  <r>
    <s v="EMP0381"/>
    <s v="Education"/>
    <s v="Remote"/>
    <n v="28"/>
    <n v="41"/>
    <n v="4"/>
  </r>
  <r>
    <s v="EMP0382"/>
    <s v="Education"/>
    <s v="Remote"/>
    <n v="18"/>
    <n v="34"/>
    <n v="14"/>
  </r>
  <r>
    <s v="EMP0383"/>
    <s v="Consulting"/>
    <s v="Hybrid"/>
    <n v="10"/>
    <n v="41"/>
    <n v="8"/>
  </r>
  <r>
    <s v="EMP0384"/>
    <s v="Education"/>
    <s v="Remote"/>
    <n v="5"/>
    <n v="55"/>
    <n v="9"/>
  </r>
  <r>
    <s v="EMP0385"/>
    <s v="IT"/>
    <s v="Remote"/>
    <n v="27"/>
    <n v="50"/>
    <n v="8"/>
  </r>
  <r>
    <s v="EMP0386"/>
    <s v="Healthcare"/>
    <s v="Remote"/>
    <n v="4"/>
    <n v="25"/>
    <n v="9"/>
  </r>
  <r>
    <s v="EMP0387"/>
    <s v="Consulting"/>
    <s v="Onsite"/>
    <n v="32"/>
    <n v="21"/>
    <n v="12"/>
  </r>
  <r>
    <s v="EMP0388"/>
    <s v="Finance"/>
    <s v="Hybrid"/>
    <n v="20"/>
    <n v="44"/>
    <n v="11"/>
  </r>
  <r>
    <s v="EMP0389"/>
    <s v="Consulting"/>
    <s v="Remote"/>
    <n v="18"/>
    <n v="28"/>
    <n v="0"/>
  </r>
  <r>
    <s v="EMP0390"/>
    <s v="Retail"/>
    <s v="Onsite"/>
    <n v="31"/>
    <n v="54"/>
    <n v="8"/>
  </r>
  <r>
    <s v="EMP0391"/>
    <s v="Consulting"/>
    <s v="Hybrid"/>
    <n v="9"/>
    <n v="55"/>
    <n v="12"/>
  </r>
  <r>
    <s v="EMP0392"/>
    <s v="Retail"/>
    <s v="Remote"/>
    <n v="29"/>
    <n v="26"/>
    <n v="10"/>
  </r>
  <r>
    <s v="EMP0393"/>
    <s v="Retail"/>
    <s v="Onsite"/>
    <n v="17"/>
    <n v="41"/>
    <n v="7"/>
  </r>
  <r>
    <s v="EMP0394"/>
    <s v="Healthcare"/>
    <s v="Onsite"/>
    <n v="31"/>
    <n v="50"/>
    <n v="4"/>
  </r>
  <r>
    <s v="EMP0395"/>
    <s v="Finance"/>
    <s v="Hybrid"/>
    <n v="3"/>
    <n v="55"/>
    <n v="12"/>
  </r>
  <r>
    <s v="EMP0396"/>
    <s v="Healthcare"/>
    <s v="Hybrid"/>
    <n v="20"/>
    <n v="22"/>
    <n v="2"/>
  </r>
  <r>
    <s v="EMP0397"/>
    <s v="Consulting"/>
    <s v="Hybrid"/>
    <n v="9"/>
    <n v="33"/>
    <n v="11"/>
  </r>
  <r>
    <s v="EMP0398"/>
    <s v="Retail"/>
    <s v="Hybrid"/>
    <n v="4"/>
    <n v="21"/>
    <n v="4"/>
  </r>
  <r>
    <s v="EMP0399"/>
    <s v="Manufacturing"/>
    <s v="Hybrid"/>
    <n v="17"/>
    <n v="28"/>
    <n v="13"/>
  </r>
  <r>
    <s v="EMP0400"/>
    <s v="Healthcare"/>
    <s v="Remote"/>
    <n v="34"/>
    <n v="22"/>
    <n v="6"/>
  </r>
  <r>
    <s v="EMP0401"/>
    <s v="IT"/>
    <s v="Remote"/>
    <n v="13"/>
    <n v="58"/>
    <n v="14"/>
  </r>
  <r>
    <s v="EMP0402"/>
    <s v="Consulting"/>
    <s v="Remote"/>
    <n v="19"/>
    <n v="39"/>
    <n v="0"/>
  </r>
  <r>
    <s v="EMP0403"/>
    <s v="Finance"/>
    <s v="Onsite"/>
    <n v="8"/>
    <n v="35"/>
    <n v="15"/>
  </r>
  <r>
    <s v="EMP0404"/>
    <s v="Healthcare"/>
    <s v="Hybrid"/>
    <n v="22"/>
    <n v="56"/>
    <n v="3"/>
  </r>
  <r>
    <s v="EMP0405"/>
    <s v="Consulting"/>
    <s v="Remote"/>
    <n v="14"/>
    <n v="29"/>
    <n v="13"/>
  </r>
  <r>
    <s v="EMP0406"/>
    <s v="Manufacturing"/>
    <s v="Hybrid"/>
    <n v="33"/>
    <n v="24"/>
    <n v="0"/>
  </r>
  <r>
    <s v="EMP0407"/>
    <s v="Healthcare"/>
    <s v="Onsite"/>
    <n v="30"/>
    <n v="60"/>
    <n v="4"/>
  </r>
  <r>
    <s v="EMP0408"/>
    <s v="Retail"/>
    <s v="Remote"/>
    <n v="10"/>
    <n v="31"/>
    <n v="9"/>
  </r>
  <r>
    <s v="EMP0409"/>
    <s v="Finance"/>
    <s v="Remote"/>
    <n v="35"/>
    <n v="50"/>
    <n v="10"/>
  </r>
  <r>
    <s v="EMP0410"/>
    <s v="Consulting"/>
    <s v="Remote"/>
    <n v="20"/>
    <n v="27"/>
    <n v="14"/>
  </r>
  <r>
    <s v="EMP0411"/>
    <s v="Healthcare"/>
    <s v="Remote"/>
    <n v="6"/>
    <n v="43"/>
    <n v="3"/>
  </r>
  <r>
    <s v="EMP0412"/>
    <s v="Retail"/>
    <s v="Hybrid"/>
    <n v="22"/>
    <n v="30"/>
    <n v="3"/>
  </r>
  <r>
    <s v="EMP0413"/>
    <s v="Education"/>
    <s v="Onsite"/>
    <n v="25"/>
    <n v="26"/>
    <n v="15"/>
  </r>
  <r>
    <s v="EMP0414"/>
    <s v="Manufacturing"/>
    <s v="Onsite"/>
    <n v="21"/>
    <n v="47"/>
    <n v="7"/>
  </r>
  <r>
    <s v="EMP0415"/>
    <s v="Manufacturing"/>
    <s v="Onsite"/>
    <n v="14"/>
    <n v="56"/>
    <n v="14"/>
  </r>
  <r>
    <s v="EMP0416"/>
    <s v="Healthcare"/>
    <s v="Hybrid"/>
    <n v="26"/>
    <n v="30"/>
    <n v="15"/>
  </r>
  <r>
    <s v="EMP0417"/>
    <s v="Healthcare"/>
    <s v="Hybrid"/>
    <n v="9"/>
    <n v="26"/>
    <n v="12"/>
  </r>
  <r>
    <s v="EMP0418"/>
    <s v="Consulting"/>
    <s v="Onsite"/>
    <n v="22"/>
    <n v="47"/>
    <n v="10"/>
  </r>
  <r>
    <s v="EMP0419"/>
    <s v="Education"/>
    <s v="Remote"/>
    <n v="34"/>
    <n v="38"/>
    <n v="7"/>
  </r>
  <r>
    <s v="EMP0420"/>
    <s v="IT"/>
    <s v="Hybrid"/>
    <n v="30"/>
    <n v="49"/>
    <n v="0"/>
  </r>
  <r>
    <s v="EMP0421"/>
    <s v="IT"/>
    <s v="Remote"/>
    <n v="32"/>
    <n v="49"/>
    <n v="0"/>
  </r>
  <r>
    <s v="EMP0422"/>
    <s v="Finance"/>
    <s v="Remote"/>
    <n v="5"/>
    <n v="37"/>
    <n v="11"/>
  </r>
  <r>
    <s v="EMP0423"/>
    <s v="Education"/>
    <s v="Hybrid"/>
    <n v="21"/>
    <n v="24"/>
    <n v="13"/>
  </r>
  <r>
    <s v="EMP0424"/>
    <s v="Consulting"/>
    <s v="Hybrid"/>
    <n v="32"/>
    <n v="53"/>
    <n v="0"/>
  </r>
  <r>
    <s v="EMP0425"/>
    <s v="Finance"/>
    <s v="Remote"/>
    <n v="30"/>
    <n v="33"/>
    <n v="14"/>
  </r>
  <r>
    <s v="EMP0426"/>
    <s v="Consulting"/>
    <s v="Onsite"/>
    <n v="28"/>
    <n v="41"/>
    <n v="13"/>
  </r>
  <r>
    <s v="EMP0427"/>
    <s v="Finance"/>
    <s v="Remote"/>
    <n v="4"/>
    <n v="31"/>
    <n v="15"/>
  </r>
  <r>
    <s v="EMP0428"/>
    <s v="IT"/>
    <s v="Onsite"/>
    <n v="19"/>
    <n v="29"/>
    <n v="4"/>
  </r>
  <r>
    <s v="EMP0429"/>
    <s v="IT"/>
    <s v="Hybrid"/>
    <n v="25"/>
    <n v="33"/>
    <n v="7"/>
  </r>
  <r>
    <s v="EMP0430"/>
    <s v="Consulting"/>
    <s v="Remote"/>
    <n v="9"/>
    <n v="58"/>
    <n v="8"/>
  </r>
  <r>
    <s v="EMP0431"/>
    <s v="Consulting"/>
    <s v="Hybrid"/>
    <n v="10"/>
    <n v="42"/>
    <n v="12"/>
  </r>
  <r>
    <s v="EMP0432"/>
    <s v="Finance"/>
    <s v="Hybrid"/>
    <n v="26"/>
    <n v="23"/>
    <n v="15"/>
  </r>
  <r>
    <s v="EMP0433"/>
    <s v="Consulting"/>
    <s v="Hybrid"/>
    <n v="26"/>
    <n v="28"/>
    <n v="4"/>
  </r>
  <r>
    <s v="EMP0434"/>
    <s v="Finance"/>
    <s v="Hybrid"/>
    <n v="11"/>
    <n v="41"/>
    <n v="10"/>
  </r>
  <r>
    <s v="EMP0435"/>
    <s v="Consulting"/>
    <s v="Onsite"/>
    <n v="25"/>
    <n v="33"/>
    <n v="9"/>
  </r>
  <r>
    <s v="EMP0436"/>
    <s v="Healthcare"/>
    <s v="Hybrid"/>
    <n v="3"/>
    <n v="46"/>
    <n v="13"/>
  </r>
  <r>
    <s v="EMP0437"/>
    <s v="Healthcare"/>
    <s v="Remote"/>
    <n v="29"/>
    <n v="25"/>
    <n v="9"/>
  </r>
  <r>
    <s v="EMP0438"/>
    <s v="Education"/>
    <s v="Onsite"/>
    <n v="7"/>
    <n v="55"/>
    <n v="1"/>
  </r>
  <r>
    <s v="EMP0439"/>
    <s v="Manufacturing"/>
    <s v="Onsite"/>
    <n v="28"/>
    <n v="53"/>
    <n v="4"/>
  </r>
  <r>
    <s v="EMP0440"/>
    <s v="Retail"/>
    <s v="Onsite"/>
    <n v="7"/>
    <n v="47"/>
    <n v="10"/>
  </r>
  <r>
    <s v="EMP0441"/>
    <s v="Retail"/>
    <s v="Hybrid"/>
    <n v="34"/>
    <n v="35"/>
    <n v="14"/>
  </r>
  <r>
    <s v="EMP0442"/>
    <s v="Finance"/>
    <s v="Hybrid"/>
    <n v="3"/>
    <n v="39"/>
    <n v="8"/>
  </r>
  <r>
    <s v="EMP0443"/>
    <s v="Consulting"/>
    <s v="Hybrid"/>
    <n v="24"/>
    <n v="34"/>
    <n v="12"/>
  </r>
  <r>
    <s v="EMP0444"/>
    <s v="Retail"/>
    <s v="Hybrid"/>
    <n v="7"/>
    <n v="27"/>
    <n v="9"/>
  </r>
  <r>
    <s v="EMP0445"/>
    <s v="Retail"/>
    <s v="Remote"/>
    <n v="18"/>
    <n v="22"/>
    <n v="4"/>
  </r>
  <r>
    <s v="EMP0446"/>
    <s v="Healthcare"/>
    <s v="Onsite"/>
    <n v="33"/>
    <n v="48"/>
    <n v="1"/>
  </r>
  <r>
    <s v="EMP0447"/>
    <s v="Healthcare"/>
    <s v="Remote"/>
    <n v="28"/>
    <n v="52"/>
    <n v="3"/>
  </r>
  <r>
    <s v="EMP0448"/>
    <s v="Retail"/>
    <s v="Onsite"/>
    <n v="2"/>
    <n v="40"/>
    <n v="5"/>
  </r>
  <r>
    <s v="EMP0449"/>
    <s v="Finance"/>
    <s v="Hybrid"/>
    <n v="22"/>
    <n v="41"/>
    <n v="7"/>
  </r>
  <r>
    <s v="EMP0450"/>
    <s v="IT"/>
    <s v="Hybrid"/>
    <n v="8"/>
    <n v="56"/>
    <n v="15"/>
  </r>
  <r>
    <s v="EMP0451"/>
    <s v="Manufacturing"/>
    <s v="Onsite"/>
    <n v="32"/>
    <n v="57"/>
    <n v="9"/>
  </r>
  <r>
    <s v="EMP0452"/>
    <s v="Finance"/>
    <s v="Remote"/>
    <n v="21"/>
    <n v="36"/>
    <n v="5"/>
  </r>
  <r>
    <s v="EMP0453"/>
    <s v="Finance"/>
    <s v="Hybrid"/>
    <n v="15"/>
    <n v="32"/>
    <n v="5"/>
  </r>
  <r>
    <s v="EMP0454"/>
    <s v="Education"/>
    <s v="Remote"/>
    <n v="10"/>
    <n v="32"/>
    <n v="7"/>
  </r>
  <r>
    <s v="EMP0455"/>
    <s v="Manufacturing"/>
    <s v="Remote"/>
    <n v="2"/>
    <n v="58"/>
    <n v="14"/>
  </r>
  <r>
    <s v="EMP0456"/>
    <s v="Retail"/>
    <s v="Remote"/>
    <n v="10"/>
    <n v="59"/>
    <n v="15"/>
  </r>
  <r>
    <s v="EMP0457"/>
    <s v="Healthcare"/>
    <s v="Onsite"/>
    <n v="28"/>
    <n v="22"/>
    <n v="3"/>
  </r>
  <r>
    <s v="EMP0458"/>
    <s v="Manufacturing"/>
    <s v="Remote"/>
    <n v="27"/>
    <n v="49"/>
    <n v="10"/>
  </r>
  <r>
    <s v="EMP0459"/>
    <s v="Consulting"/>
    <s v="Onsite"/>
    <n v="1"/>
    <n v="42"/>
    <n v="14"/>
  </r>
  <r>
    <s v="EMP0460"/>
    <s v="Retail"/>
    <s v="Onsite"/>
    <n v="7"/>
    <n v="20"/>
    <n v="5"/>
  </r>
  <r>
    <s v="EMP0461"/>
    <s v="IT"/>
    <s v="Remote"/>
    <n v="12"/>
    <n v="22"/>
    <n v="5"/>
  </r>
  <r>
    <s v="EMP0462"/>
    <s v="Manufacturing"/>
    <s v="Hybrid"/>
    <n v="28"/>
    <n v="48"/>
    <n v="1"/>
  </r>
  <r>
    <s v="EMP0463"/>
    <s v="Healthcare"/>
    <s v="Remote"/>
    <n v="27"/>
    <n v="20"/>
    <n v="1"/>
  </r>
  <r>
    <s v="EMP0464"/>
    <s v="IT"/>
    <s v="Hybrid"/>
    <n v="19"/>
    <n v="24"/>
    <n v="8"/>
  </r>
  <r>
    <s v="EMP0465"/>
    <s v="Consulting"/>
    <s v="Hybrid"/>
    <n v="15"/>
    <n v="22"/>
    <n v="9"/>
  </r>
  <r>
    <s v="EMP0466"/>
    <s v="Finance"/>
    <s v="Onsite"/>
    <n v="19"/>
    <n v="58"/>
    <n v="4"/>
  </r>
  <r>
    <s v="EMP0467"/>
    <s v="IT"/>
    <s v="Hybrid"/>
    <n v="17"/>
    <n v="58"/>
    <n v="2"/>
  </r>
  <r>
    <s v="EMP0468"/>
    <s v="IT"/>
    <s v="Hybrid"/>
    <n v="26"/>
    <n v="27"/>
    <n v="9"/>
  </r>
  <r>
    <s v="EMP0469"/>
    <s v="Education"/>
    <s v="Hybrid"/>
    <n v="14"/>
    <n v="40"/>
    <n v="13"/>
  </r>
  <r>
    <s v="EMP0470"/>
    <s v="Finance"/>
    <s v="Hybrid"/>
    <n v="1"/>
    <n v="24"/>
    <n v="14"/>
  </r>
  <r>
    <s v="EMP0471"/>
    <s v="IT"/>
    <s v="Onsite"/>
    <n v="26"/>
    <n v="43"/>
    <n v="7"/>
  </r>
  <r>
    <s v="EMP0472"/>
    <s v="Manufacturing"/>
    <s v="Remote"/>
    <n v="14"/>
    <n v="50"/>
    <n v="9"/>
  </r>
  <r>
    <s v="EMP0473"/>
    <s v="Manufacturing"/>
    <s v="Remote"/>
    <n v="17"/>
    <n v="30"/>
    <n v="14"/>
  </r>
  <r>
    <s v="EMP0474"/>
    <s v="Consulting"/>
    <s v="Hybrid"/>
    <n v="26"/>
    <n v="35"/>
    <n v="15"/>
  </r>
  <r>
    <s v="EMP0475"/>
    <s v="Education"/>
    <s v="Remote"/>
    <n v="33"/>
    <n v="37"/>
    <n v="13"/>
  </r>
  <r>
    <s v="EMP0476"/>
    <s v="Retail"/>
    <s v="Onsite"/>
    <n v="7"/>
    <n v="51"/>
    <n v="9"/>
  </r>
  <r>
    <s v="EMP0477"/>
    <s v="Manufacturing"/>
    <s v="Onsite"/>
    <n v="5"/>
    <n v="54"/>
    <n v="11"/>
  </r>
  <r>
    <s v="EMP0478"/>
    <s v="Retail"/>
    <s v="Remote"/>
    <n v="25"/>
    <n v="58"/>
    <n v="15"/>
  </r>
  <r>
    <s v="EMP0479"/>
    <s v="Finance"/>
    <s v="Onsite"/>
    <n v="3"/>
    <n v="36"/>
    <n v="1"/>
  </r>
  <r>
    <s v="EMP0480"/>
    <s v="Retail"/>
    <s v="Onsite"/>
    <n v="2"/>
    <n v="53"/>
    <n v="10"/>
  </r>
  <r>
    <s v="EMP0481"/>
    <s v="Retail"/>
    <s v="Hybrid"/>
    <n v="13"/>
    <n v="56"/>
    <n v="12"/>
  </r>
  <r>
    <s v="EMP0482"/>
    <s v="Retail"/>
    <s v="Hybrid"/>
    <n v="8"/>
    <n v="27"/>
    <n v="4"/>
  </r>
  <r>
    <s v="EMP0483"/>
    <s v="Education"/>
    <s v="Remote"/>
    <n v="16"/>
    <n v="20"/>
    <n v="11"/>
  </r>
  <r>
    <s v="EMP0484"/>
    <s v="Education"/>
    <s v="Remote"/>
    <n v="21"/>
    <n v="25"/>
    <n v="14"/>
  </r>
  <r>
    <s v="EMP0485"/>
    <s v="Consulting"/>
    <s v="Remote"/>
    <n v="20"/>
    <n v="33"/>
    <n v="14"/>
  </r>
  <r>
    <s v="EMP0486"/>
    <s v="Finance"/>
    <s v="Onsite"/>
    <n v="12"/>
    <n v="35"/>
    <n v="5"/>
  </r>
  <r>
    <s v="EMP0487"/>
    <s v="Manufacturing"/>
    <s v="Hybrid"/>
    <n v="1"/>
    <n v="34"/>
    <n v="4"/>
  </r>
  <r>
    <s v="EMP0488"/>
    <s v="Healthcare"/>
    <s v="Onsite"/>
    <n v="32"/>
    <n v="21"/>
    <n v="5"/>
  </r>
  <r>
    <s v="EMP0489"/>
    <s v="Healthcare"/>
    <s v="Remote"/>
    <n v="22"/>
    <n v="21"/>
    <n v="2"/>
  </r>
  <r>
    <s v="EMP0490"/>
    <s v="Healthcare"/>
    <s v="Onsite"/>
    <n v="23"/>
    <n v="29"/>
    <n v="8"/>
  </r>
  <r>
    <s v="EMP0491"/>
    <s v="IT"/>
    <s v="Onsite"/>
    <n v="27"/>
    <n v="33"/>
    <n v="5"/>
  </r>
  <r>
    <s v="EMP0492"/>
    <s v="Finance"/>
    <s v="Hybrid"/>
    <n v="10"/>
    <n v="42"/>
    <n v="11"/>
  </r>
  <r>
    <s v="EMP0493"/>
    <s v="Education"/>
    <s v="Onsite"/>
    <n v="23"/>
    <n v="38"/>
    <n v="7"/>
  </r>
  <r>
    <s v="EMP0494"/>
    <s v="Finance"/>
    <s v="Remote"/>
    <n v="24"/>
    <n v="40"/>
    <n v="4"/>
  </r>
  <r>
    <s v="EMP0495"/>
    <s v="Education"/>
    <s v="Remote"/>
    <n v="16"/>
    <n v="24"/>
    <n v="4"/>
  </r>
  <r>
    <s v="EMP0496"/>
    <s v="Retail"/>
    <s v="Hybrid"/>
    <n v="19"/>
    <n v="28"/>
    <n v="4"/>
  </r>
  <r>
    <s v="EMP0497"/>
    <s v="Education"/>
    <s v="Hybrid"/>
    <n v="14"/>
    <n v="57"/>
    <n v="7"/>
  </r>
  <r>
    <s v="EMP0498"/>
    <s v="Finance"/>
    <s v="Remote"/>
    <n v="23"/>
    <n v="41"/>
    <n v="13"/>
  </r>
  <r>
    <s v="EMP0499"/>
    <s v="Retail"/>
    <s v="Onsite"/>
    <n v="14"/>
    <n v="40"/>
    <n v="13"/>
  </r>
  <r>
    <s v="EMP0500"/>
    <s v="Retail"/>
    <s v="Onsite"/>
    <n v="10"/>
    <n v="47"/>
    <n v="3"/>
  </r>
  <r>
    <s v="EMP0501"/>
    <s v="Consulting"/>
    <s v="Onsite"/>
    <n v="7"/>
    <n v="53"/>
    <n v="2"/>
  </r>
  <r>
    <s v="EMP0502"/>
    <s v="Retail"/>
    <s v="Hybrid"/>
    <n v="25"/>
    <n v="27"/>
    <n v="13"/>
  </r>
  <r>
    <s v="EMP0503"/>
    <s v="Consulting"/>
    <s v="Hybrid"/>
    <n v="21"/>
    <n v="33"/>
    <n v="13"/>
  </r>
  <r>
    <s v="EMP0504"/>
    <s v="Healthcare"/>
    <s v="Hybrid"/>
    <n v="22"/>
    <n v="50"/>
    <n v="3"/>
  </r>
  <r>
    <s v="EMP0505"/>
    <s v="Retail"/>
    <s v="Remote"/>
    <n v="29"/>
    <n v="40"/>
    <n v="5"/>
  </r>
  <r>
    <s v="EMP0506"/>
    <s v="Education"/>
    <s v="Remote"/>
    <n v="14"/>
    <n v="56"/>
    <n v="8"/>
  </r>
  <r>
    <s v="EMP0507"/>
    <s v="Healthcare"/>
    <s v="Remote"/>
    <n v="17"/>
    <n v="29"/>
    <n v="15"/>
  </r>
  <r>
    <s v="EMP0508"/>
    <s v="Consulting"/>
    <s v="Remote"/>
    <n v="18"/>
    <n v="27"/>
    <n v="1"/>
  </r>
  <r>
    <s v="EMP0509"/>
    <s v="Education"/>
    <s v="Onsite"/>
    <n v="27"/>
    <n v="55"/>
    <n v="11"/>
  </r>
  <r>
    <s v="EMP0510"/>
    <s v="Finance"/>
    <s v="Remote"/>
    <n v="10"/>
    <n v="28"/>
    <n v="14"/>
  </r>
  <r>
    <s v="EMP0511"/>
    <s v="Manufacturing"/>
    <s v="Remote"/>
    <n v="5"/>
    <n v="59"/>
    <n v="12"/>
  </r>
  <r>
    <s v="EMP0512"/>
    <s v="Education"/>
    <s v="Hybrid"/>
    <n v="23"/>
    <n v="40"/>
    <n v="1"/>
  </r>
  <r>
    <s v="EMP0513"/>
    <s v="IT"/>
    <s v="Onsite"/>
    <n v="27"/>
    <n v="38"/>
    <n v="13"/>
  </r>
  <r>
    <s v="EMP0514"/>
    <s v="Education"/>
    <s v="Remote"/>
    <n v="6"/>
    <n v="37"/>
    <n v="13"/>
  </r>
  <r>
    <s v="EMP0515"/>
    <s v="IT"/>
    <s v="Remote"/>
    <n v="32"/>
    <n v="36"/>
    <n v="0"/>
  </r>
  <r>
    <s v="EMP0516"/>
    <s v="Finance"/>
    <s v="Remote"/>
    <n v="20"/>
    <n v="55"/>
    <n v="11"/>
  </r>
  <r>
    <s v="EMP0517"/>
    <s v="IT"/>
    <s v="Remote"/>
    <n v="32"/>
    <n v="47"/>
    <n v="10"/>
  </r>
  <r>
    <s v="EMP0518"/>
    <s v="Healthcare"/>
    <s v="Onsite"/>
    <n v="8"/>
    <n v="51"/>
    <n v="14"/>
  </r>
  <r>
    <s v="EMP0519"/>
    <s v="Retail"/>
    <s v="Hybrid"/>
    <n v="29"/>
    <n v="42"/>
    <n v="14"/>
  </r>
  <r>
    <s v="EMP0520"/>
    <s v="Consulting"/>
    <s v="Hybrid"/>
    <n v="22"/>
    <n v="45"/>
    <n v="6"/>
  </r>
  <r>
    <s v="EMP0521"/>
    <s v="Finance"/>
    <s v="Hybrid"/>
    <n v="8"/>
    <n v="46"/>
    <n v="4"/>
  </r>
  <r>
    <s v="EMP0522"/>
    <s v="Finance"/>
    <s v="Hybrid"/>
    <n v="33"/>
    <n v="60"/>
    <n v="0"/>
  </r>
  <r>
    <s v="EMP0523"/>
    <s v="Retail"/>
    <s v="Onsite"/>
    <n v="6"/>
    <n v="45"/>
    <n v="2"/>
  </r>
  <r>
    <s v="EMP0524"/>
    <s v="Consulting"/>
    <s v="Hybrid"/>
    <n v="6"/>
    <n v="33"/>
    <n v="11"/>
  </r>
  <r>
    <s v="EMP0525"/>
    <s v="Retail"/>
    <s v="Onsite"/>
    <n v="9"/>
    <n v="44"/>
    <n v="2"/>
  </r>
  <r>
    <s v="EMP0526"/>
    <s v="Finance"/>
    <s v="Remote"/>
    <n v="10"/>
    <n v="24"/>
    <n v="0"/>
  </r>
  <r>
    <s v="EMP0527"/>
    <s v="Consulting"/>
    <s v="Hybrid"/>
    <n v="26"/>
    <n v="28"/>
    <n v="4"/>
  </r>
  <r>
    <s v="EMP0528"/>
    <s v="Healthcare"/>
    <s v="Hybrid"/>
    <n v="14"/>
    <n v="56"/>
    <n v="1"/>
  </r>
  <r>
    <s v="EMP0529"/>
    <s v="IT"/>
    <s v="Onsite"/>
    <n v="5"/>
    <n v="22"/>
    <n v="5"/>
  </r>
  <r>
    <s v="EMP0530"/>
    <s v="Retail"/>
    <s v="Onsite"/>
    <n v="15"/>
    <n v="34"/>
    <n v="4"/>
  </r>
  <r>
    <s v="EMP0531"/>
    <s v="Retail"/>
    <s v="Onsite"/>
    <n v="14"/>
    <n v="34"/>
    <n v="1"/>
  </r>
  <r>
    <s v="EMP0532"/>
    <s v="Retail"/>
    <s v="Hybrid"/>
    <n v="16"/>
    <n v="55"/>
    <n v="8"/>
  </r>
  <r>
    <s v="EMP0533"/>
    <s v="IT"/>
    <s v="Onsite"/>
    <n v="35"/>
    <n v="20"/>
    <n v="15"/>
  </r>
  <r>
    <s v="EMP0534"/>
    <s v="Healthcare"/>
    <s v="Onsite"/>
    <n v="25"/>
    <n v="53"/>
    <n v="7"/>
  </r>
  <r>
    <s v="EMP0535"/>
    <s v="Healthcare"/>
    <s v="Hybrid"/>
    <n v="2"/>
    <n v="31"/>
    <n v="3"/>
  </r>
  <r>
    <s v="EMP0536"/>
    <s v="Education"/>
    <s v="Hybrid"/>
    <n v="32"/>
    <n v="51"/>
    <n v="10"/>
  </r>
  <r>
    <s v="EMP0537"/>
    <s v="IT"/>
    <s v="Hybrid"/>
    <n v="28"/>
    <n v="33"/>
    <n v="3"/>
  </r>
  <r>
    <s v="EMP0538"/>
    <s v="Retail"/>
    <s v="Hybrid"/>
    <n v="12"/>
    <n v="46"/>
    <n v="0"/>
  </r>
  <r>
    <s v="EMP0539"/>
    <s v="Retail"/>
    <s v="Onsite"/>
    <n v="14"/>
    <n v="32"/>
    <n v="4"/>
  </r>
  <r>
    <s v="EMP0540"/>
    <s v="Healthcare"/>
    <s v="Remote"/>
    <n v="27"/>
    <n v="25"/>
    <n v="11"/>
  </r>
  <r>
    <s v="EMP0541"/>
    <s v="Retail"/>
    <s v="Hybrid"/>
    <n v="1"/>
    <n v="43"/>
    <n v="14"/>
  </r>
  <r>
    <s v="EMP0542"/>
    <s v="Education"/>
    <s v="Remote"/>
    <n v="30"/>
    <n v="42"/>
    <n v="1"/>
  </r>
  <r>
    <s v="EMP0543"/>
    <s v="Healthcare"/>
    <s v="Remote"/>
    <n v="8"/>
    <n v="49"/>
    <n v="10"/>
  </r>
  <r>
    <s v="EMP0544"/>
    <s v="IT"/>
    <s v="Hybrid"/>
    <n v="11"/>
    <n v="50"/>
    <n v="2"/>
  </r>
  <r>
    <s v="EMP0545"/>
    <s v="Finance"/>
    <s v="Onsite"/>
    <n v="20"/>
    <n v="44"/>
    <n v="6"/>
  </r>
  <r>
    <s v="EMP0546"/>
    <s v="IT"/>
    <s v="Remote"/>
    <n v="23"/>
    <n v="32"/>
    <n v="6"/>
  </r>
  <r>
    <s v="EMP0547"/>
    <s v="Education"/>
    <s v="Hybrid"/>
    <n v="32"/>
    <n v="51"/>
    <n v="3"/>
  </r>
  <r>
    <s v="EMP0548"/>
    <s v="IT"/>
    <s v="Hybrid"/>
    <n v="5"/>
    <n v="51"/>
    <n v="6"/>
  </r>
  <r>
    <s v="EMP0549"/>
    <s v="Retail"/>
    <s v="Remote"/>
    <n v="18"/>
    <n v="55"/>
    <n v="8"/>
  </r>
  <r>
    <s v="EMP0550"/>
    <s v="Retail"/>
    <s v="Onsite"/>
    <n v="35"/>
    <n v="26"/>
    <n v="12"/>
  </r>
  <r>
    <s v="EMP0551"/>
    <s v="Manufacturing"/>
    <s v="Onsite"/>
    <n v="20"/>
    <n v="58"/>
    <n v="12"/>
  </r>
  <r>
    <s v="EMP0552"/>
    <s v="Healthcare"/>
    <s v="Hybrid"/>
    <n v="28"/>
    <n v="44"/>
    <n v="6"/>
  </r>
  <r>
    <s v="EMP0553"/>
    <s v="Manufacturing"/>
    <s v="Onsite"/>
    <n v="29"/>
    <n v="39"/>
    <n v="11"/>
  </r>
  <r>
    <s v="EMP0554"/>
    <s v="IT"/>
    <s v="Hybrid"/>
    <n v="26"/>
    <n v="39"/>
    <n v="0"/>
  </r>
  <r>
    <s v="EMP0555"/>
    <s v="Healthcare"/>
    <s v="Remote"/>
    <n v="18"/>
    <n v="45"/>
    <n v="1"/>
  </r>
  <r>
    <s v="EMP0556"/>
    <s v="IT"/>
    <s v="Remote"/>
    <n v="4"/>
    <n v="57"/>
    <n v="13"/>
  </r>
  <r>
    <s v="EMP0557"/>
    <s v="Education"/>
    <s v="Onsite"/>
    <n v="4"/>
    <n v="48"/>
    <n v="4"/>
  </r>
  <r>
    <s v="EMP0558"/>
    <s v="Manufacturing"/>
    <s v="Hybrid"/>
    <n v="10"/>
    <n v="30"/>
    <n v="2"/>
  </r>
  <r>
    <s v="EMP0559"/>
    <s v="Manufacturing"/>
    <s v="Remote"/>
    <n v="2"/>
    <n v="27"/>
    <n v="11"/>
  </r>
  <r>
    <s v="EMP0560"/>
    <s v="Education"/>
    <s v="Hybrid"/>
    <n v="2"/>
    <n v="25"/>
    <n v="9"/>
  </r>
  <r>
    <s v="EMP0561"/>
    <s v="Finance"/>
    <s v="Hybrid"/>
    <n v="8"/>
    <n v="25"/>
    <n v="14"/>
  </r>
  <r>
    <s v="EMP0562"/>
    <s v="Retail"/>
    <s v="Onsite"/>
    <n v="34"/>
    <n v="39"/>
    <n v="9"/>
  </r>
  <r>
    <s v="EMP0563"/>
    <s v="Manufacturing"/>
    <s v="Hybrid"/>
    <n v="31"/>
    <n v="31"/>
    <n v="6"/>
  </r>
  <r>
    <s v="EMP0564"/>
    <s v="Education"/>
    <s v="Remote"/>
    <n v="8"/>
    <n v="23"/>
    <n v="6"/>
  </r>
  <r>
    <s v="EMP0565"/>
    <s v="IT"/>
    <s v="Hybrid"/>
    <n v="25"/>
    <n v="39"/>
    <n v="9"/>
  </r>
  <r>
    <s v="EMP0566"/>
    <s v="Retail"/>
    <s v="Onsite"/>
    <n v="18"/>
    <n v="39"/>
    <n v="10"/>
  </r>
  <r>
    <s v="EMP0567"/>
    <s v="Education"/>
    <s v="Remote"/>
    <n v="3"/>
    <n v="27"/>
    <n v="11"/>
  </r>
  <r>
    <s v="EMP0568"/>
    <s v="Finance"/>
    <s v="Hybrid"/>
    <n v="35"/>
    <n v="45"/>
    <n v="12"/>
  </r>
  <r>
    <s v="EMP0569"/>
    <s v="Retail"/>
    <s v="Hybrid"/>
    <n v="26"/>
    <n v="23"/>
    <n v="0"/>
  </r>
  <r>
    <s v="EMP0570"/>
    <s v="Retail"/>
    <s v="Remote"/>
    <n v="25"/>
    <n v="39"/>
    <n v="3"/>
  </r>
  <r>
    <s v="EMP0571"/>
    <s v="Manufacturing"/>
    <s v="Onsite"/>
    <n v="4"/>
    <n v="27"/>
    <n v="6"/>
  </r>
  <r>
    <s v="EMP0572"/>
    <s v="Healthcare"/>
    <s v="Remote"/>
    <n v="17"/>
    <n v="27"/>
    <n v="8"/>
  </r>
  <r>
    <s v="EMP0573"/>
    <s v="Education"/>
    <s v="Onsite"/>
    <n v="11"/>
    <n v="33"/>
    <n v="5"/>
  </r>
  <r>
    <s v="EMP0574"/>
    <s v="Healthcare"/>
    <s v="Hybrid"/>
    <n v="19"/>
    <n v="44"/>
    <n v="8"/>
  </r>
  <r>
    <s v="EMP0575"/>
    <s v="Consulting"/>
    <s v="Remote"/>
    <n v="8"/>
    <n v="45"/>
    <n v="0"/>
  </r>
  <r>
    <s v="EMP0576"/>
    <s v="Retail"/>
    <s v="Hybrid"/>
    <n v="23"/>
    <n v="46"/>
    <n v="6"/>
  </r>
  <r>
    <s v="EMP0577"/>
    <s v="Retail"/>
    <s v="Hybrid"/>
    <n v="2"/>
    <n v="40"/>
    <n v="0"/>
  </r>
  <r>
    <s v="EMP0578"/>
    <s v="Finance"/>
    <s v="Remote"/>
    <n v="12"/>
    <n v="25"/>
    <n v="10"/>
  </r>
  <r>
    <s v="EMP0579"/>
    <s v="Healthcare"/>
    <s v="Hybrid"/>
    <n v="35"/>
    <n v="29"/>
    <n v="4"/>
  </r>
  <r>
    <s v="EMP0580"/>
    <s v="IT"/>
    <s v="Remote"/>
    <n v="18"/>
    <n v="22"/>
    <n v="13"/>
  </r>
  <r>
    <s v="EMP0581"/>
    <s v="Manufacturing"/>
    <s v="Onsite"/>
    <n v="15"/>
    <n v="27"/>
    <n v="3"/>
  </r>
  <r>
    <s v="EMP0582"/>
    <s v="Manufacturing"/>
    <s v="Hybrid"/>
    <n v="23"/>
    <n v="59"/>
    <n v="2"/>
  </r>
  <r>
    <s v="EMP0583"/>
    <s v="Finance"/>
    <s v="Remote"/>
    <n v="26"/>
    <n v="57"/>
    <n v="10"/>
  </r>
  <r>
    <s v="EMP0584"/>
    <s v="Retail"/>
    <s v="Hybrid"/>
    <n v="2"/>
    <n v="34"/>
    <n v="0"/>
  </r>
  <r>
    <s v="EMP0585"/>
    <s v="Retail"/>
    <s v="Hybrid"/>
    <n v="6"/>
    <n v="20"/>
    <n v="2"/>
  </r>
  <r>
    <s v="EMP0586"/>
    <s v="Education"/>
    <s v="Onsite"/>
    <n v="13"/>
    <n v="20"/>
    <n v="5"/>
  </r>
  <r>
    <s v="EMP0587"/>
    <s v="Education"/>
    <s v="Remote"/>
    <n v="18"/>
    <n v="57"/>
    <n v="14"/>
  </r>
  <r>
    <s v="EMP0588"/>
    <s v="Education"/>
    <s v="Hybrid"/>
    <n v="27"/>
    <n v="53"/>
    <n v="2"/>
  </r>
  <r>
    <s v="EMP0589"/>
    <s v="Finance"/>
    <s v="Remote"/>
    <n v="21"/>
    <n v="24"/>
    <n v="8"/>
  </r>
  <r>
    <s v="EMP0590"/>
    <s v="Healthcare"/>
    <s v="Hybrid"/>
    <n v="17"/>
    <n v="40"/>
    <n v="15"/>
  </r>
  <r>
    <s v="EMP0591"/>
    <s v="Healthcare"/>
    <s v="Hybrid"/>
    <n v="6"/>
    <n v="49"/>
    <n v="11"/>
  </r>
  <r>
    <s v="EMP0592"/>
    <s v="Retail"/>
    <s v="Remote"/>
    <n v="8"/>
    <n v="44"/>
    <n v="14"/>
  </r>
  <r>
    <s v="EMP0593"/>
    <s v="IT"/>
    <s v="Remote"/>
    <n v="10"/>
    <n v="53"/>
    <n v="13"/>
  </r>
  <r>
    <s v="EMP0594"/>
    <s v="Healthcare"/>
    <s v="Remote"/>
    <n v="30"/>
    <n v="28"/>
    <n v="0"/>
  </r>
  <r>
    <s v="EMP0595"/>
    <s v="Manufacturing"/>
    <s v="Hybrid"/>
    <n v="3"/>
    <n v="53"/>
    <n v="7"/>
  </r>
  <r>
    <s v="EMP0596"/>
    <s v="Consulting"/>
    <s v="Hybrid"/>
    <n v="22"/>
    <n v="54"/>
    <n v="9"/>
  </r>
  <r>
    <s v="EMP0597"/>
    <s v="IT"/>
    <s v="Remote"/>
    <n v="35"/>
    <n v="23"/>
    <n v="10"/>
  </r>
  <r>
    <s v="EMP0598"/>
    <s v="Finance"/>
    <s v="Remote"/>
    <n v="19"/>
    <n v="45"/>
    <n v="12"/>
  </r>
  <r>
    <s v="EMP0599"/>
    <s v="Finance"/>
    <s v="Remote"/>
    <n v="12"/>
    <n v="59"/>
    <n v="5"/>
  </r>
  <r>
    <s v="EMP0600"/>
    <s v="Retail"/>
    <s v="Hybrid"/>
    <n v="31"/>
    <n v="20"/>
    <n v="1"/>
  </r>
  <r>
    <s v="EMP0601"/>
    <s v="IT"/>
    <s v="Hybrid"/>
    <n v="22"/>
    <n v="26"/>
    <n v="11"/>
  </r>
  <r>
    <s v="EMP0602"/>
    <s v="Retail"/>
    <s v="Onsite"/>
    <n v="34"/>
    <n v="47"/>
    <n v="6"/>
  </r>
  <r>
    <s v="EMP0603"/>
    <s v="Healthcare"/>
    <s v="Onsite"/>
    <n v="11"/>
    <n v="37"/>
    <n v="3"/>
  </r>
  <r>
    <s v="EMP0604"/>
    <s v="Retail"/>
    <s v="Hybrid"/>
    <n v="1"/>
    <n v="25"/>
    <n v="10"/>
  </r>
  <r>
    <s v="EMP0605"/>
    <s v="Retail"/>
    <s v="Hybrid"/>
    <n v="35"/>
    <n v="38"/>
    <n v="11"/>
  </r>
  <r>
    <s v="EMP0606"/>
    <s v="Education"/>
    <s v="Remote"/>
    <n v="9"/>
    <n v="23"/>
    <n v="0"/>
  </r>
  <r>
    <s v="EMP0607"/>
    <s v="Retail"/>
    <s v="Hybrid"/>
    <n v="21"/>
    <n v="49"/>
    <n v="13"/>
  </r>
  <r>
    <s v="EMP0608"/>
    <s v="Healthcare"/>
    <s v="Onsite"/>
    <n v="13"/>
    <n v="44"/>
    <n v="6"/>
  </r>
  <r>
    <s v="EMP0609"/>
    <s v="Education"/>
    <s v="Hybrid"/>
    <n v="10"/>
    <n v="34"/>
    <n v="13"/>
  </r>
  <r>
    <s v="EMP0610"/>
    <s v="Finance"/>
    <s v="Hybrid"/>
    <n v="13"/>
    <n v="36"/>
    <n v="2"/>
  </r>
  <r>
    <s v="EMP0611"/>
    <s v="Healthcare"/>
    <s v="Hybrid"/>
    <n v="30"/>
    <n v="44"/>
    <n v="15"/>
  </r>
  <r>
    <s v="EMP0612"/>
    <s v="IT"/>
    <s v="Hybrid"/>
    <n v="6"/>
    <n v="27"/>
    <n v="10"/>
  </r>
  <r>
    <s v="EMP0613"/>
    <s v="Consulting"/>
    <s v="Remote"/>
    <n v="35"/>
    <n v="54"/>
    <n v="15"/>
  </r>
  <r>
    <s v="EMP0614"/>
    <s v="Finance"/>
    <s v="Hybrid"/>
    <n v="8"/>
    <n v="46"/>
    <n v="9"/>
  </r>
  <r>
    <s v="EMP0615"/>
    <s v="Finance"/>
    <s v="Remote"/>
    <n v="20"/>
    <n v="60"/>
    <n v="11"/>
  </r>
  <r>
    <s v="EMP0616"/>
    <s v="Retail"/>
    <s v="Hybrid"/>
    <n v="30"/>
    <n v="27"/>
    <n v="15"/>
  </r>
  <r>
    <s v="EMP0617"/>
    <s v="Healthcare"/>
    <s v="Onsite"/>
    <n v="34"/>
    <n v="45"/>
    <n v="7"/>
  </r>
  <r>
    <s v="EMP0618"/>
    <s v="Education"/>
    <s v="Remote"/>
    <n v="10"/>
    <n v="36"/>
    <n v="13"/>
  </r>
  <r>
    <s v="EMP0619"/>
    <s v="Retail"/>
    <s v="Onsite"/>
    <n v="26"/>
    <n v="42"/>
    <n v="14"/>
  </r>
  <r>
    <s v="EMP0620"/>
    <s v="Consulting"/>
    <s v="Onsite"/>
    <n v="14"/>
    <n v="27"/>
    <n v="1"/>
  </r>
  <r>
    <s v="EMP0621"/>
    <s v="Education"/>
    <s v="Hybrid"/>
    <n v="21"/>
    <n v="28"/>
    <n v="5"/>
  </r>
  <r>
    <s v="EMP0622"/>
    <s v="IT"/>
    <s v="Remote"/>
    <n v="30"/>
    <n v="56"/>
    <n v="15"/>
  </r>
  <r>
    <s v="EMP0623"/>
    <s v="IT"/>
    <s v="Hybrid"/>
    <n v="11"/>
    <n v="22"/>
    <n v="11"/>
  </r>
  <r>
    <s v="EMP0624"/>
    <s v="Manufacturing"/>
    <s v="Hybrid"/>
    <n v="23"/>
    <n v="23"/>
    <n v="5"/>
  </r>
  <r>
    <s v="EMP0625"/>
    <s v="Manufacturing"/>
    <s v="Remote"/>
    <n v="1"/>
    <n v="53"/>
    <n v="2"/>
  </r>
  <r>
    <s v="EMP0626"/>
    <s v="Finance"/>
    <s v="Remote"/>
    <n v="20"/>
    <n v="38"/>
    <n v="6"/>
  </r>
  <r>
    <s v="EMP0627"/>
    <s v="Finance"/>
    <s v="Onsite"/>
    <n v="1"/>
    <n v="47"/>
    <n v="8"/>
  </r>
  <r>
    <s v="EMP0628"/>
    <s v="Consulting"/>
    <s v="Remote"/>
    <n v="31"/>
    <n v="51"/>
    <n v="14"/>
  </r>
  <r>
    <s v="EMP0629"/>
    <s v="Retail"/>
    <s v="Hybrid"/>
    <n v="28"/>
    <n v="48"/>
    <n v="6"/>
  </r>
  <r>
    <s v="EMP0630"/>
    <s v="Healthcare"/>
    <s v="Hybrid"/>
    <n v="11"/>
    <n v="28"/>
    <n v="13"/>
  </r>
  <r>
    <s v="EMP0631"/>
    <s v="Healthcare"/>
    <s v="Onsite"/>
    <n v="18"/>
    <n v="49"/>
    <n v="14"/>
  </r>
  <r>
    <s v="EMP0632"/>
    <s v="Finance"/>
    <s v="Hybrid"/>
    <n v="13"/>
    <n v="56"/>
    <n v="1"/>
  </r>
  <r>
    <s v="EMP0633"/>
    <s v="Finance"/>
    <s v="Remote"/>
    <n v="7"/>
    <n v="38"/>
    <n v="1"/>
  </r>
  <r>
    <s v="EMP0634"/>
    <s v="Healthcare"/>
    <s v="Onsite"/>
    <n v="26"/>
    <n v="46"/>
    <n v="0"/>
  </r>
  <r>
    <s v="EMP0635"/>
    <s v="Healthcare"/>
    <s v="Hybrid"/>
    <n v="7"/>
    <n v="32"/>
    <n v="3"/>
  </r>
  <r>
    <s v="EMP0636"/>
    <s v="Retail"/>
    <s v="Onsite"/>
    <n v="16"/>
    <n v="52"/>
    <n v="1"/>
  </r>
  <r>
    <s v="EMP0637"/>
    <s v="Finance"/>
    <s v="Hybrid"/>
    <n v="16"/>
    <n v="48"/>
    <n v="13"/>
  </r>
  <r>
    <s v="EMP0638"/>
    <s v="Manufacturing"/>
    <s v="Remote"/>
    <n v="19"/>
    <n v="38"/>
    <n v="0"/>
  </r>
  <r>
    <s v="EMP0639"/>
    <s v="Finance"/>
    <s v="Hybrid"/>
    <n v="16"/>
    <n v="25"/>
    <n v="2"/>
  </r>
  <r>
    <s v="EMP0640"/>
    <s v="Manufacturing"/>
    <s v="Hybrid"/>
    <n v="20"/>
    <n v="27"/>
    <n v="10"/>
  </r>
  <r>
    <s v="EMP0641"/>
    <s v="Finance"/>
    <s v="Hybrid"/>
    <n v="31"/>
    <n v="28"/>
    <n v="3"/>
  </r>
  <r>
    <s v="EMP0642"/>
    <s v="Retail"/>
    <s v="Onsite"/>
    <n v="15"/>
    <n v="36"/>
    <n v="6"/>
  </r>
  <r>
    <s v="EMP0643"/>
    <s v="Retail"/>
    <s v="Onsite"/>
    <n v="31"/>
    <n v="53"/>
    <n v="3"/>
  </r>
  <r>
    <s v="EMP0644"/>
    <s v="Education"/>
    <s v="Onsite"/>
    <n v="20"/>
    <n v="54"/>
    <n v="15"/>
  </r>
  <r>
    <s v="EMP0645"/>
    <s v="IT"/>
    <s v="Hybrid"/>
    <n v="26"/>
    <n v="39"/>
    <n v="3"/>
  </r>
  <r>
    <s v="EMP0646"/>
    <s v="Consulting"/>
    <s v="Onsite"/>
    <n v="16"/>
    <n v="47"/>
    <n v="8"/>
  </r>
  <r>
    <s v="EMP0647"/>
    <s v="Consulting"/>
    <s v="Hybrid"/>
    <n v="14"/>
    <n v="60"/>
    <n v="1"/>
  </r>
  <r>
    <s v="EMP0648"/>
    <s v="Finance"/>
    <s v="Onsite"/>
    <n v="29"/>
    <n v="37"/>
    <n v="1"/>
  </r>
  <r>
    <s v="EMP0649"/>
    <s v="IT"/>
    <s v="Remote"/>
    <n v="13"/>
    <n v="33"/>
    <n v="10"/>
  </r>
  <r>
    <s v="EMP0650"/>
    <s v="Consulting"/>
    <s v="Onsite"/>
    <n v="31"/>
    <n v="27"/>
    <n v="13"/>
  </r>
  <r>
    <s v="EMP0651"/>
    <s v="Consulting"/>
    <s v="Remote"/>
    <n v="1"/>
    <n v="39"/>
    <n v="6"/>
  </r>
  <r>
    <s v="EMP0652"/>
    <s v="Retail"/>
    <s v="Onsite"/>
    <n v="9"/>
    <n v="45"/>
    <n v="0"/>
  </r>
  <r>
    <s v="EMP0653"/>
    <s v="Education"/>
    <s v="Remote"/>
    <n v="21"/>
    <n v="57"/>
    <n v="5"/>
  </r>
  <r>
    <s v="EMP0654"/>
    <s v="IT"/>
    <s v="Remote"/>
    <n v="5"/>
    <n v="27"/>
    <n v="9"/>
  </r>
  <r>
    <s v="EMP0655"/>
    <s v="Retail"/>
    <s v="Hybrid"/>
    <n v="1"/>
    <n v="44"/>
    <n v="5"/>
  </r>
  <r>
    <s v="EMP0656"/>
    <s v="Education"/>
    <s v="Remote"/>
    <n v="1"/>
    <n v="25"/>
    <n v="3"/>
  </r>
  <r>
    <s v="EMP0657"/>
    <s v="Education"/>
    <s v="Hybrid"/>
    <n v="14"/>
    <n v="46"/>
    <n v="5"/>
  </r>
  <r>
    <s v="EMP0658"/>
    <s v="Consulting"/>
    <s v="Remote"/>
    <n v="12"/>
    <n v="51"/>
    <n v="12"/>
  </r>
  <r>
    <s v="EMP0659"/>
    <s v="Retail"/>
    <s v="Remote"/>
    <n v="32"/>
    <n v="55"/>
    <n v="5"/>
  </r>
  <r>
    <s v="EMP0660"/>
    <s v="Retail"/>
    <s v="Onsite"/>
    <n v="9"/>
    <n v="54"/>
    <n v="14"/>
  </r>
  <r>
    <s v="EMP0661"/>
    <s v="IT"/>
    <s v="Onsite"/>
    <n v="3"/>
    <n v="34"/>
    <n v="11"/>
  </r>
  <r>
    <s v="EMP0662"/>
    <s v="Retail"/>
    <s v="Hybrid"/>
    <n v="2"/>
    <n v="32"/>
    <n v="9"/>
  </r>
  <r>
    <s v="EMP0663"/>
    <s v="Retail"/>
    <s v="Remote"/>
    <n v="32"/>
    <n v="23"/>
    <n v="10"/>
  </r>
  <r>
    <s v="EMP0664"/>
    <s v="Retail"/>
    <s v="Remote"/>
    <n v="23"/>
    <n v="22"/>
    <n v="8"/>
  </r>
  <r>
    <s v="EMP0665"/>
    <s v="Consulting"/>
    <s v="Onsite"/>
    <n v="25"/>
    <n v="36"/>
    <n v="2"/>
  </r>
  <r>
    <s v="EMP0666"/>
    <s v="Retail"/>
    <s v="Onsite"/>
    <n v="29"/>
    <n v="50"/>
    <n v="3"/>
  </r>
  <r>
    <s v="EMP0667"/>
    <s v="Retail"/>
    <s v="Hybrid"/>
    <n v="11"/>
    <n v="36"/>
    <n v="13"/>
  </r>
  <r>
    <s v="EMP0668"/>
    <s v="Finance"/>
    <s v="Remote"/>
    <n v="33"/>
    <n v="39"/>
    <n v="13"/>
  </r>
  <r>
    <s v="EMP0669"/>
    <s v="Education"/>
    <s v="Hybrid"/>
    <n v="31"/>
    <n v="32"/>
    <n v="15"/>
  </r>
  <r>
    <s v="EMP0670"/>
    <s v="Manufacturing"/>
    <s v="Hybrid"/>
    <n v="12"/>
    <n v="53"/>
    <n v="10"/>
  </r>
  <r>
    <s v="EMP0671"/>
    <s v="Education"/>
    <s v="Remote"/>
    <n v="5"/>
    <n v="57"/>
    <n v="12"/>
  </r>
  <r>
    <s v="EMP0672"/>
    <s v="Retail"/>
    <s v="Remote"/>
    <n v="27"/>
    <n v="25"/>
    <n v="12"/>
  </r>
  <r>
    <s v="EMP0673"/>
    <s v="IT"/>
    <s v="Onsite"/>
    <n v="6"/>
    <n v="25"/>
    <n v="6"/>
  </r>
  <r>
    <s v="EMP0674"/>
    <s v="Manufacturing"/>
    <s v="Remote"/>
    <n v="2"/>
    <n v="25"/>
    <n v="7"/>
  </r>
  <r>
    <s v="EMP0675"/>
    <s v="IT"/>
    <s v="Remote"/>
    <n v="33"/>
    <n v="52"/>
    <n v="3"/>
  </r>
  <r>
    <s v="EMP0676"/>
    <s v="Manufacturing"/>
    <s v="Hybrid"/>
    <n v="6"/>
    <n v="44"/>
    <n v="15"/>
  </r>
  <r>
    <s v="EMP0677"/>
    <s v="Healthcare"/>
    <s v="Remote"/>
    <n v="20"/>
    <n v="27"/>
    <n v="7"/>
  </r>
  <r>
    <s v="EMP0678"/>
    <s v="Retail"/>
    <s v="Remote"/>
    <n v="30"/>
    <n v="37"/>
    <n v="15"/>
  </r>
  <r>
    <s v="EMP0679"/>
    <s v="IT"/>
    <s v="Onsite"/>
    <n v="33"/>
    <n v="39"/>
    <n v="15"/>
  </r>
  <r>
    <s v="EMP0680"/>
    <s v="Consulting"/>
    <s v="Hybrid"/>
    <n v="32"/>
    <n v="40"/>
    <n v="7"/>
  </r>
  <r>
    <s v="EMP0681"/>
    <s v="Finance"/>
    <s v="Hybrid"/>
    <n v="1"/>
    <n v="60"/>
    <n v="5"/>
  </r>
  <r>
    <s v="EMP0682"/>
    <s v="IT"/>
    <s v="Onsite"/>
    <n v="10"/>
    <n v="53"/>
    <n v="15"/>
  </r>
  <r>
    <s v="EMP0683"/>
    <s v="Consulting"/>
    <s v="Onsite"/>
    <n v="1"/>
    <n v="35"/>
    <n v="8"/>
  </r>
  <r>
    <s v="EMP0684"/>
    <s v="Manufacturing"/>
    <s v="Onsite"/>
    <n v="21"/>
    <n v="44"/>
    <n v="0"/>
  </r>
  <r>
    <s v="EMP0685"/>
    <s v="IT"/>
    <s v="Remote"/>
    <n v="28"/>
    <n v="60"/>
    <n v="5"/>
  </r>
  <r>
    <s v="EMP0686"/>
    <s v="Finance"/>
    <s v="Onsite"/>
    <n v="4"/>
    <n v="27"/>
    <n v="14"/>
  </r>
  <r>
    <s v="EMP0687"/>
    <s v="Healthcare"/>
    <s v="Remote"/>
    <n v="20"/>
    <n v="39"/>
    <n v="1"/>
  </r>
  <r>
    <s v="EMP0688"/>
    <s v="IT"/>
    <s v="Remote"/>
    <n v="31"/>
    <n v="31"/>
    <n v="1"/>
  </r>
  <r>
    <s v="EMP0689"/>
    <s v="Education"/>
    <s v="Hybrid"/>
    <n v="11"/>
    <n v="25"/>
    <n v="0"/>
  </r>
  <r>
    <s v="EMP0690"/>
    <s v="Education"/>
    <s v="Hybrid"/>
    <n v="5"/>
    <n v="21"/>
    <n v="10"/>
  </r>
  <r>
    <s v="EMP0691"/>
    <s v="Finance"/>
    <s v="Onsite"/>
    <n v="16"/>
    <n v="49"/>
    <n v="7"/>
  </r>
  <r>
    <s v="EMP0692"/>
    <s v="Retail"/>
    <s v="Remote"/>
    <n v="6"/>
    <n v="54"/>
    <n v="10"/>
  </r>
  <r>
    <s v="EMP0693"/>
    <s v="Finance"/>
    <s v="Hybrid"/>
    <n v="23"/>
    <n v="56"/>
    <n v="6"/>
  </r>
  <r>
    <s v="EMP0694"/>
    <s v="Retail"/>
    <s v="Hybrid"/>
    <n v="16"/>
    <n v="57"/>
    <n v="6"/>
  </r>
  <r>
    <s v="EMP0695"/>
    <s v="Healthcare"/>
    <s v="Remote"/>
    <n v="18"/>
    <n v="43"/>
    <n v="1"/>
  </r>
  <r>
    <s v="EMP0696"/>
    <s v="Retail"/>
    <s v="Onsite"/>
    <n v="3"/>
    <n v="59"/>
    <n v="9"/>
  </r>
  <r>
    <s v="EMP0697"/>
    <s v="IT"/>
    <s v="Onsite"/>
    <n v="29"/>
    <n v="44"/>
    <n v="4"/>
  </r>
  <r>
    <s v="EMP0698"/>
    <s v="Manufacturing"/>
    <s v="Hybrid"/>
    <n v="21"/>
    <n v="24"/>
    <n v="13"/>
  </r>
  <r>
    <s v="EMP0699"/>
    <s v="Retail"/>
    <s v="Onsite"/>
    <n v="17"/>
    <n v="60"/>
    <n v="12"/>
  </r>
  <r>
    <s v="EMP0700"/>
    <s v="Finance"/>
    <s v="Hybrid"/>
    <n v="12"/>
    <n v="28"/>
    <n v="6"/>
  </r>
  <r>
    <s v="EMP0701"/>
    <s v="Consulting"/>
    <s v="Onsite"/>
    <n v="18"/>
    <n v="42"/>
    <n v="15"/>
  </r>
  <r>
    <s v="EMP0702"/>
    <s v="Finance"/>
    <s v="Remote"/>
    <n v="25"/>
    <n v="26"/>
    <n v="9"/>
  </r>
  <r>
    <s v="EMP0703"/>
    <s v="Healthcare"/>
    <s v="Onsite"/>
    <n v="23"/>
    <n v="28"/>
    <n v="12"/>
  </r>
  <r>
    <s v="EMP0704"/>
    <s v="Manufacturing"/>
    <s v="Onsite"/>
    <n v="1"/>
    <n v="45"/>
    <n v="4"/>
  </r>
  <r>
    <s v="EMP0705"/>
    <s v="IT"/>
    <s v="Remote"/>
    <n v="5"/>
    <n v="37"/>
    <n v="2"/>
  </r>
  <r>
    <s v="EMP0706"/>
    <s v="Retail"/>
    <s v="Remote"/>
    <n v="4"/>
    <n v="31"/>
    <n v="12"/>
  </r>
  <r>
    <s v="EMP0707"/>
    <s v="Consulting"/>
    <s v="Remote"/>
    <n v="7"/>
    <n v="22"/>
    <n v="10"/>
  </r>
  <r>
    <s v="EMP0708"/>
    <s v="Consulting"/>
    <s v="Remote"/>
    <n v="35"/>
    <n v="48"/>
    <n v="0"/>
  </r>
  <r>
    <s v="EMP0709"/>
    <s v="Education"/>
    <s v="Onsite"/>
    <n v="7"/>
    <n v="55"/>
    <n v="9"/>
  </r>
  <r>
    <s v="EMP0710"/>
    <s v="IT"/>
    <s v="Onsite"/>
    <n v="3"/>
    <n v="60"/>
    <n v="15"/>
  </r>
  <r>
    <s v="EMP0711"/>
    <s v="Education"/>
    <s v="Onsite"/>
    <n v="14"/>
    <n v="40"/>
    <n v="12"/>
  </r>
  <r>
    <s v="EMP0712"/>
    <s v="Retail"/>
    <s v="Hybrid"/>
    <n v="8"/>
    <n v="30"/>
    <n v="9"/>
  </r>
  <r>
    <s v="EMP0713"/>
    <s v="Finance"/>
    <s v="Hybrid"/>
    <n v="2"/>
    <n v="54"/>
    <n v="9"/>
  </r>
  <r>
    <s v="EMP0714"/>
    <s v="IT"/>
    <s v="Remote"/>
    <n v="7"/>
    <n v="44"/>
    <n v="7"/>
  </r>
  <r>
    <s v="EMP0715"/>
    <s v="Manufacturing"/>
    <s v="Remote"/>
    <n v="19"/>
    <n v="43"/>
    <n v="5"/>
  </r>
  <r>
    <s v="EMP0716"/>
    <s v="Consulting"/>
    <s v="Onsite"/>
    <n v="11"/>
    <n v="35"/>
    <n v="7"/>
  </r>
  <r>
    <s v="EMP0717"/>
    <s v="Finance"/>
    <s v="Remote"/>
    <n v="7"/>
    <n v="27"/>
    <n v="0"/>
  </r>
  <r>
    <s v="EMP0718"/>
    <s v="Healthcare"/>
    <s v="Onsite"/>
    <n v="23"/>
    <n v="57"/>
    <n v="14"/>
  </r>
  <r>
    <s v="EMP0719"/>
    <s v="Healthcare"/>
    <s v="Onsite"/>
    <n v="4"/>
    <n v="35"/>
    <n v="9"/>
  </r>
  <r>
    <s v="EMP0720"/>
    <s v="Consulting"/>
    <s v="Remote"/>
    <n v="30"/>
    <n v="26"/>
    <n v="6"/>
  </r>
  <r>
    <s v="EMP0721"/>
    <s v="Healthcare"/>
    <s v="Hybrid"/>
    <n v="15"/>
    <n v="38"/>
    <n v="8"/>
  </r>
  <r>
    <s v="EMP0722"/>
    <s v="Consulting"/>
    <s v="Hybrid"/>
    <n v="1"/>
    <n v="54"/>
    <n v="14"/>
  </r>
  <r>
    <s v="EMP0723"/>
    <s v="Manufacturing"/>
    <s v="Hybrid"/>
    <n v="27"/>
    <n v="37"/>
    <n v="13"/>
  </r>
  <r>
    <s v="EMP0724"/>
    <s v="Finance"/>
    <s v="Onsite"/>
    <n v="16"/>
    <n v="35"/>
    <n v="10"/>
  </r>
  <r>
    <s v="EMP0725"/>
    <s v="IT"/>
    <s v="Hybrid"/>
    <n v="12"/>
    <n v="51"/>
    <n v="2"/>
  </r>
  <r>
    <s v="EMP0726"/>
    <s v="Healthcare"/>
    <s v="Remote"/>
    <n v="12"/>
    <n v="56"/>
    <n v="12"/>
  </r>
  <r>
    <s v="EMP0727"/>
    <s v="Healthcare"/>
    <s v="Remote"/>
    <n v="10"/>
    <n v="59"/>
    <n v="4"/>
  </r>
  <r>
    <s v="EMP0728"/>
    <s v="Manufacturing"/>
    <s v="Onsite"/>
    <n v="1"/>
    <n v="28"/>
    <n v="12"/>
  </r>
  <r>
    <s v="EMP0729"/>
    <s v="Finance"/>
    <s v="Remote"/>
    <n v="32"/>
    <n v="51"/>
    <n v="14"/>
  </r>
  <r>
    <s v="EMP0730"/>
    <s v="Consulting"/>
    <s v="Onsite"/>
    <n v="19"/>
    <n v="45"/>
    <n v="6"/>
  </r>
  <r>
    <s v="EMP0731"/>
    <s v="Education"/>
    <s v="Hybrid"/>
    <n v="13"/>
    <n v="23"/>
    <n v="3"/>
  </r>
  <r>
    <s v="EMP0732"/>
    <s v="Education"/>
    <s v="Hybrid"/>
    <n v="14"/>
    <n v="34"/>
    <n v="9"/>
  </r>
  <r>
    <s v="EMP0733"/>
    <s v="IT"/>
    <s v="Remote"/>
    <n v="11"/>
    <n v="34"/>
    <n v="9"/>
  </r>
  <r>
    <s v="EMP0734"/>
    <s v="Retail"/>
    <s v="Onsite"/>
    <n v="3"/>
    <n v="31"/>
    <n v="6"/>
  </r>
  <r>
    <s v="EMP0735"/>
    <s v="Retail"/>
    <s v="Hybrid"/>
    <n v="30"/>
    <n v="35"/>
    <n v="3"/>
  </r>
  <r>
    <s v="EMP0736"/>
    <s v="Manufacturing"/>
    <s v="Remote"/>
    <n v="5"/>
    <n v="32"/>
    <n v="5"/>
  </r>
  <r>
    <s v="EMP0737"/>
    <s v="Finance"/>
    <s v="Hybrid"/>
    <n v="12"/>
    <n v="45"/>
    <n v="4"/>
  </r>
  <r>
    <s v="EMP0738"/>
    <s v="Education"/>
    <s v="Remote"/>
    <n v="27"/>
    <n v="45"/>
    <n v="10"/>
  </r>
  <r>
    <s v="EMP0739"/>
    <s v="Retail"/>
    <s v="Hybrid"/>
    <n v="21"/>
    <n v="37"/>
    <n v="7"/>
  </r>
  <r>
    <s v="EMP0740"/>
    <s v="Manufacturing"/>
    <s v="Remote"/>
    <n v="17"/>
    <n v="41"/>
    <n v="12"/>
  </r>
  <r>
    <s v="EMP0741"/>
    <s v="Finance"/>
    <s v="Hybrid"/>
    <n v="35"/>
    <n v="59"/>
    <n v="11"/>
  </r>
  <r>
    <s v="EMP0742"/>
    <s v="Manufacturing"/>
    <s v="Remote"/>
    <n v="10"/>
    <n v="32"/>
    <n v="2"/>
  </r>
  <r>
    <s v="EMP0743"/>
    <s v="Consulting"/>
    <s v="Hybrid"/>
    <n v="14"/>
    <n v="40"/>
    <n v="4"/>
  </r>
  <r>
    <s v="EMP0744"/>
    <s v="Healthcare"/>
    <s v="Onsite"/>
    <n v="19"/>
    <n v="39"/>
    <n v="14"/>
  </r>
  <r>
    <s v="EMP0745"/>
    <s v="Healthcare"/>
    <s v="Onsite"/>
    <n v="30"/>
    <n v="60"/>
    <n v="12"/>
  </r>
  <r>
    <s v="EMP0746"/>
    <s v="Healthcare"/>
    <s v="Remote"/>
    <n v="18"/>
    <n v="28"/>
    <n v="0"/>
  </r>
  <r>
    <s v="EMP0747"/>
    <s v="IT"/>
    <s v="Hybrid"/>
    <n v="1"/>
    <n v="32"/>
    <n v="9"/>
  </r>
  <r>
    <s v="EMP0748"/>
    <s v="Finance"/>
    <s v="Onsite"/>
    <n v="30"/>
    <n v="56"/>
    <n v="11"/>
  </r>
  <r>
    <s v="EMP0749"/>
    <s v="Finance"/>
    <s v="Remote"/>
    <n v="23"/>
    <n v="23"/>
    <n v="0"/>
  </r>
  <r>
    <s v="EMP0750"/>
    <s v="IT"/>
    <s v="Onsite"/>
    <n v="18"/>
    <n v="51"/>
    <n v="1"/>
  </r>
  <r>
    <s v="EMP0751"/>
    <s v="IT"/>
    <s v="Remote"/>
    <n v="22"/>
    <n v="32"/>
    <n v="11"/>
  </r>
  <r>
    <s v="EMP0752"/>
    <s v="Healthcare"/>
    <s v="Remote"/>
    <n v="23"/>
    <n v="35"/>
    <n v="12"/>
  </r>
  <r>
    <s v="EMP0753"/>
    <s v="Healthcare"/>
    <s v="Remote"/>
    <n v="26"/>
    <n v="54"/>
    <n v="7"/>
  </r>
  <r>
    <s v="EMP0754"/>
    <s v="Education"/>
    <s v="Remote"/>
    <n v="33"/>
    <n v="44"/>
    <n v="4"/>
  </r>
  <r>
    <s v="EMP0755"/>
    <s v="Consulting"/>
    <s v="Remote"/>
    <n v="17"/>
    <n v="36"/>
    <n v="2"/>
  </r>
  <r>
    <s v="EMP0756"/>
    <s v="Manufacturing"/>
    <s v="Remote"/>
    <n v="11"/>
    <n v="24"/>
    <n v="5"/>
  </r>
  <r>
    <s v="EMP0757"/>
    <s v="Retail"/>
    <s v="Onsite"/>
    <n v="19"/>
    <n v="24"/>
    <n v="9"/>
  </r>
  <r>
    <s v="EMP0758"/>
    <s v="Manufacturing"/>
    <s v="Remote"/>
    <n v="26"/>
    <n v="32"/>
    <n v="5"/>
  </r>
  <r>
    <s v="EMP0759"/>
    <s v="Education"/>
    <s v="Hybrid"/>
    <n v="15"/>
    <n v="21"/>
    <n v="3"/>
  </r>
  <r>
    <s v="EMP0760"/>
    <s v="Healthcare"/>
    <s v="Hybrid"/>
    <n v="12"/>
    <n v="20"/>
    <n v="4"/>
  </r>
  <r>
    <s v="EMP0761"/>
    <s v="IT"/>
    <s v="Onsite"/>
    <n v="13"/>
    <n v="59"/>
    <n v="14"/>
  </r>
  <r>
    <s v="EMP0762"/>
    <s v="IT"/>
    <s v="Hybrid"/>
    <n v="26"/>
    <n v="44"/>
    <n v="4"/>
  </r>
  <r>
    <s v="EMP0763"/>
    <s v="Retail"/>
    <s v="Remote"/>
    <n v="6"/>
    <n v="57"/>
    <n v="0"/>
  </r>
  <r>
    <s v="EMP0764"/>
    <s v="Finance"/>
    <s v="Onsite"/>
    <n v="31"/>
    <n v="56"/>
    <n v="7"/>
  </r>
  <r>
    <s v="EMP0765"/>
    <s v="Education"/>
    <s v="Hybrid"/>
    <n v="5"/>
    <n v="51"/>
    <n v="0"/>
  </r>
  <r>
    <s v="EMP0766"/>
    <s v="Retail"/>
    <s v="Hybrid"/>
    <n v="24"/>
    <n v="23"/>
    <n v="15"/>
  </r>
  <r>
    <s v="EMP0767"/>
    <s v="Retail"/>
    <s v="Onsite"/>
    <n v="20"/>
    <n v="34"/>
    <n v="8"/>
  </r>
  <r>
    <s v="EMP0768"/>
    <s v="Consulting"/>
    <s v="Remote"/>
    <n v="3"/>
    <n v="45"/>
    <n v="0"/>
  </r>
  <r>
    <s v="EMP0769"/>
    <s v="Healthcare"/>
    <s v="Remote"/>
    <n v="8"/>
    <n v="50"/>
    <n v="0"/>
  </r>
  <r>
    <s v="EMP0770"/>
    <s v="Healthcare"/>
    <s v="Remote"/>
    <n v="9"/>
    <n v="27"/>
    <n v="6"/>
  </r>
  <r>
    <s v="EMP0771"/>
    <s v="IT"/>
    <s v="Onsite"/>
    <n v="3"/>
    <n v="60"/>
    <n v="12"/>
  </r>
  <r>
    <s v="EMP0772"/>
    <s v="Education"/>
    <s v="Remote"/>
    <n v="23"/>
    <n v="45"/>
    <n v="9"/>
  </r>
  <r>
    <s v="EMP0773"/>
    <s v="Healthcare"/>
    <s v="Onsite"/>
    <n v="8"/>
    <n v="41"/>
    <n v="6"/>
  </r>
  <r>
    <s v="EMP0774"/>
    <s v="Manufacturing"/>
    <s v="Onsite"/>
    <n v="26"/>
    <n v="25"/>
    <n v="5"/>
  </r>
  <r>
    <s v="EMP0775"/>
    <s v="Education"/>
    <s v="Hybrid"/>
    <n v="6"/>
    <n v="40"/>
    <n v="1"/>
  </r>
  <r>
    <s v="EMP0776"/>
    <s v="Healthcare"/>
    <s v="Remote"/>
    <n v="9"/>
    <n v="58"/>
    <n v="10"/>
  </r>
  <r>
    <s v="EMP0777"/>
    <s v="Consulting"/>
    <s v="Hybrid"/>
    <n v="20"/>
    <n v="36"/>
    <n v="7"/>
  </r>
  <r>
    <s v="EMP0778"/>
    <s v="Finance"/>
    <s v="Onsite"/>
    <n v="12"/>
    <n v="38"/>
    <n v="6"/>
  </r>
  <r>
    <s v="EMP0779"/>
    <s v="Manufacturing"/>
    <s v="Hybrid"/>
    <n v="30"/>
    <n v="21"/>
    <n v="15"/>
  </r>
  <r>
    <s v="EMP0780"/>
    <s v="Retail"/>
    <s v="Remote"/>
    <n v="6"/>
    <n v="59"/>
    <n v="15"/>
  </r>
  <r>
    <s v="EMP0781"/>
    <s v="Finance"/>
    <s v="Hybrid"/>
    <n v="8"/>
    <n v="47"/>
    <n v="0"/>
  </r>
  <r>
    <s v="EMP0782"/>
    <s v="IT"/>
    <s v="Onsite"/>
    <n v="21"/>
    <n v="21"/>
    <n v="1"/>
  </r>
  <r>
    <s v="EMP0783"/>
    <s v="Consulting"/>
    <s v="Onsite"/>
    <n v="8"/>
    <n v="26"/>
    <n v="8"/>
  </r>
  <r>
    <s v="EMP0784"/>
    <s v="Manufacturing"/>
    <s v="Hybrid"/>
    <n v="19"/>
    <n v="58"/>
    <n v="7"/>
  </r>
  <r>
    <s v="EMP0785"/>
    <s v="IT"/>
    <s v="Remote"/>
    <n v="15"/>
    <n v="42"/>
    <n v="7"/>
  </r>
  <r>
    <s v="EMP0786"/>
    <s v="Education"/>
    <s v="Onsite"/>
    <n v="19"/>
    <n v="30"/>
    <n v="8"/>
  </r>
  <r>
    <s v="EMP0787"/>
    <s v="Healthcare"/>
    <s v="Hybrid"/>
    <n v="34"/>
    <n v="46"/>
    <n v="0"/>
  </r>
  <r>
    <s v="EMP0788"/>
    <s v="Healthcare"/>
    <s v="Remote"/>
    <n v="21"/>
    <n v="48"/>
    <n v="5"/>
  </r>
  <r>
    <s v="EMP0789"/>
    <s v="Healthcare"/>
    <s v="Onsite"/>
    <n v="23"/>
    <n v="38"/>
    <n v="0"/>
  </r>
  <r>
    <s v="EMP0790"/>
    <s v="Finance"/>
    <s v="Onsite"/>
    <n v="5"/>
    <n v="26"/>
    <n v="8"/>
  </r>
  <r>
    <s v="EMP0791"/>
    <s v="Manufacturing"/>
    <s v="Hybrid"/>
    <n v="5"/>
    <n v="59"/>
    <n v="10"/>
  </r>
  <r>
    <s v="EMP0792"/>
    <s v="Healthcare"/>
    <s v="Remote"/>
    <n v="24"/>
    <n v="24"/>
    <n v="11"/>
  </r>
  <r>
    <s v="EMP0793"/>
    <s v="IT"/>
    <s v="Hybrid"/>
    <n v="8"/>
    <n v="50"/>
    <n v="12"/>
  </r>
  <r>
    <s v="EMP0794"/>
    <s v="Consulting"/>
    <s v="Remote"/>
    <n v="18"/>
    <n v="53"/>
    <n v="3"/>
  </r>
  <r>
    <s v="EMP0795"/>
    <s v="Education"/>
    <s v="Onsite"/>
    <n v="7"/>
    <n v="48"/>
    <n v="1"/>
  </r>
  <r>
    <s v="EMP0796"/>
    <s v="IT"/>
    <s v="Hybrid"/>
    <n v="28"/>
    <n v="39"/>
    <n v="13"/>
  </r>
  <r>
    <s v="EMP0797"/>
    <s v="Finance"/>
    <s v="Onsite"/>
    <n v="13"/>
    <n v="42"/>
    <n v="10"/>
  </r>
  <r>
    <s v="EMP0798"/>
    <s v="IT"/>
    <s v="Remote"/>
    <n v="14"/>
    <n v="50"/>
    <n v="1"/>
  </r>
  <r>
    <s v="EMP0799"/>
    <s v="Education"/>
    <s v="Onsite"/>
    <n v="23"/>
    <n v="59"/>
    <n v="6"/>
  </r>
  <r>
    <s v="EMP0800"/>
    <s v="Consulting"/>
    <s v="Onsite"/>
    <n v="7"/>
    <n v="20"/>
    <n v="8"/>
  </r>
  <r>
    <s v="EMP0801"/>
    <s v="Manufacturing"/>
    <s v="Remote"/>
    <n v="3"/>
    <n v="32"/>
    <n v="10"/>
  </r>
  <r>
    <s v="EMP0802"/>
    <s v="Manufacturing"/>
    <s v="Hybrid"/>
    <n v="24"/>
    <n v="45"/>
    <n v="7"/>
  </r>
  <r>
    <s v="EMP0803"/>
    <s v="Education"/>
    <s v="Onsite"/>
    <n v="2"/>
    <n v="45"/>
    <n v="13"/>
  </r>
  <r>
    <s v="EMP0804"/>
    <s v="IT"/>
    <s v="Onsite"/>
    <n v="6"/>
    <n v="39"/>
    <n v="7"/>
  </r>
  <r>
    <s v="EMP0805"/>
    <s v="Retail"/>
    <s v="Hybrid"/>
    <n v="23"/>
    <n v="32"/>
    <n v="11"/>
  </r>
  <r>
    <s v="EMP0806"/>
    <s v="Retail"/>
    <s v="Onsite"/>
    <n v="14"/>
    <n v="59"/>
    <n v="14"/>
  </r>
  <r>
    <s v="EMP0807"/>
    <s v="Healthcare"/>
    <s v="Remote"/>
    <n v="21"/>
    <n v="38"/>
    <n v="12"/>
  </r>
  <r>
    <s v="EMP0808"/>
    <s v="Education"/>
    <s v="Remote"/>
    <n v="8"/>
    <n v="24"/>
    <n v="9"/>
  </r>
  <r>
    <s v="EMP0809"/>
    <s v="Retail"/>
    <s v="Onsite"/>
    <n v="4"/>
    <n v="38"/>
    <n v="7"/>
  </r>
  <r>
    <s v="EMP0810"/>
    <s v="Manufacturing"/>
    <s v="Hybrid"/>
    <n v="26"/>
    <n v="36"/>
    <n v="2"/>
  </r>
  <r>
    <s v="EMP0811"/>
    <s v="IT"/>
    <s v="Hybrid"/>
    <n v="35"/>
    <n v="56"/>
    <n v="5"/>
  </r>
  <r>
    <s v="EMP0812"/>
    <s v="Healthcare"/>
    <s v="Hybrid"/>
    <n v="33"/>
    <n v="35"/>
    <n v="7"/>
  </r>
  <r>
    <s v="EMP0813"/>
    <s v="Consulting"/>
    <s v="Onsite"/>
    <n v="10"/>
    <n v="22"/>
    <n v="9"/>
  </r>
  <r>
    <s v="EMP0814"/>
    <s v="Retail"/>
    <s v="Remote"/>
    <n v="12"/>
    <n v="40"/>
    <n v="10"/>
  </r>
  <r>
    <s v="EMP0815"/>
    <s v="Manufacturing"/>
    <s v="Hybrid"/>
    <n v="31"/>
    <n v="22"/>
    <n v="6"/>
  </r>
  <r>
    <s v="EMP0816"/>
    <s v="Manufacturing"/>
    <s v="Hybrid"/>
    <n v="8"/>
    <n v="41"/>
    <n v="13"/>
  </r>
  <r>
    <s v="EMP0817"/>
    <s v="Retail"/>
    <s v="Remote"/>
    <n v="23"/>
    <n v="53"/>
    <n v="4"/>
  </r>
  <r>
    <s v="EMP0818"/>
    <s v="Retail"/>
    <s v="Hybrid"/>
    <n v="6"/>
    <n v="57"/>
    <n v="15"/>
  </r>
  <r>
    <s v="EMP0819"/>
    <s v="Education"/>
    <s v="Remote"/>
    <n v="9"/>
    <n v="51"/>
    <n v="7"/>
  </r>
  <r>
    <s v="EMP0820"/>
    <s v="Healthcare"/>
    <s v="Onsite"/>
    <n v="23"/>
    <n v="20"/>
    <n v="15"/>
  </r>
  <r>
    <s v="EMP0821"/>
    <s v="IT"/>
    <s v="Remote"/>
    <n v="18"/>
    <n v="56"/>
    <n v="12"/>
  </r>
  <r>
    <s v="EMP0822"/>
    <s v="Manufacturing"/>
    <s v="Onsite"/>
    <n v="16"/>
    <n v="27"/>
    <n v="7"/>
  </r>
  <r>
    <s v="EMP0823"/>
    <s v="Healthcare"/>
    <s v="Onsite"/>
    <n v="17"/>
    <n v="29"/>
    <n v="15"/>
  </r>
  <r>
    <s v="EMP0824"/>
    <s v="Retail"/>
    <s v="Onsite"/>
    <n v="16"/>
    <n v="52"/>
    <n v="7"/>
  </r>
  <r>
    <s v="EMP0825"/>
    <s v="Healthcare"/>
    <s v="Onsite"/>
    <n v="6"/>
    <n v="45"/>
    <n v="3"/>
  </r>
  <r>
    <s v="EMP0826"/>
    <s v="Retail"/>
    <s v="Remote"/>
    <n v="9"/>
    <n v="58"/>
    <n v="7"/>
  </r>
  <r>
    <s v="EMP0827"/>
    <s v="Retail"/>
    <s v="Hybrid"/>
    <n v="19"/>
    <n v="23"/>
    <n v="3"/>
  </r>
  <r>
    <s v="EMP0828"/>
    <s v="IT"/>
    <s v="Onsite"/>
    <n v="33"/>
    <n v="27"/>
    <n v="14"/>
  </r>
  <r>
    <s v="EMP0829"/>
    <s v="Healthcare"/>
    <s v="Hybrid"/>
    <n v="21"/>
    <n v="59"/>
    <n v="10"/>
  </r>
  <r>
    <s v="EMP0830"/>
    <s v="Healthcare"/>
    <s v="Onsite"/>
    <n v="14"/>
    <n v="40"/>
    <n v="12"/>
  </r>
  <r>
    <s v="EMP0831"/>
    <s v="IT"/>
    <s v="Onsite"/>
    <n v="30"/>
    <n v="59"/>
    <n v="11"/>
  </r>
  <r>
    <s v="EMP0832"/>
    <s v="Manufacturing"/>
    <s v="Remote"/>
    <n v="2"/>
    <n v="58"/>
    <n v="4"/>
  </r>
  <r>
    <s v="EMP0833"/>
    <s v="IT"/>
    <s v="Remote"/>
    <n v="10"/>
    <n v="52"/>
    <n v="3"/>
  </r>
  <r>
    <s v="EMP0834"/>
    <s v="Consulting"/>
    <s v="Hybrid"/>
    <n v="4"/>
    <n v="57"/>
    <n v="12"/>
  </r>
  <r>
    <s v="EMP0835"/>
    <s v="Manufacturing"/>
    <s v="Onsite"/>
    <n v="12"/>
    <n v="22"/>
    <n v="1"/>
  </r>
  <r>
    <s v="EMP0836"/>
    <s v="IT"/>
    <s v="Remote"/>
    <n v="23"/>
    <n v="25"/>
    <n v="10"/>
  </r>
  <r>
    <s v="EMP0837"/>
    <s v="Finance"/>
    <s v="Hybrid"/>
    <n v="4"/>
    <n v="57"/>
    <n v="14"/>
  </r>
  <r>
    <s v="EMP0838"/>
    <s v="Finance"/>
    <s v="Hybrid"/>
    <n v="22"/>
    <n v="55"/>
    <n v="14"/>
  </r>
  <r>
    <s v="EMP0839"/>
    <s v="Retail"/>
    <s v="Onsite"/>
    <n v="9"/>
    <n v="51"/>
    <n v="1"/>
  </r>
  <r>
    <s v="EMP0840"/>
    <s v="Retail"/>
    <s v="Onsite"/>
    <n v="15"/>
    <n v="32"/>
    <n v="9"/>
  </r>
  <r>
    <s v="EMP0841"/>
    <s v="Education"/>
    <s v="Hybrid"/>
    <n v="1"/>
    <n v="47"/>
    <n v="12"/>
  </r>
  <r>
    <s v="EMP0842"/>
    <s v="Manufacturing"/>
    <s v="Onsite"/>
    <n v="3"/>
    <n v="42"/>
    <n v="12"/>
  </r>
  <r>
    <s v="EMP0843"/>
    <s v="Finance"/>
    <s v="Remote"/>
    <n v="25"/>
    <n v="56"/>
    <n v="15"/>
  </r>
  <r>
    <s v="EMP0844"/>
    <s v="Education"/>
    <s v="Onsite"/>
    <n v="12"/>
    <n v="40"/>
    <n v="7"/>
  </r>
  <r>
    <s v="EMP0845"/>
    <s v="Healthcare"/>
    <s v="Onsite"/>
    <n v="28"/>
    <n v="36"/>
    <n v="12"/>
  </r>
  <r>
    <s v="EMP0846"/>
    <s v="Finance"/>
    <s v="Hybrid"/>
    <n v="5"/>
    <n v="31"/>
    <n v="5"/>
  </r>
  <r>
    <s v="EMP0847"/>
    <s v="Retail"/>
    <s v="Onsite"/>
    <n v="5"/>
    <n v="42"/>
    <n v="1"/>
  </r>
  <r>
    <s v="EMP0848"/>
    <s v="IT"/>
    <s v="Remote"/>
    <n v="4"/>
    <n v="34"/>
    <n v="7"/>
  </r>
  <r>
    <s v="EMP0849"/>
    <s v="Consulting"/>
    <s v="Onsite"/>
    <n v="25"/>
    <n v="56"/>
    <n v="9"/>
  </r>
  <r>
    <s v="EMP0850"/>
    <s v="Manufacturing"/>
    <s v="Remote"/>
    <n v="10"/>
    <n v="53"/>
    <n v="15"/>
  </r>
  <r>
    <s v="EMP0851"/>
    <s v="Finance"/>
    <s v="Onsite"/>
    <n v="32"/>
    <n v="25"/>
    <n v="15"/>
  </r>
  <r>
    <s v="EMP0852"/>
    <s v="IT"/>
    <s v="Remote"/>
    <n v="32"/>
    <n v="31"/>
    <n v="15"/>
  </r>
  <r>
    <s v="EMP0853"/>
    <s v="Healthcare"/>
    <s v="Hybrid"/>
    <n v="30"/>
    <n v="21"/>
    <n v="3"/>
  </r>
  <r>
    <s v="EMP0854"/>
    <s v="Finance"/>
    <s v="Remote"/>
    <n v="19"/>
    <n v="58"/>
    <n v="9"/>
  </r>
  <r>
    <s v="EMP0855"/>
    <s v="IT"/>
    <s v="Remote"/>
    <n v="5"/>
    <n v="29"/>
    <n v="13"/>
  </r>
  <r>
    <s v="EMP0856"/>
    <s v="Manufacturing"/>
    <s v="Remote"/>
    <n v="28"/>
    <n v="56"/>
    <n v="5"/>
  </r>
  <r>
    <s v="EMP0857"/>
    <s v="Healthcare"/>
    <s v="Remote"/>
    <n v="14"/>
    <n v="48"/>
    <n v="1"/>
  </r>
  <r>
    <s v="EMP0858"/>
    <s v="Manufacturing"/>
    <s v="Hybrid"/>
    <n v="2"/>
    <n v="60"/>
    <n v="2"/>
  </r>
  <r>
    <s v="EMP0859"/>
    <s v="Retail"/>
    <s v="Hybrid"/>
    <n v="29"/>
    <n v="26"/>
    <n v="8"/>
  </r>
  <r>
    <s v="EMP0860"/>
    <s v="IT"/>
    <s v="Onsite"/>
    <n v="15"/>
    <n v="21"/>
    <n v="8"/>
  </r>
  <r>
    <s v="EMP0861"/>
    <s v="Healthcare"/>
    <s v="Onsite"/>
    <n v="27"/>
    <n v="20"/>
    <n v="8"/>
  </r>
  <r>
    <s v="EMP0862"/>
    <s v="Finance"/>
    <s v="Onsite"/>
    <n v="26"/>
    <n v="58"/>
    <n v="9"/>
  </r>
  <r>
    <s v="EMP0863"/>
    <s v="Retail"/>
    <s v="Hybrid"/>
    <n v="10"/>
    <n v="39"/>
    <n v="10"/>
  </r>
  <r>
    <s v="EMP0864"/>
    <s v="Healthcare"/>
    <s v="Onsite"/>
    <n v="6"/>
    <n v="43"/>
    <n v="11"/>
  </r>
  <r>
    <s v="EMP0865"/>
    <s v="Healthcare"/>
    <s v="Remote"/>
    <n v="19"/>
    <n v="43"/>
    <n v="13"/>
  </r>
  <r>
    <s v="EMP0866"/>
    <s v="Consulting"/>
    <s v="Onsite"/>
    <n v="25"/>
    <n v="28"/>
    <n v="5"/>
  </r>
  <r>
    <s v="EMP0867"/>
    <s v="Consulting"/>
    <s v="Hybrid"/>
    <n v="32"/>
    <n v="24"/>
    <n v="13"/>
  </r>
  <r>
    <s v="EMP0868"/>
    <s v="Education"/>
    <s v="Hybrid"/>
    <n v="5"/>
    <n v="51"/>
    <n v="0"/>
  </r>
  <r>
    <s v="EMP0869"/>
    <s v="Healthcare"/>
    <s v="Remote"/>
    <n v="29"/>
    <n v="29"/>
    <n v="14"/>
  </r>
  <r>
    <s v="EMP0870"/>
    <s v="Manufacturing"/>
    <s v="Onsite"/>
    <n v="16"/>
    <n v="55"/>
    <n v="4"/>
  </r>
  <r>
    <s v="EMP0871"/>
    <s v="Finance"/>
    <s v="Remote"/>
    <n v="6"/>
    <n v="40"/>
    <n v="3"/>
  </r>
  <r>
    <s v="EMP0872"/>
    <s v="Finance"/>
    <s v="Onsite"/>
    <n v="12"/>
    <n v="43"/>
    <n v="3"/>
  </r>
  <r>
    <s v="EMP0873"/>
    <s v="Education"/>
    <s v="Hybrid"/>
    <n v="22"/>
    <n v="29"/>
    <n v="2"/>
  </r>
  <r>
    <s v="EMP0874"/>
    <s v="Healthcare"/>
    <s v="Hybrid"/>
    <n v="35"/>
    <n v="48"/>
    <n v="9"/>
  </r>
  <r>
    <s v="EMP0875"/>
    <s v="Manufacturing"/>
    <s v="Hybrid"/>
    <n v="1"/>
    <n v="38"/>
    <n v="10"/>
  </r>
  <r>
    <s v="EMP0876"/>
    <s v="Consulting"/>
    <s v="Hybrid"/>
    <n v="33"/>
    <n v="42"/>
    <n v="1"/>
  </r>
  <r>
    <s v="EMP0877"/>
    <s v="Retail"/>
    <s v="Remote"/>
    <n v="2"/>
    <n v="34"/>
    <n v="14"/>
  </r>
  <r>
    <s v="EMP0878"/>
    <s v="Consulting"/>
    <s v="Hybrid"/>
    <n v="8"/>
    <n v="48"/>
    <n v="7"/>
  </r>
  <r>
    <s v="EMP0879"/>
    <s v="Manufacturing"/>
    <s v="Remote"/>
    <n v="26"/>
    <n v="57"/>
    <n v="3"/>
  </r>
  <r>
    <s v="EMP0880"/>
    <s v="Retail"/>
    <s v="Onsite"/>
    <n v="22"/>
    <n v="59"/>
    <n v="8"/>
  </r>
  <r>
    <s v="EMP0881"/>
    <s v="Education"/>
    <s v="Onsite"/>
    <n v="17"/>
    <n v="30"/>
    <n v="10"/>
  </r>
  <r>
    <s v="EMP0882"/>
    <s v="IT"/>
    <s v="Onsite"/>
    <n v="28"/>
    <n v="29"/>
    <n v="9"/>
  </r>
  <r>
    <s v="EMP0883"/>
    <s v="Education"/>
    <s v="Remote"/>
    <n v="25"/>
    <n v="21"/>
    <n v="10"/>
  </r>
  <r>
    <s v="EMP0884"/>
    <s v="Retail"/>
    <s v="Remote"/>
    <n v="30"/>
    <n v="23"/>
    <n v="14"/>
  </r>
  <r>
    <s v="EMP0885"/>
    <s v="Consulting"/>
    <s v="Remote"/>
    <n v="34"/>
    <n v="53"/>
    <n v="1"/>
  </r>
  <r>
    <s v="EMP0886"/>
    <s v="Finance"/>
    <s v="Hybrid"/>
    <n v="13"/>
    <n v="30"/>
    <n v="6"/>
  </r>
  <r>
    <s v="EMP0887"/>
    <s v="Retail"/>
    <s v="Onsite"/>
    <n v="19"/>
    <n v="60"/>
    <n v="10"/>
  </r>
  <r>
    <s v="EMP0888"/>
    <s v="Consulting"/>
    <s v="Onsite"/>
    <n v="20"/>
    <n v="50"/>
    <n v="5"/>
  </r>
  <r>
    <s v="EMP0889"/>
    <s v="IT"/>
    <s v="Remote"/>
    <n v="25"/>
    <n v="31"/>
    <n v="14"/>
  </r>
  <r>
    <s v="EMP0890"/>
    <s v="Manufacturing"/>
    <s v="Hybrid"/>
    <n v="19"/>
    <n v="49"/>
    <n v="0"/>
  </r>
  <r>
    <s v="EMP0891"/>
    <s v="Consulting"/>
    <s v="Remote"/>
    <n v="2"/>
    <n v="35"/>
    <n v="4"/>
  </r>
  <r>
    <s v="EMP0892"/>
    <s v="Education"/>
    <s v="Remote"/>
    <n v="35"/>
    <n v="26"/>
    <n v="14"/>
  </r>
  <r>
    <s v="EMP0893"/>
    <s v="Retail"/>
    <s v="Onsite"/>
    <n v="23"/>
    <n v="60"/>
    <n v="15"/>
  </r>
  <r>
    <s v="EMP0894"/>
    <s v="Healthcare"/>
    <s v="Onsite"/>
    <n v="3"/>
    <n v="30"/>
    <n v="10"/>
  </r>
  <r>
    <s v="EMP0895"/>
    <s v="Consulting"/>
    <s v="Remote"/>
    <n v="21"/>
    <n v="25"/>
    <n v="6"/>
  </r>
  <r>
    <s v="EMP0896"/>
    <s v="Retail"/>
    <s v="Remote"/>
    <n v="9"/>
    <n v="42"/>
    <n v="2"/>
  </r>
  <r>
    <s v="EMP0897"/>
    <s v="Finance"/>
    <s v="Remote"/>
    <n v="9"/>
    <n v="46"/>
    <n v="13"/>
  </r>
  <r>
    <s v="EMP0898"/>
    <s v="Healthcare"/>
    <s v="Onsite"/>
    <n v="10"/>
    <n v="41"/>
    <n v="9"/>
  </r>
  <r>
    <s v="EMP0899"/>
    <s v="Retail"/>
    <s v="Onsite"/>
    <n v="1"/>
    <n v="39"/>
    <n v="10"/>
  </r>
  <r>
    <s v="EMP0900"/>
    <s v="IT"/>
    <s v="Onsite"/>
    <n v="11"/>
    <n v="58"/>
    <n v="2"/>
  </r>
  <r>
    <s v="EMP0901"/>
    <s v="IT"/>
    <s v="Remote"/>
    <n v="5"/>
    <n v="51"/>
    <n v="0"/>
  </r>
  <r>
    <s v="EMP0902"/>
    <s v="Finance"/>
    <s v="Onsite"/>
    <n v="8"/>
    <n v="22"/>
    <n v="14"/>
  </r>
  <r>
    <s v="EMP0903"/>
    <s v="Manufacturing"/>
    <s v="Onsite"/>
    <n v="22"/>
    <n v="26"/>
    <n v="7"/>
  </r>
  <r>
    <s v="EMP0904"/>
    <s v="Healthcare"/>
    <s v="Remote"/>
    <n v="20"/>
    <n v="25"/>
    <n v="11"/>
  </r>
  <r>
    <s v="EMP0905"/>
    <s v="Consulting"/>
    <s v="Hybrid"/>
    <n v="32"/>
    <n v="28"/>
    <n v="1"/>
  </r>
  <r>
    <s v="EMP0906"/>
    <s v="IT"/>
    <s v="Remote"/>
    <n v="30"/>
    <n v="54"/>
    <n v="3"/>
  </r>
  <r>
    <s v="EMP0907"/>
    <s v="Consulting"/>
    <s v="Remote"/>
    <n v="3"/>
    <n v="34"/>
    <n v="13"/>
  </r>
  <r>
    <s v="EMP0908"/>
    <s v="Retail"/>
    <s v="Hybrid"/>
    <n v="9"/>
    <n v="28"/>
    <n v="12"/>
  </r>
  <r>
    <s v="EMP0909"/>
    <s v="Retail"/>
    <s v="Onsite"/>
    <n v="15"/>
    <n v="37"/>
    <n v="12"/>
  </r>
  <r>
    <s v="EMP0910"/>
    <s v="IT"/>
    <s v="Remote"/>
    <n v="5"/>
    <n v="50"/>
    <n v="8"/>
  </r>
  <r>
    <s v="EMP0911"/>
    <s v="IT"/>
    <s v="Hybrid"/>
    <n v="29"/>
    <n v="21"/>
    <n v="5"/>
  </r>
  <r>
    <s v="EMP0912"/>
    <s v="Retail"/>
    <s v="Remote"/>
    <n v="3"/>
    <n v="32"/>
    <n v="0"/>
  </r>
  <r>
    <s v="EMP0913"/>
    <s v="Retail"/>
    <s v="Hybrid"/>
    <n v="28"/>
    <n v="56"/>
    <n v="10"/>
  </r>
  <r>
    <s v="EMP0914"/>
    <s v="IT"/>
    <s v="Onsite"/>
    <n v="34"/>
    <n v="42"/>
    <n v="7"/>
  </r>
  <r>
    <s v="EMP0915"/>
    <s v="Consulting"/>
    <s v="Hybrid"/>
    <n v="33"/>
    <n v="22"/>
    <n v="1"/>
  </r>
  <r>
    <s v="EMP0916"/>
    <s v="Education"/>
    <s v="Remote"/>
    <n v="23"/>
    <n v="28"/>
    <n v="10"/>
  </r>
  <r>
    <s v="EMP0917"/>
    <s v="Manufacturing"/>
    <s v="Hybrid"/>
    <n v="9"/>
    <n v="31"/>
    <n v="8"/>
  </r>
  <r>
    <s v="EMP0918"/>
    <s v="Finance"/>
    <s v="Hybrid"/>
    <n v="34"/>
    <n v="59"/>
    <n v="0"/>
  </r>
  <r>
    <s v="EMP0919"/>
    <s v="Education"/>
    <s v="Remote"/>
    <n v="30"/>
    <n v="22"/>
    <n v="13"/>
  </r>
  <r>
    <s v="EMP0920"/>
    <s v="Consulting"/>
    <s v="Hybrid"/>
    <n v="4"/>
    <n v="21"/>
    <n v="3"/>
  </r>
  <r>
    <s v="EMP0921"/>
    <s v="Healthcare"/>
    <s v="Remote"/>
    <n v="25"/>
    <n v="54"/>
    <n v="8"/>
  </r>
  <r>
    <s v="EMP0922"/>
    <s v="Healthcare"/>
    <s v="Hybrid"/>
    <n v="20"/>
    <n v="46"/>
    <n v="7"/>
  </r>
  <r>
    <s v="EMP0923"/>
    <s v="Retail"/>
    <s v="Remote"/>
    <n v="14"/>
    <n v="56"/>
    <n v="2"/>
  </r>
  <r>
    <s v="EMP0924"/>
    <s v="Finance"/>
    <s v="Hybrid"/>
    <n v="9"/>
    <n v="48"/>
    <n v="3"/>
  </r>
  <r>
    <s v="EMP0925"/>
    <s v="Education"/>
    <s v="Hybrid"/>
    <n v="7"/>
    <n v="29"/>
    <n v="8"/>
  </r>
  <r>
    <s v="EMP0926"/>
    <s v="Manufacturing"/>
    <s v="Onsite"/>
    <n v="24"/>
    <n v="59"/>
    <n v="9"/>
  </r>
  <r>
    <s v="EMP0927"/>
    <s v="Healthcare"/>
    <s v="Remote"/>
    <n v="10"/>
    <n v="46"/>
    <n v="15"/>
  </r>
  <r>
    <s v="EMP0928"/>
    <s v="IT"/>
    <s v="Onsite"/>
    <n v="27"/>
    <n v="27"/>
    <n v="7"/>
  </r>
  <r>
    <s v="EMP0929"/>
    <s v="Education"/>
    <s v="Hybrid"/>
    <n v="22"/>
    <n v="42"/>
    <n v="6"/>
  </r>
  <r>
    <s v="EMP0930"/>
    <s v="Finance"/>
    <s v="Remote"/>
    <n v="15"/>
    <n v="39"/>
    <n v="10"/>
  </r>
  <r>
    <s v="EMP0931"/>
    <s v="Education"/>
    <s v="Remote"/>
    <n v="23"/>
    <n v="34"/>
    <n v="8"/>
  </r>
  <r>
    <s v="EMP0932"/>
    <s v="Retail"/>
    <s v="Remote"/>
    <n v="28"/>
    <n v="58"/>
    <n v="15"/>
  </r>
  <r>
    <s v="EMP0933"/>
    <s v="Retail"/>
    <s v="Remote"/>
    <n v="23"/>
    <n v="36"/>
    <n v="3"/>
  </r>
  <r>
    <s v="EMP0934"/>
    <s v="Manufacturing"/>
    <s v="Remote"/>
    <n v="15"/>
    <n v="52"/>
    <n v="15"/>
  </r>
  <r>
    <s v="EMP0935"/>
    <s v="Manufacturing"/>
    <s v="Remote"/>
    <n v="8"/>
    <n v="51"/>
    <n v="5"/>
  </r>
  <r>
    <s v="EMP0936"/>
    <s v="Manufacturing"/>
    <s v="Onsite"/>
    <n v="25"/>
    <n v="31"/>
    <n v="10"/>
  </r>
  <r>
    <s v="EMP0937"/>
    <s v="Retail"/>
    <s v="Hybrid"/>
    <n v="10"/>
    <n v="47"/>
    <n v="5"/>
  </r>
  <r>
    <s v="EMP0938"/>
    <s v="IT"/>
    <s v="Onsite"/>
    <n v="2"/>
    <n v="55"/>
    <n v="9"/>
  </r>
  <r>
    <s v="EMP0939"/>
    <s v="Healthcare"/>
    <s v="Remote"/>
    <n v="13"/>
    <n v="53"/>
    <n v="3"/>
  </r>
  <r>
    <s v="EMP0940"/>
    <s v="Healthcare"/>
    <s v="Remote"/>
    <n v="24"/>
    <n v="40"/>
    <n v="13"/>
  </r>
  <r>
    <s v="EMP0941"/>
    <s v="Manufacturing"/>
    <s v="Onsite"/>
    <n v="29"/>
    <n v="46"/>
    <n v="9"/>
  </r>
  <r>
    <s v="EMP0942"/>
    <s v="Retail"/>
    <s v="Onsite"/>
    <n v="5"/>
    <n v="37"/>
    <n v="0"/>
  </r>
  <r>
    <s v="EMP0943"/>
    <s v="Consulting"/>
    <s v="Onsite"/>
    <n v="9"/>
    <n v="32"/>
    <n v="11"/>
  </r>
  <r>
    <s v="EMP0944"/>
    <s v="Retail"/>
    <s v="Hybrid"/>
    <n v="34"/>
    <n v="20"/>
    <n v="12"/>
  </r>
  <r>
    <s v="EMP0945"/>
    <s v="IT"/>
    <s v="Onsite"/>
    <n v="33"/>
    <n v="55"/>
    <n v="10"/>
  </r>
  <r>
    <s v="EMP0946"/>
    <s v="Manufacturing"/>
    <s v="Remote"/>
    <n v="31"/>
    <n v="36"/>
    <n v="6"/>
  </r>
  <r>
    <s v="EMP0947"/>
    <s v="Healthcare"/>
    <s v="Hybrid"/>
    <n v="30"/>
    <n v="48"/>
    <n v="2"/>
  </r>
  <r>
    <s v="EMP0948"/>
    <s v="Finance"/>
    <s v="Hybrid"/>
    <n v="9"/>
    <n v="42"/>
    <n v="5"/>
  </r>
  <r>
    <s v="EMP0949"/>
    <s v="Healthcare"/>
    <s v="Remote"/>
    <n v="5"/>
    <n v="33"/>
    <n v="12"/>
  </r>
  <r>
    <s v="EMP0950"/>
    <s v="Consulting"/>
    <s v="Remote"/>
    <n v="30"/>
    <n v="45"/>
    <n v="12"/>
  </r>
  <r>
    <s v="EMP0951"/>
    <s v="Finance"/>
    <s v="Remote"/>
    <n v="2"/>
    <n v="43"/>
    <n v="14"/>
  </r>
  <r>
    <s v="EMP0952"/>
    <s v="Finance"/>
    <s v="Remote"/>
    <n v="5"/>
    <n v="59"/>
    <n v="3"/>
  </r>
  <r>
    <s v="EMP0953"/>
    <s v="Healthcare"/>
    <s v="Onsite"/>
    <n v="32"/>
    <n v="26"/>
    <n v="12"/>
  </r>
  <r>
    <s v="EMP0954"/>
    <s v="Finance"/>
    <s v="Hybrid"/>
    <n v="32"/>
    <n v="47"/>
    <n v="7"/>
  </r>
  <r>
    <s v="EMP0955"/>
    <s v="Finance"/>
    <s v="Remote"/>
    <n v="3"/>
    <n v="27"/>
    <n v="1"/>
  </r>
  <r>
    <s v="EMP0956"/>
    <s v="Finance"/>
    <s v="Hybrid"/>
    <n v="22"/>
    <n v="50"/>
    <n v="2"/>
  </r>
  <r>
    <s v="EMP0957"/>
    <s v="Retail"/>
    <s v="Remote"/>
    <n v="11"/>
    <n v="29"/>
    <n v="4"/>
  </r>
  <r>
    <s v="EMP0958"/>
    <s v="Healthcare"/>
    <s v="Hybrid"/>
    <n v="3"/>
    <n v="53"/>
    <n v="6"/>
  </r>
  <r>
    <s v="EMP0959"/>
    <s v="Finance"/>
    <s v="Hybrid"/>
    <n v="26"/>
    <n v="22"/>
    <n v="13"/>
  </r>
  <r>
    <s v="EMP0960"/>
    <s v="Education"/>
    <s v="Onsite"/>
    <n v="14"/>
    <n v="42"/>
    <n v="2"/>
  </r>
  <r>
    <s v="EMP0961"/>
    <s v="Retail"/>
    <s v="Remote"/>
    <n v="17"/>
    <n v="20"/>
    <n v="13"/>
  </r>
  <r>
    <s v="EMP0962"/>
    <s v="Manufacturing"/>
    <s v="Hybrid"/>
    <n v="35"/>
    <n v="20"/>
    <n v="11"/>
  </r>
  <r>
    <s v="EMP0963"/>
    <s v="IT"/>
    <s v="Hybrid"/>
    <n v="22"/>
    <n v="32"/>
    <n v="5"/>
  </r>
  <r>
    <s v="EMP0964"/>
    <s v="Education"/>
    <s v="Remote"/>
    <n v="14"/>
    <n v="44"/>
    <n v="7"/>
  </r>
  <r>
    <s v="EMP0965"/>
    <s v="Education"/>
    <s v="Onsite"/>
    <n v="20"/>
    <n v="38"/>
    <n v="1"/>
  </r>
  <r>
    <s v="EMP0966"/>
    <s v="Consulting"/>
    <s v="Hybrid"/>
    <n v="4"/>
    <n v="44"/>
    <n v="2"/>
  </r>
  <r>
    <s v="EMP0967"/>
    <s v="Consulting"/>
    <s v="Remote"/>
    <n v="11"/>
    <n v="43"/>
    <n v="10"/>
  </r>
  <r>
    <s v="EMP0968"/>
    <s v="Education"/>
    <s v="Hybrid"/>
    <n v="5"/>
    <n v="45"/>
    <n v="3"/>
  </r>
  <r>
    <s v="EMP0969"/>
    <s v="Education"/>
    <s v="Hybrid"/>
    <n v="3"/>
    <n v="24"/>
    <n v="5"/>
  </r>
  <r>
    <s v="EMP0970"/>
    <s v="Healthcare"/>
    <s v="Hybrid"/>
    <n v="31"/>
    <n v="37"/>
    <n v="7"/>
  </r>
  <r>
    <s v="EMP0971"/>
    <s v="Finance"/>
    <s v="Remote"/>
    <n v="22"/>
    <n v="48"/>
    <n v="5"/>
  </r>
  <r>
    <s v="EMP0972"/>
    <s v="IT"/>
    <s v="Onsite"/>
    <n v="9"/>
    <n v="29"/>
    <n v="11"/>
  </r>
  <r>
    <s v="EMP0973"/>
    <s v="Finance"/>
    <s v="Remote"/>
    <n v="30"/>
    <n v="26"/>
    <n v="9"/>
  </r>
  <r>
    <s v="EMP0974"/>
    <s v="Manufacturing"/>
    <s v="Remote"/>
    <n v="9"/>
    <n v="60"/>
    <n v="2"/>
  </r>
  <r>
    <s v="EMP0975"/>
    <s v="Consulting"/>
    <s v="Remote"/>
    <n v="24"/>
    <n v="22"/>
    <n v="3"/>
  </r>
  <r>
    <s v="EMP0976"/>
    <s v="Finance"/>
    <s v="Remote"/>
    <n v="26"/>
    <n v="21"/>
    <n v="0"/>
  </r>
  <r>
    <s v="EMP0977"/>
    <s v="IT"/>
    <s v="Onsite"/>
    <n v="23"/>
    <n v="49"/>
    <n v="2"/>
  </r>
  <r>
    <s v="EMP0978"/>
    <s v="Manufacturing"/>
    <s v="Remote"/>
    <n v="3"/>
    <n v="38"/>
    <n v="7"/>
  </r>
  <r>
    <s v="EMP0979"/>
    <s v="Education"/>
    <s v="Hybrid"/>
    <n v="12"/>
    <n v="26"/>
    <n v="1"/>
  </r>
  <r>
    <s v="EMP0980"/>
    <s v="IT"/>
    <s v="Remote"/>
    <n v="19"/>
    <n v="50"/>
    <n v="13"/>
  </r>
  <r>
    <s v="EMP0981"/>
    <s v="Healthcare"/>
    <s v="Onsite"/>
    <n v="5"/>
    <n v="26"/>
    <n v="10"/>
  </r>
  <r>
    <s v="EMP0982"/>
    <s v="IT"/>
    <s v="Hybrid"/>
    <n v="32"/>
    <n v="26"/>
    <n v="5"/>
  </r>
  <r>
    <s v="EMP0983"/>
    <s v="Education"/>
    <s v="Onsite"/>
    <n v="14"/>
    <n v="30"/>
    <n v="9"/>
  </r>
  <r>
    <s v="EMP0984"/>
    <s v="Consulting"/>
    <s v="Onsite"/>
    <n v="33"/>
    <n v="50"/>
    <n v="7"/>
  </r>
  <r>
    <s v="EMP0985"/>
    <s v="IT"/>
    <s v="Hybrid"/>
    <n v="24"/>
    <n v="60"/>
    <n v="10"/>
  </r>
  <r>
    <s v="EMP0986"/>
    <s v="Finance"/>
    <s v="Onsite"/>
    <n v="17"/>
    <n v="49"/>
    <n v="6"/>
  </r>
  <r>
    <s v="EMP0987"/>
    <s v="Healthcare"/>
    <s v="Remote"/>
    <n v="2"/>
    <n v="48"/>
    <n v="9"/>
  </r>
  <r>
    <s v="EMP0988"/>
    <s v="IT"/>
    <s v="Remote"/>
    <n v="9"/>
    <n v="39"/>
    <n v="4"/>
  </r>
  <r>
    <s v="EMP0989"/>
    <s v="IT"/>
    <s v="Hybrid"/>
    <n v="8"/>
    <n v="52"/>
    <n v="15"/>
  </r>
  <r>
    <s v="EMP0990"/>
    <s v="Healthcare"/>
    <s v="Remote"/>
    <n v="8"/>
    <n v="23"/>
    <n v="5"/>
  </r>
  <r>
    <s v="EMP0991"/>
    <s v="IT"/>
    <s v="Hybrid"/>
    <n v="1"/>
    <n v="51"/>
    <n v="8"/>
  </r>
  <r>
    <s v="EMP0992"/>
    <s v="Manufacturing"/>
    <s v="Onsite"/>
    <n v="32"/>
    <n v="28"/>
    <n v="14"/>
  </r>
  <r>
    <s v="EMP0993"/>
    <s v="Finance"/>
    <s v="Onsite"/>
    <n v="21"/>
    <n v="22"/>
    <n v="15"/>
  </r>
  <r>
    <s v="EMP0994"/>
    <s v="Education"/>
    <s v="Remote"/>
    <n v="13"/>
    <n v="50"/>
    <n v="1"/>
  </r>
  <r>
    <s v="EMP0995"/>
    <s v="Retail"/>
    <s v="Remote"/>
    <n v="24"/>
    <n v="21"/>
    <n v="13"/>
  </r>
  <r>
    <s v="EMP0996"/>
    <s v="IT"/>
    <s v="Remote"/>
    <n v="5"/>
    <n v="28"/>
    <n v="14"/>
  </r>
  <r>
    <s v="EMP0997"/>
    <s v="Healthcare"/>
    <s v="Onsite"/>
    <n v="12"/>
    <n v="21"/>
    <n v="14"/>
  </r>
  <r>
    <s v="EMP0998"/>
    <s v="Manufacturing"/>
    <s v="Hybrid"/>
    <n v="8"/>
    <n v="58"/>
    <n v="15"/>
  </r>
  <r>
    <s v="EMP0999"/>
    <s v="Retail"/>
    <s v="Onsite"/>
    <n v="10"/>
    <n v="28"/>
    <n v="5"/>
  </r>
  <r>
    <s v="EMP1000"/>
    <s v="Retail"/>
    <s v="Remote"/>
    <n v="10"/>
    <n v="4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n v="32"/>
    <s v="Non-binary"/>
    <s v="HR"/>
    <s v="Healthcare"/>
    <n v="13"/>
    <s v="Hybrid"/>
    <n v="47"/>
    <n v="7"/>
    <n v="2"/>
    <s v="Medium"/>
    <s v="Depression"/>
    <s v="No"/>
    <s v="Decrease"/>
    <n v="1"/>
    <s v="Unsatisfied"/>
    <n v="1"/>
    <s v="Weekly"/>
    <s v="Good"/>
    <x v="0"/>
  </r>
  <r>
    <s v="EMP0002"/>
    <n v="40"/>
    <s v="Female"/>
    <s v="Data Scientist"/>
    <s v="IT"/>
    <n v="3"/>
    <s v="Remote"/>
    <n v="52"/>
    <n v="4"/>
    <n v="1"/>
    <s v="Medium"/>
    <s v="Anxiety"/>
    <s v="No"/>
    <s v="Increase"/>
    <n v="3"/>
    <s v="Satisfied"/>
    <n v="2"/>
    <s v="Weekly"/>
    <s v="Good"/>
    <x v="1"/>
  </r>
  <r>
    <s v="EMP0003"/>
    <n v="59"/>
    <s v="Non-binary"/>
    <s v="Software Engineer"/>
    <s v="Education"/>
    <n v="22"/>
    <s v="Hybrid"/>
    <n v="46"/>
    <n v="11"/>
    <n v="5"/>
    <s v="Medium"/>
    <s v="Anxiety"/>
    <s v="No"/>
    <s v="No Change"/>
    <n v="4"/>
    <s v="Unsatisfied"/>
    <n v="5"/>
    <s v="None"/>
    <s v="Poor"/>
    <x v="2"/>
  </r>
  <r>
    <s v="EMP0004"/>
    <n v="27"/>
    <s v="Male"/>
    <s v="Software Engineer"/>
    <s v="Finance"/>
    <n v="20"/>
    <s v="Onsite"/>
    <n v="32"/>
    <n v="8"/>
    <n v="4"/>
    <s v="High"/>
    <s v="Depression"/>
    <s v="Yes"/>
    <s v="Increase"/>
    <n v="3"/>
    <s v="Unsatisfied"/>
    <n v="3"/>
    <s v="None"/>
    <s v="Poor"/>
    <x v="0"/>
  </r>
  <r>
    <s v="EMP0005"/>
    <n v="49"/>
    <s v="Male"/>
    <s v="Sales"/>
    <s v="Consulting"/>
    <n v="32"/>
    <s v="Onsite"/>
    <n v="35"/>
    <n v="12"/>
    <n v="2"/>
    <s v="High"/>
    <s v="None"/>
    <s v="Yes"/>
    <s v="Decrease"/>
    <n v="3"/>
    <s v="Unsatisfied"/>
    <n v="3"/>
    <s v="Weekly"/>
    <s v="Average"/>
    <x v="2"/>
  </r>
  <r>
    <s v="EMP0006"/>
    <n v="59"/>
    <s v="Non-binary"/>
    <s v="Sales"/>
    <s v="IT"/>
    <n v="31"/>
    <s v="Hybrid"/>
    <n v="39"/>
    <n v="3"/>
    <n v="4"/>
    <s v="High"/>
    <s v="None"/>
    <s v="No"/>
    <s v="Increase"/>
    <n v="5"/>
    <s v="Unsatisfied"/>
    <n v="1"/>
    <s v="None"/>
    <s v="Average"/>
    <x v="3"/>
  </r>
  <r>
    <s v="EMP0007"/>
    <n v="31"/>
    <s v="Prefer not to say"/>
    <s v="Sales"/>
    <s v="IT"/>
    <n v="24"/>
    <s v="Remote"/>
    <n v="51"/>
    <n v="7"/>
    <n v="3"/>
    <s v="Low"/>
    <s v="Anxiety"/>
    <s v="Yes"/>
    <s v="Decrease"/>
    <n v="5"/>
    <s v="Neutral"/>
    <n v="3"/>
    <s v="Daily"/>
    <s v="Poor"/>
    <x v="1"/>
  </r>
  <r>
    <s v="EMP0008"/>
    <n v="42"/>
    <s v="Non-binary"/>
    <s v="Data Scientist"/>
    <s v="Manufacturing"/>
    <n v="6"/>
    <s v="Onsite"/>
    <n v="54"/>
    <n v="7"/>
    <n v="3"/>
    <s v="Medium"/>
    <s v="Depression"/>
    <s v="No"/>
    <s v="Decrease"/>
    <n v="5"/>
    <s v="Satisfied"/>
    <n v="4"/>
    <s v="None"/>
    <s v="Average"/>
    <x v="2"/>
  </r>
  <r>
    <s v="EMP0009"/>
    <n v="56"/>
    <s v="Prefer not to say"/>
    <s v="Data Scientist"/>
    <s v="Healthcare"/>
    <n v="9"/>
    <s v="Hybrid"/>
    <n v="24"/>
    <n v="4"/>
    <n v="2"/>
    <s v="High"/>
    <s v="None"/>
    <s v="Yes"/>
    <s v="Decrease"/>
    <n v="2"/>
    <s v="Unsatisfied"/>
    <n v="4"/>
    <s v="Daily"/>
    <s v="Poor"/>
    <x v="0"/>
  </r>
  <r>
    <s v="EMP0010"/>
    <n v="30"/>
    <s v="Female"/>
    <s v="HR"/>
    <s v="IT"/>
    <n v="28"/>
    <s v="Hybrid"/>
    <n v="57"/>
    <n v="6"/>
    <n v="1"/>
    <s v="Low"/>
    <s v="Depression"/>
    <s v="Yes"/>
    <s v="Decrease"/>
    <n v="2"/>
    <s v="Neutral"/>
    <n v="1"/>
    <s v="Weekly"/>
    <s v="Poor"/>
    <x v="2"/>
  </r>
  <r>
    <s v="EMP0011"/>
    <n v="33"/>
    <s v="Non-binary"/>
    <s v="Software Engineer"/>
    <s v="Finance"/>
    <n v="17"/>
    <s v="Remote"/>
    <n v="48"/>
    <n v="3"/>
    <n v="3"/>
    <s v="High"/>
    <s v="None"/>
    <s v="Yes"/>
    <s v="Decrease"/>
    <n v="4"/>
    <s v="Satisfied"/>
    <n v="2"/>
    <s v="Weekly"/>
    <s v="Average"/>
    <x v="4"/>
  </r>
  <r>
    <s v="EMP0012"/>
    <n v="47"/>
    <s v="Female"/>
    <s v="Marketing"/>
    <s v="Consulting"/>
    <n v="31"/>
    <s v="Hybrid"/>
    <n v="26"/>
    <n v="12"/>
    <n v="4"/>
    <s v="Medium"/>
    <s v="None"/>
    <s v="Yes"/>
    <s v="No Change"/>
    <n v="4"/>
    <s v="Neutral"/>
    <n v="3"/>
    <s v="Weekly"/>
    <s v="Poor"/>
    <x v="5"/>
  </r>
  <r>
    <s v="EMP0013"/>
    <n v="40"/>
    <s v="Female"/>
    <s v="Marketing"/>
    <s v="Consulting"/>
    <n v="1"/>
    <s v="Remote"/>
    <n v="21"/>
    <n v="7"/>
    <n v="2"/>
    <s v="High"/>
    <s v="Depression"/>
    <s v="Yes"/>
    <s v="Decrease"/>
    <n v="2"/>
    <s v="Neutral"/>
    <n v="1"/>
    <s v="Weekly"/>
    <s v="Good"/>
    <x v="0"/>
  </r>
  <r>
    <s v="EMP0014"/>
    <n v="51"/>
    <s v="Non-binary"/>
    <s v="Designer"/>
    <s v="Manufacturing"/>
    <n v="5"/>
    <s v="Hybrid"/>
    <n v="45"/>
    <n v="13"/>
    <n v="1"/>
    <s v="Low"/>
    <s v="Anxiety"/>
    <s v="No"/>
    <s v="Decrease"/>
    <n v="2"/>
    <s v="Satisfied"/>
    <n v="5"/>
    <s v="Weekly"/>
    <s v="Poor"/>
    <x v="2"/>
  </r>
  <r>
    <s v="EMP0015"/>
    <n v="36"/>
    <s v="Prefer not to say"/>
    <s v="Project Manager"/>
    <s v="Retail"/>
    <n v="23"/>
    <s v="Remote"/>
    <n v="59"/>
    <n v="11"/>
    <n v="3"/>
    <s v="High"/>
    <s v="Anxiety"/>
    <s v="Yes"/>
    <s v="Decrease"/>
    <n v="5"/>
    <s v="Neutral"/>
    <n v="3"/>
    <s v="Weekly"/>
    <s v="Average"/>
    <x v="4"/>
  </r>
  <r>
    <s v="EMP0016"/>
    <n v="56"/>
    <s v="Female"/>
    <s v="Sales"/>
    <s v="Healthcare"/>
    <n v="13"/>
    <s v="Remote"/>
    <n v="44"/>
    <n v="11"/>
    <n v="4"/>
    <s v="Low"/>
    <s v="Anxiety"/>
    <s v="No"/>
    <s v="No Change"/>
    <n v="5"/>
    <s v="Satisfied"/>
    <n v="4"/>
    <s v="Weekly"/>
    <s v="Average"/>
    <x v="5"/>
  </r>
  <r>
    <s v="EMP0017"/>
    <n v="33"/>
    <s v="Prefer not to say"/>
    <s v="HR"/>
    <s v="Education"/>
    <n v="3"/>
    <s v="Onsite"/>
    <n v="52"/>
    <n v="9"/>
    <n v="2"/>
    <s v="Medium"/>
    <s v="None"/>
    <s v="No"/>
    <s v="No Change"/>
    <n v="1"/>
    <s v="Satisfied"/>
    <n v="1"/>
    <s v="Weekly"/>
    <s v="Good"/>
    <x v="5"/>
  </r>
  <r>
    <s v="EMP0018"/>
    <n v="45"/>
    <s v="Non-binary"/>
    <s v="Data Scientist"/>
    <s v="Consulting"/>
    <n v="20"/>
    <s v="Onsite"/>
    <n v="37"/>
    <n v="8"/>
    <n v="3"/>
    <s v="Low"/>
    <s v="Burnout"/>
    <s v="Yes"/>
    <s v="Decrease"/>
    <n v="5"/>
    <s v="Neutral"/>
    <n v="5"/>
    <s v="Weekly"/>
    <s v="Good"/>
    <x v="0"/>
  </r>
  <r>
    <s v="EMP0019"/>
    <n v="49"/>
    <s v="Non-binary"/>
    <s v="Software Engineer"/>
    <s v="IT"/>
    <n v="30"/>
    <s v="Remote"/>
    <n v="36"/>
    <n v="6"/>
    <n v="1"/>
    <s v="High"/>
    <s v="Anxiety"/>
    <s v="No"/>
    <s v="No Change"/>
    <n v="3"/>
    <s v="Satisfied"/>
    <n v="2"/>
    <s v="Weekly"/>
    <s v="Good"/>
    <x v="4"/>
  </r>
  <r>
    <s v="EMP0020"/>
    <n v="59"/>
    <s v="Male"/>
    <s v="Software Engineer"/>
    <s v="Consulting"/>
    <n v="13"/>
    <s v="Remote"/>
    <n v="59"/>
    <n v="4"/>
    <n v="3"/>
    <s v="Medium"/>
    <s v="Anxiety"/>
    <s v="No"/>
    <s v="Decrease"/>
    <n v="4"/>
    <s v="Neutral"/>
    <n v="1"/>
    <s v="Daily"/>
    <s v="Average"/>
    <x v="3"/>
  </r>
  <r>
    <s v="EMP0021"/>
    <n v="26"/>
    <s v="Female"/>
    <s v="Sales"/>
    <s v="Retail"/>
    <n v="33"/>
    <s v="Hybrid"/>
    <n v="21"/>
    <n v="1"/>
    <n v="2"/>
    <s v="Low"/>
    <s v="Burnout"/>
    <s v="No"/>
    <s v="Increase"/>
    <n v="2"/>
    <s v="Satisfied"/>
    <n v="1"/>
    <s v="Weekly"/>
    <s v="Poor"/>
    <x v="3"/>
  </r>
  <r>
    <s v="EMP0022"/>
    <n v="26"/>
    <s v="Non-binary"/>
    <s v="Sales"/>
    <s v="Education"/>
    <n v="21"/>
    <s v="Onsite"/>
    <n v="54"/>
    <n v="12"/>
    <n v="3"/>
    <s v="Medium"/>
    <s v="Depression"/>
    <s v="No"/>
    <s v="Decrease"/>
    <n v="3"/>
    <s v="Unsatisfied"/>
    <n v="4"/>
    <s v="Daily"/>
    <s v="Poor"/>
    <x v="2"/>
  </r>
  <r>
    <s v="EMP0023"/>
    <n v="43"/>
    <s v="Prefer not to say"/>
    <s v="Sales"/>
    <s v="Finance"/>
    <n v="21"/>
    <s v="Onsite"/>
    <n v="57"/>
    <n v="1"/>
    <n v="3"/>
    <s v="Low"/>
    <s v="Depression"/>
    <s v="Yes"/>
    <s v="Increase"/>
    <n v="3"/>
    <s v="Satisfied"/>
    <n v="4"/>
    <s v="Daily"/>
    <s v="Average"/>
    <x v="5"/>
  </r>
  <r>
    <s v="EMP0024"/>
    <n v="53"/>
    <s v="Non-binary"/>
    <s v="Marketing"/>
    <s v="Consulting"/>
    <n v="11"/>
    <s v="Onsite"/>
    <n v="22"/>
    <n v="12"/>
    <n v="5"/>
    <s v="Low"/>
    <s v="Depression"/>
    <s v="No"/>
    <s v="No Change"/>
    <n v="2"/>
    <s v="Neutral"/>
    <n v="3"/>
    <s v="Weekly"/>
    <s v="Poor"/>
    <x v="1"/>
  </r>
  <r>
    <s v="EMP0025"/>
    <n v="56"/>
    <s v="Male"/>
    <s v="Sales"/>
    <s v="Finance"/>
    <n v="6"/>
    <s v="Remote"/>
    <n v="54"/>
    <n v="15"/>
    <n v="3"/>
    <s v="Low"/>
    <s v="Burnout"/>
    <s v="No"/>
    <s v="Increase"/>
    <n v="2"/>
    <s v="Neutral"/>
    <n v="4"/>
    <s v="Daily"/>
    <s v="Average"/>
    <x v="2"/>
  </r>
  <r>
    <s v="EMP0026"/>
    <n v="49"/>
    <s v="Male"/>
    <s v="Project Manager"/>
    <s v="Healthcare"/>
    <n v="23"/>
    <s v="Onsite"/>
    <n v="21"/>
    <n v="14"/>
    <n v="4"/>
    <s v="High"/>
    <s v="Burnout"/>
    <s v="No"/>
    <s v="No Change"/>
    <n v="4"/>
    <s v="Neutral"/>
    <n v="3"/>
    <s v="None"/>
    <s v="Good"/>
    <x v="3"/>
  </r>
  <r>
    <s v="EMP0027"/>
    <n v="36"/>
    <s v="Non-binary"/>
    <s v="Project Manager"/>
    <s v="Retail"/>
    <n v="30"/>
    <s v="Onsite"/>
    <n v="24"/>
    <n v="12"/>
    <n v="3"/>
    <s v="High"/>
    <s v="None"/>
    <s v="No"/>
    <s v="Decrease"/>
    <n v="4"/>
    <s v="Unsatisfied"/>
    <n v="4"/>
    <s v="None"/>
    <s v="Poor"/>
    <x v="2"/>
  </r>
  <r>
    <s v="EMP0028"/>
    <n v="53"/>
    <s v="Female"/>
    <s v="Project Manager"/>
    <s v="Retail"/>
    <n v="31"/>
    <s v="Onsite"/>
    <n v="56"/>
    <n v="4"/>
    <n v="4"/>
    <s v="Low"/>
    <s v="Depression"/>
    <s v="No"/>
    <s v="No Change"/>
    <n v="4"/>
    <s v="Unsatisfied"/>
    <n v="4"/>
    <s v="None"/>
    <s v="Poor"/>
    <x v="4"/>
  </r>
  <r>
    <s v="EMP0029"/>
    <n v="47"/>
    <s v="Prefer not to say"/>
    <s v="Sales"/>
    <s v="IT"/>
    <n v="22"/>
    <s v="Onsite"/>
    <n v="33"/>
    <n v="10"/>
    <n v="3"/>
    <s v="High"/>
    <s v="Depression"/>
    <s v="Yes"/>
    <s v="Decrease"/>
    <n v="4"/>
    <s v="Satisfied"/>
    <n v="1"/>
    <s v="Daily"/>
    <s v="Poor"/>
    <x v="0"/>
  </r>
  <r>
    <s v="EMP0030"/>
    <n v="59"/>
    <s v="Male"/>
    <s v="Software Engineer"/>
    <s v="Healthcare"/>
    <n v="34"/>
    <s v="Remote"/>
    <n v="25"/>
    <n v="15"/>
    <n v="2"/>
    <s v="High"/>
    <s v="Depression"/>
    <s v="Yes"/>
    <s v="No Change"/>
    <n v="3"/>
    <s v="Satisfied"/>
    <n v="1"/>
    <s v="Weekly"/>
    <s v="Poor"/>
    <x v="2"/>
  </r>
  <r>
    <s v="EMP0031"/>
    <n v="22"/>
    <s v="Female"/>
    <s v="Data Scientist"/>
    <s v="IT"/>
    <n v="22"/>
    <s v="Onsite"/>
    <n v="20"/>
    <n v="11"/>
    <n v="1"/>
    <s v="Low"/>
    <s v="Anxiety"/>
    <s v="Yes"/>
    <s v="No Change"/>
    <n v="5"/>
    <s v="Neutral"/>
    <n v="2"/>
    <s v="Weekly"/>
    <s v="Average"/>
    <x v="1"/>
  </r>
  <r>
    <s v="EMP0032"/>
    <n v="37"/>
    <s v="Prefer not to say"/>
    <s v="Marketing"/>
    <s v="Manufacturing"/>
    <n v="4"/>
    <s v="Hybrid"/>
    <n v="33"/>
    <n v="14"/>
    <n v="2"/>
    <s v="Medium"/>
    <s v="Depression"/>
    <s v="No"/>
    <s v="Decrease"/>
    <n v="3"/>
    <s v="Satisfied"/>
    <n v="5"/>
    <s v="None"/>
    <s v="Average"/>
    <x v="2"/>
  </r>
  <r>
    <s v="EMP0033"/>
    <n v="45"/>
    <s v="Prefer not to say"/>
    <s v="Project Manager"/>
    <s v="Manufacturing"/>
    <n v="29"/>
    <s v="Remote"/>
    <n v="20"/>
    <n v="14"/>
    <n v="2"/>
    <s v="Medium"/>
    <s v="Anxiety"/>
    <s v="Yes"/>
    <s v="Decrease"/>
    <n v="5"/>
    <s v="Satisfied"/>
    <n v="5"/>
    <s v="Daily"/>
    <s v="Good"/>
    <x v="2"/>
  </r>
  <r>
    <s v="EMP0034"/>
    <n v="48"/>
    <s v="Male"/>
    <s v="Software Engineer"/>
    <s v="Healthcare"/>
    <n v="27"/>
    <s v="Remote"/>
    <n v="26"/>
    <n v="9"/>
    <n v="3"/>
    <s v="Medium"/>
    <s v="Anxiety"/>
    <s v="Yes"/>
    <s v="No Change"/>
    <n v="5"/>
    <s v="Neutral"/>
    <n v="4"/>
    <s v="Daily"/>
    <s v="Average"/>
    <x v="2"/>
  </r>
  <r>
    <s v="EMP0035"/>
    <n v="36"/>
    <s v="Male"/>
    <s v="Designer"/>
    <s v="IT"/>
    <n v="24"/>
    <s v="Hybrid"/>
    <n v="22"/>
    <n v="6"/>
    <n v="4"/>
    <s v="Medium"/>
    <s v="Depression"/>
    <s v="No"/>
    <s v="No Change"/>
    <n v="1"/>
    <s v="Unsatisfied"/>
    <n v="3"/>
    <s v="Weekly"/>
    <s v="Average"/>
    <x v="0"/>
  </r>
  <r>
    <s v="EMP0036"/>
    <n v="46"/>
    <s v="Prefer not to say"/>
    <s v="Sales"/>
    <s v="Healthcare"/>
    <n v="28"/>
    <s v="Hybrid"/>
    <n v="57"/>
    <n v="8"/>
    <n v="4"/>
    <s v="Low"/>
    <s v="None"/>
    <s v="Yes"/>
    <s v="No Change"/>
    <n v="1"/>
    <s v="Neutral"/>
    <n v="5"/>
    <s v="None"/>
    <s v="Poor"/>
    <x v="0"/>
  </r>
  <r>
    <s v="EMP0037"/>
    <n v="48"/>
    <s v="Male"/>
    <s v="Sales"/>
    <s v="Finance"/>
    <n v="10"/>
    <s v="Onsite"/>
    <n v="30"/>
    <n v="12"/>
    <n v="1"/>
    <s v="Low"/>
    <s v="Depression"/>
    <s v="Yes"/>
    <s v="Decrease"/>
    <n v="5"/>
    <s v="Satisfied"/>
    <n v="3"/>
    <s v="None"/>
    <s v="Poor"/>
    <x v="1"/>
  </r>
  <r>
    <s v="EMP0038"/>
    <n v="31"/>
    <s v="Female"/>
    <s v="Designer"/>
    <s v="Healthcare"/>
    <n v="18"/>
    <s v="Remote"/>
    <n v="47"/>
    <n v="14"/>
    <n v="2"/>
    <s v="Low"/>
    <s v="None"/>
    <s v="Yes"/>
    <s v="Increase"/>
    <n v="2"/>
    <s v="Satisfied"/>
    <n v="5"/>
    <s v="Daily"/>
    <s v="Good"/>
    <x v="1"/>
  </r>
  <r>
    <s v="EMP0039"/>
    <n v="24"/>
    <s v="Non-binary"/>
    <s v="Sales"/>
    <s v="IT"/>
    <n v="21"/>
    <s v="Onsite"/>
    <n v="48"/>
    <n v="12"/>
    <n v="4"/>
    <s v="Low"/>
    <s v="Anxiety"/>
    <s v="Yes"/>
    <s v="No Change"/>
    <n v="3"/>
    <s v="Neutral"/>
    <n v="1"/>
    <s v="Weekly"/>
    <s v="Average"/>
    <x v="5"/>
  </r>
  <r>
    <s v="EMP0040"/>
    <n v="49"/>
    <s v="Male"/>
    <s v="Marketing"/>
    <s v="Consulting"/>
    <n v="20"/>
    <s v="Hybrid"/>
    <n v="20"/>
    <n v="1"/>
    <n v="3"/>
    <s v="High"/>
    <s v="None"/>
    <s v="No"/>
    <s v="Increase"/>
    <n v="1"/>
    <s v="Unsatisfied"/>
    <n v="5"/>
    <s v="Weekly"/>
    <s v="Poor"/>
    <x v="1"/>
  </r>
  <r>
    <s v="EMP0041"/>
    <n v="30"/>
    <s v="Non-binary"/>
    <s v="Data Scientist"/>
    <s v="IT"/>
    <n v="22"/>
    <s v="Remote"/>
    <n v="44"/>
    <n v="15"/>
    <n v="4"/>
    <s v="High"/>
    <s v="Burnout"/>
    <s v="No"/>
    <s v="Decrease"/>
    <n v="1"/>
    <s v="Neutral"/>
    <n v="5"/>
    <s v="Daily"/>
    <s v="Poor"/>
    <x v="0"/>
  </r>
  <r>
    <s v="EMP0042"/>
    <n v="53"/>
    <s v="Male"/>
    <s v="Project Manager"/>
    <s v="IT"/>
    <n v="14"/>
    <s v="Onsite"/>
    <n v="29"/>
    <n v="13"/>
    <n v="2"/>
    <s v="Low"/>
    <s v="None"/>
    <s v="No"/>
    <s v="No Change"/>
    <n v="1"/>
    <s v="Unsatisfied"/>
    <n v="5"/>
    <s v="None"/>
    <s v="Good"/>
    <x v="2"/>
  </r>
  <r>
    <s v="EMP0043"/>
    <n v="54"/>
    <s v="Prefer not to say"/>
    <s v="Project Manager"/>
    <s v="Finance"/>
    <n v="26"/>
    <s v="Remote"/>
    <n v="58"/>
    <n v="6"/>
    <n v="3"/>
    <s v="High"/>
    <s v="None"/>
    <s v="Yes"/>
    <s v="Increase"/>
    <n v="3"/>
    <s v="Unsatisfied"/>
    <n v="3"/>
    <s v="Weekly"/>
    <s v="Poor"/>
    <x v="0"/>
  </r>
  <r>
    <s v="EMP0044"/>
    <n v="54"/>
    <s v="Female"/>
    <s v="Designer"/>
    <s v="Manufacturing"/>
    <n v="12"/>
    <s v="Remote"/>
    <n v="53"/>
    <n v="12"/>
    <n v="4"/>
    <s v="Medium"/>
    <s v="Depression"/>
    <s v="Yes"/>
    <s v="No Change"/>
    <n v="1"/>
    <s v="Unsatisfied"/>
    <n v="3"/>
    <s v="None"/>
    <s v="Average"/>
    <x v="0"/>
  </r>
  <r>
    <s v="EMP0045"/>
    <n v="57"/>
    <s v="Prefer not to say"/>
    <s v="HR"/>
    <s v="Retail"/>
    <n v="13"/>
    <s v="Remote"/>
    <n v="23"/>
    <n v="6"/>
    <n v="3"/>
    <s v="High"/>
    <s v="Anxiety"/>
    <s v="Yes"/>
    <s v="No Change"/>
    <n v="5"/>
    <s v="Neutral"/>
    <n v="2"/>
    <s v="Daily"/>
    <s v="Good"/>
    <x v="3"/>
  </r>
  <r>
    <s v="EMP0046"/>
    <n v="32"/>
    <s v="Male"/>
    <s v="Marketing"/>
    <s v="Retail"/>
    <n v="24"/>
    <s v="Remote"/>
    <n v="42"/>
    <n v="8"/>
    <n v="2"/>
    <s v="Medium"/>
    <s v="Burnout"/>
    <s v="No"/>
    <s v="No Change"/>
    <n v="2"/>
    <s v="Neutral"/>
    <n v="3"/>
    <s v="Daily"/>
    <s v="Poor"/>
    <x v="2"/>
  </r>
  <r>
    <s v="EMP0047"/>
    <n v="33"/>
    <s v="Male"/>
    <s v="Data Scientist"/>
    <s v="Education"/>
    <n v="33"/>
    <s v="Remote"/>
    <n v="35"/>
    <n v="15"/>
    <n v="1"/>
    <s v="Medium"/>
    <s v="Burnout"/>
    <s v="Yes"/>
    <s v="Decrease"/>
    <n v="1"/>
    <s v="Unsatisfied"/>
    <n v="5"/>
    <s v="Weekly"/>
    <s v="Good"/>
    <x v="3"/>
  </r>
  <r>
    <s v="EMP0048"/>
    <n v="30"/>
    <s v="Female"/>
    <s v="Sales"/>
    <s v="Consulting"/>
    <n v="4"/>
    <s v="Remote"/>
    <n v="39"/>
    <n v="2"/>
    <n v="5"/>
    <s v="High"/>
    <s v="None"/>
    <s v="No"/>
    <s v="Decrease"/>
    <n v="1"/>
    <s v="Unsatisfied"/>
    <n v="4"/>
    <s v="None"/>
    <s v="Good"/>
    <x v="4"/>
  </r>
  <r>
    <s v="EMP0049"/>
    <n v="22"/>
    <s v="Female"/>
    <s v="HR"/>
    <s v="Healthcare"/>
    <n v="7"/>
    <s v="Onsite"/>
    <n v="29"/>
    <n v="9"/>
    <n v="4"/>
    <s v="Low"/>
    <s v="None"/>
    <s v="No"/>
    <s v="Increase"/>
    <n v="2"/>
    <s v="Neutral"/>
    <n v="3"/>
    <s v="Daily"/>
    <s v="Poor"/>
    <x v="5"/>
  </r>
  <r>
    <s v="EMP0050"/>
    <n v="35"/>
    <s v="Male"/>
    <s v="Project Manager"/>
    <s v="Retail"/>
    <n v="11"/>
    <s v="Onsite"/>
    <n v="37"/>
    <n v="3"/>
    <n v="4"/>
    <s v="Medium"/>
    <s v="Burnout"/>
    <s v="No"/>
    <s v="No Change"/>
    <n v="1"/>
    <s v="Satisfied"/>
    <n v="3"/>
    <s v="None"/>
    <s v="Average"/>
    <x v="0"/>
  </r>
  <r>
    <s v="EMP0051"/>
    <n v="26"/>
    <s v="Non-binary"/>
    <s v="HR"/>
    <s v="Manufacturing"/>
    <n v="34"/>
    <s v="Onsite"/>
    <n v="28"/>
    <n v="10"/>
    <n v="4"/>
    <s v="High"/>
    <s v="Anxiety"/>
    <s v="Yes"/>
    <s v="Decrease"/>
    <n v="5"/>
    <s v="Satisfied"/>
    <n v="4"/>
    <s v="Daily"/>
    <s v="Good"/>
    <x v="0"/>
  </r>
  <r>
    <s v="EMP0052"/>
    <n v="47"/>
    <s v="Male"/>
    <s v="Sales"/>
    <s v="Consulting"/>
    <n v="25"/>
    <s v="Remote"/>
    <n v="31"/>
    <n v="9"/>
    <n v="5"/>
    <s v="Low"/>
    <s v="None"/>
    <s v="No"/>
    <s v="Decrease"/>
    <n v="4"/>
    <s v="Satisfied"/>
    <n v="1"/>
    <s v="None"/>
    <s v="Good"/>
    <x v="3"/>
  </r>
  <r>
    <s v="EMP0053"/>
    <n v="42"/>
    <s v="Female"/>
    <s v="Software Engineer"/>
    <s v="Retail"/>
    <n v="3"/>
    <s v="Onsite"/>
    <n v="26"/>
    <n v="14"/>
    <n v="3"/>
    <s v="Medium"/>
    <s v="None"/>
    <s v="No"/>
    <s v="Decrease"/>
    <n v="2"/>
    <s v="Satisfied"/>
    <n v="2"/>
    <s v="Daily"/>
    <s v="Good"/>
    <x v="3"/>
  </r>
  <r>
    <s v="EMP0054"/>
    <n v="60"/>
    <s v="Prefer not to say"/>
    <s v="Project Manager"/>
    <s v="Healthcare"/>
    <n v="34"/>
    <s v="Onsite"/>
    <n v="46"/>
    <n v="15"/>
    <n v="2"/>
    <s v="Medium"/>
    <s v="Depression"/>
    <s v="Yes"/>
    <s v="No Change"/>
    <n v="1"/>
    <s v="Neutral"/>
    <n v="1"/>
    <s v="None"/>
    <s v="Average"/>
    <x v="1"/>
  </r>
  <r>
    <s v="EMP0055"/>
    <n v="26"/>
    <s v="Female"/>
    <s v="Software Engineer"/>
    <s v="Education"/>
    <n v="5"/>
    <s v="Hybrid"/>
    <n v="55"/>
    <n v="6"/>
    <n v="1"/>
    <s v="Medium"/>
    <s v="Burnout"/>
    <s v="Yes"/>
    <s v="Decrease"/>
    <n v="4"/>
    <s v="Satisfied"/>
    <n v="1"/>
    <s v="Daily"/>
    <s v="Poor"/>
    <x v="1"/>
  </r>
  <r>
    <s v="EMP0056"/>
    <n v="30"/>
    <s v="Non-binary"/>
    <s v="Project Manager"/>
    <s v="Education"/>
    <n v="8"/>
    <s v="Hybrid"/>
    <n v="47"/>
    <n v="12"/>
    <n v="3"/>
    <s v="Low"/>
    <s v="Anxiety"/>
    <s v="No"/>
    <s v="Increase"/>
    <n v="3"/>
    <s v="Neutral"/>
    <n v="5"/>
    <s v="Daily"/>
    <s v="Good"/>
    <x v="5"/>
  </r>
  <r>
    <s v="EMP0057"/>
    <n v="42"/>
    <s v="Male"/>
    <s v="Software Engineer"/>
    <s v="IT"/>
    <n v="14"/>
    <s v="Remote"/>
    <n v="48"/>
    <n v="13"/>
    <n v="5"/>
    <s v="Low"/>
    <s v="Depression"/>
    <s v="Yes"/>
    <s v="Increase"/>
    <n v="4"/>
    <s v="Neutral"/>
    <n v="5"/>
    <s v="None"/>
    <s v="Good"/>
    <x v="1"/>
  </r>
  <r>
    <s v="EMP0058"/>
    <n v="53"/>
    <s v="Prefer not to say"/>
    <s v="HR"/>
    <s v="IT"/>
    <n v="7"/>
    <s v="Onsite"/>
    <n v="49"/>
    <n v="6"/>
    <n v="5"/>
    <s v="Low"/>
    <s v="None"/>
    <s v="No"/>
    <s v="No Change"/>
    <n v="4"/>
    <s v="Satisfied"/>
    <n v="3"/>
    <s v="None"/>
    <s v="Average"/>
    <x v="3"/>
  </r>
  <r>
    <s v="EMP0059"/>
    <n v="26"/>
    <s v="Prefer not to say"/>
    <s v="Designer"/>
    <s v="Manufacturing"/>
    <n v="31"/>
    <s v="Remote"/>
    <n v="51"/>
    <n v="4"/>
    <n v="1"/>
    <s v="Low"/>
    <s v="None"/>
    <s v="No"/>
    <s v="Decrease"/>
    <n v="2"/>
    <s v="Unsatisfied"/>
    <n v="3"/>
    <s v="Daily"/>
    <s v="Average"/>
    <x v="4"/>
  </r>
  <r>
    <s v="EMP0060"/>
    <n v="26"/>
    <s v="Prefer not to say"/>
    <s v="Data Scientist"/>
    <s v="IT"/>
    <n v="17"/>
    <s v="Remote"/>
    <n v="57"/>
    <n v="13"/>
    <n v="2"/>
    <s v="Medium"/>
    <s v="None"/>
    <s v="Yes"/>
    <s v="No Change"/>
    <n v="1"/>
    <s v="Satisfied"/>
    <n v="5"/>
    <s v="Daily"/>
    <s v="Poor"/>
    <x v="4"/>
  </r>
  <r>
    <s v="EMP0061"/>
    <n v="25"/>
    <s v="Non-binary"/>
    <s v="Sales"/>
    <s v="Consulting"/>
    <n v="4"/>
    <s v="Hybrid"/>
    <n v="33"/>
    <n v="14"/>
    <n v="4"/>
    <s v="Medium"/>
    <s v="Depression"/>
    <s v="Yes"/>
    <s v="No Change"/>
    <n v="1"/>
    <s v="Unsatisfied"/>
    <n v="2"/>
    <s v="Daily"/>
    <s v="Good"/>
    <x v="0"/>
  </r>
  <r>
    <s v="EMP0062"/>
    <n v="33"/>
    <s v="Female"/>
    <s v="Sales"/>
    <s v="IT"/>
    <n v="14"/>
    <s v="Remote"/>
    <n v="30"/>
    <n v="15"/>
    <n v="2"/>
    <s v="Medium"/>
    <s v="Depression"/>
    <s v="Yes"/>
    <s v="Increase"/>
    <n v="5"/>
    <s v="Unsatisfied"/>
    <n v="5"/>
    <s v="Daily"/>
    <s v="Good"/>
    <x v="2"/>
  </r>
  <r>
    <s v="EMP0063"/>
    <n v="25"/>
    <s v="Non-binary"/>
    <s v="Project Manager"/>
    <s v="Finance"/>
    <n v="20"/>
    <s v="Hybrid"/>
    <n v="28"/>
    <n v="4"/>
    <n v="3"/>
    <s v="Medium"/>
    <s v="Depression"/>
    <s v="No"/>
    <s v="No Change"/>
    <n v="3"/>
    <s v="Satisfied"/>
    <n v="2"/>
    <s v="None"/>
    <s v="Poor"/>
    <x v="1"/>
  </r>
  <r>
    <s v="EMP0064"/>
    <n v="22"/>
    <s v="Female"/>
    <s v="Software Engineer"/>
    <s v="Healthcare"/>
    <n v="5"/>
    <s v="Onsite"/>
    <n v="31"/>
    <n v="15"/>
    <n v="3"/>
    <s v="Medium"/>
    <s v="Depression"/>
    <s v="Yes"/>
    <s v="No Change"/>
    <n v="2"/>
    <s v="Satisfied"/>
    <n v="5"/>
    <s v="None"/>
    <s v="Good"/>
    <x v="3"/>
  </r>
  <r>
    <s v="EMP0065"/>
    <n v="60"/>
    <s v="Prefer not to say"/>
    <s v="Data Scientist"/>
    <s v="Healthcare"/>
    <n v="18"/>
    <s v="Hybrid"/>
    <n v="37"/>
    <n v="0"/>
    <n v="4"/>
    <s v="Medium"/>
    <s v="Burnout"/>
    <s v="No"/>
    <s v="No Change"/>
    <n v="2"/>
    <s v="Unsatisfied"/>
    <n v="2"/>
    <s v="None"/>
    <s v="Good"/>
    <x v="4"/>
  </r>
  <r>
    <s v="EMP0066"/>
    <n v="56"/>
    <s v="Male"/>
    <s v="HR"/>
    <s v="Finance"/>
    <n v="9"/>
    <s v="Remote"/>
    <n v="31"/>
    <n v="3"/>
    <n v="4"/>
    <s v="Medium"/>
    <s v="Anxiety"/>
    <s v="Yes"/>
    <s v="Increase"/>
    <n v="4"/>
    <s v="Satisfied"/>
    <n v="4"/>
    <s v="Weekly"/>
    <s v="Poor"/>
    <x v="0"/>
  </r>
  <r>
    <s v="EMP0067"/>
    <n v="45"/>
    <s v="Non-binary"/>
    <s v="Software Engineer"/>
    <s v="IT"/>
    <n v="6"/>
    <s v="Hybrid"/>
    <n v="46"/>
    <n v="3"/>
    <n v="1"/>
    <s v="Medium"/>
    <s v="Burnout"/>
    <s v="No"/>
    <s v="Increase"/>
    <n v="3"/>
    <s v="Satisfied"/>
    <n v="2"/>
    <s v="Daily"/>
    <s v="Good"/>
    <x v="4"/>
  </r>
  <r>
    <s v="EMP0068"/>
    <n v="60"/>
    <s v="Female"/>
    <s v="Marketing"/>
    <s v="Education"/>
    <n v="32"/>
    <s v="Remote"/>
    <n v="20"/>
    <n v="6"/>
    <n v="2"/>
    <s v="High"/>
    <s v="None"/>
    <s v="Yes"/>
    <s v="Decrease"/>
    <n v="3"/>
    <s v="Unsatisfied"/>
    <n v="4"/>
    <s v="Weekly"/>
    <s v="Poor"/>
    <x v="4"/>
  </r>
  <r>
    <s v="EMP0069"/>
    <n v="32"/>
    <s v="Female"/>
    <s v="Designer"/>
    <s v="Manufacturing"/>
    <n v="23"/>
    <s v="Onsite"/>
    <n v="51"/>
    <n v="8"/>
    <n v="2"/>
    <s v="High"/>
    <s v="Anxiety"/>
    <s v="Yes"/>
    <s v="Decrease"/>
    <n v="3"/>
    <s v="Neutral"/>
    <n v="1"/>
    <s v="Daily"/>
    <s v="Average"/>
    <x v="3"/>
  </r>
  <r>
    <s v="EMP0070"/>
    <n v="25"/>
    <s v="Female"/>
    <s v="Marketing"/>
    <s v="Finance"/>
    <n v="6"/>
    <s v="Remote"/>
    <n v="28"/>
    <n v="13"/>
    <n v="2"/>
    <s v="Low"/>
    <s v="None"/>
    <s v="No"/>
    <s v="No Change"/>
    <n v="5"/>
    <s v="Neutral"/>
    <n v="1"/>
    <s v="Daily"/>
    <s v="Good"/>
    <x v="2"/>
  </r>
  <r>
    <s v="EMP0071"/>
    <n v="43"/>
    <s v="Prefer not to say"/>
    <s v="Marketing"/>
    <s v="Consulting"/>
    <n v="23"/>
    <s v="Onsite"/>
    <n v="39"/>
    <n v="4"/>
    <n v="4"/>
    <s v="Medium"/>
    <s v="Anxiety"/>
    <s v="No"/>
    <s v="Increase"/>
    <n v="4"/>
    <s v="Satisfied"/>
    <n v="1"/>
    <s v="Weekly"/>
    <s v="Average"/>
    <x v="2"/>
  </r>
  <r>
    <s v="EMP0072"/>
    <n v="50"/>
    <s v="Prefer not to say"/>
    <s v="Designer"/>
    <s v="Consulting"/>
    <n v="25"/>
    <s v="Remote"/>
    <n v="29"/>
    <n v="13"/>
    <n v="1"/>
    <s v="Medium"/>
    <s v="Depression"/>
    <s v="Yes"/>
    <s v="No Change"/>
    <n v="2"/>
    <s v="Neutral"/>
    <n v="2"/>
    <s v="Weekly"/>
    <s v="Average"/>
    <x v="4"/>
  </r>
  <r>
    <s v="EMP0073"/>
    <n v="28"/>
    <s v="Prefer not to say"/>
    <s v="Designer"/>
    <s v="Retail"/>
    <n v="15"/>
    <s v="Onsite"/>
    <n v="30"/>
    <n v="14"/>
    <n v="5"/>
    <s v="High"/>
    <s v="Burnout"/>
    <s v="Yes"/>
    <s v="No Change"/>
    <n v="2"/>
    <s v="Unsatisfied"/>
    <n v="1"/>
    <s v="Weekly"/>
    <s v="Good"/>
    <x v="5"/>
  </r>
  <r>
    <s v="EMP0074"/>
    <n v="23"/>
    <s v="Non-binary"/>
    <s v="Software Engineer"/>
    <s v="IT"/>
    <n v="29"/>
    <s v="Hybrid"/>
    <n v="53"/>
    <n v="7"/>
    <n v="3"/>
    <s v="High"/>
    <s v="Anxiety"/>
    <s v="Yes"/>
    <s v="Decrease"/>
    <n v="1"/>
    <s v="Neutral"/>
    <n v="1"/>
    <s v="None"/>
    <s v="Poor"/>
    <x v="5"/>
  </r>
  <r>
    <s v="EMP0075"/>
    <n v="38"/>
    <s v="Prefer not to say"/>
    <s v="Project Manager"/>
    <s v="Consulting"/>
    <n v="35"/>
    <s v="Onsite"/>
    <n v="57"/>
    <n v="10"/>
    <n v="2"/>
    <s v="Medium"/>
    <s v="Burnout"/>
    <s v="No"/>
    <s v="No Change"/>
    <n v="3"/>
    <s v="Neutral"/>
    <n v="3"/>
    <s v="Weekly"/>
    <s v="Poor"/>
    <x v="5"/>
  </r>
  <r>
    <s v="EMP0076"/>
    <n v="42"/>
    <s v="Male"/>
    <s v="Marketing"/>
    <s v="Retail"/>
    <n v="27"/>
    <s v="Onsite"/>
    <n v="49"/>
    <n v="3"/>
    <n v="5"/>
    <s v="High"/>
    <s v="Anxiety"/>
    <s v="Yes"/>
    <s v="No Change"/>
    <n v="4"/>
    <s v="Satisfied"/>
    <n v="3"/>
    <s v="None"/>
    <s v="Good"/>
    <x v="1"/>
  </r>
  <r>
    <s v="EMP0077"/>
    <n v="31"/>
    <s v="Non-binary"/>
    <s v="HR"/>
    <s v="Consulting"/>
    <n v="4"/>
    <s v="Onsite"/>
    <n v="55"/>
    <n v="8"/>
    <n v="4"/>
    <s v="High"/>
    <s v="Depression"/>
    <s v="No"/>
    <s v="No Change"/>
    <n v="1"/>
    <s v="Unsatisfied"/>
    <n v="2"/>
    <s v="Weekly"/>
    <s v="Good"/>
    <x v="0"/>
  </r>
  <r>
    <s v="EMP0078"/>
    <n v="28"/>
    <s v="Female"/>
    <s v="Marketing"/>
    <s v="Healthcare"/>
    <n v="25"/>
    <s v="Remote"/>
    <n v="37"/>
    <n v="10"/>
    <n v="5"/>
    <s v="Medium"/>
    <s v="Anxiety"/>
    <s v="Yes"/>
    <s v="No Change"/>
    <n v="1"/>
    <s v="Satisfied"/>
    <n v="1"/>
    <s v="Daily"/>
    <s v="Average"/>
    <x v="3"/>
  </r>
  <r>
    <s v="EMP0079"/>
    <n v="29"/>
    <s v="Male"/>
    <s v="Data Scientist"/>
    <s v="Manufacturing"/>
    <n v="15"/>
    <s v="Remote"/>
    <n v="51"/>
    <n v="5"/>
    <n v="2"/>
    <s v="High"/>
    <s v="Burnout"/>
    <s v="Yes"/>
    <s v="Increase"/>
    <n v="2"/>
    <s v="Neutral"/>
    <n v="1"/>
    <s v="Daily"/>
    <s v="Average"/>
    <x v="3"/>
  </r>
  <r>
    <s v="EMP0080"/>
    <n v="27"/>
    <s v="Male"/>
    <s v="Project Manager"/>
    <s v="Consulting"/>
    <n v="21"/>
    <s v="Hybrid"/>
    <n v="21"/>
    <n v="7"/>
    <n v="5"/>
    <s v="Low"/>
    <s v="Burnout"/>
    <s v="No"/>
    <s v="No Change"/>
    <n v="4"/>
    <s v="Unsatisfied"/>
    <n v="3"/>
    <s v="Weekly"/>
    <s v="Average"/>
    <x v="1"/>
  </r>
  <r>
    <s v="EMP0081"/>
    <n v="54"/>
    <s v="Female"/>
    <s v="Data Scientist"/>
    <s v="Education"/>
    <n v="5"/>
    <s v="Hybrid"/>
    <n v="21"/>
    <n v="10"/>
    <n v="3"/>
    <s v="High"/>
    <s v="Burnout"/>
    <s v="No"/>
    <s v="Decrease"/>
    <n v="4"/>
    <s v="Satisfied"/>
    <n v="4"/>
    <s v="None"/>
    <s v="Poor"/>
    <x v="1"/>
  </r>
  <r>
    <s v="EMP0082"/>
    <n v="42"/>
    <s v="Non-binary"/>
    <s v="Software Engineer"/>
    <s v="Finance"/>
    <n v="33"/>
    <s v="Onsite"/>
    <n v="44"/>
    <n v="9"/>
    <n v="4"/>
    <s v="High"/>
    <s v="Depression"/>
    <s v="Yes"/>
    <s v="Increase"/>
    <n v="3"/>
    <s v="Neutral"/>
    <n v="2"/>
    <s v="Daily"/>
    <s v="Poor"/>
    <x v="3"/>
  </r>
  <r>
    <s v="EMP0083"/>
    <n v="58"/>
    <s v="Prefer not to say"/>
    <s v="HR"/>
    <s v="Education"/>
    <n v="32"/>
    <s v="Hybrid"/>
    <n v="26"/>
    <n v="10"/>
    <n v="3"/>
    <s v="High"/>
    <s v="Depression"/>
    <s v="Yes"/>
    <s v="Increase"/>
    <n v="5"/>
    <s v="Unsatisfied"/>
    <n v="2"/>
    <s v="Weekly"/>
    <s v="Good"/>
    <x v="2"/>
  </r>
  <r>
    <s v="EMP0084"/>
    <n v="26"/>
    <s v="Female"/>
    <s v="Project Manager"/>
    <s v="Healthcare"/>
    <n v="15"/>
    <s v="Hybrid"/>
    <n v="43"/>
    <n v="6"/>
    <n v="4"/>
    <s v="High"/>
    <s v="Burnout"/>
    <s v="Yes"/>
    <s v="Increase"/>
    <n v="5"/>
    <s v="Unsatisfied"/>
    <n v="3"/>
    <s v="None"/>
    <s v="Poor"/>
    <x v="0"/>
  </r>
  <r>
    <s v="EMP0085"/>
    <n v="56"/>
    <s v="Male"/>
    <s v="Designer"/>
    <s v="Retail"/>
    <n v="9"/>
    <s v="Hybrid"/>
    <n v="42"/>
    <n v="14"/>
    <n v="4"/>
    <s v="Low"/>
    <s v="None"/>
    <s v="Yes"/>
    <s v="Decrease"/>
    <n v="2"/>
    <s v="Unsatisfied"/>
    <n v="5"/>
    <s v="None"/>
    <s v="Good"/>
    <x v="4"/>
  </r>
  <r>
    <s v="EMP0086"/>
    <n v="50"/>
    <s v="Male"/>
    <s v="Designer"/>
    <s v="Finance"/>
    <n v="20"/>
    <s v="Hybrid"/>
    <n v="44"/>
    <n v="8"/>
    <n v="4"/>
    <s v="Low"/>
    <s v="Burnout"/>
    <s v="No"/>
    <s v="No Change"/>
    <n v="2"/>
    <s v="Unsatisfied"/>
    <n v="4"/>
    <s v="Daily"/>
    <s v="Poor"/>
    <x v="1"/>
  </r>
  <r>
    <s v="EMP0087"/>
    <n v="55"/>
    <s v="Prefer not to say"/>
    <s v="Project Manager"/>
    <s v="Manufacturing"/>
    <n v="10"/>
    <s v="Onsite"/>
    <n v="27"/>
    <n v="0"/>
    <n v="1"/>
    <s v="Low"/>
    <s v="Anxiety"/>
    <s v="No"/>
    <s v="Decrease"/>
    <n v="1"/>
    <s v="Satisfied"/>
    <n v="1"/>
    <s v="Weekly"/>
    <s v="Poor"/>
    <x v="2"/>
  </r>
  <r>
    <s v="EMP0088"/>
    <n v="22"/>
    <s v="Prefer not to say"/>
    <s v="Data Scientist"/>
    <s v="Education"/>
    <n v="26"/>
    <s v="Hybrid"/>
    <n v="43"/>
    <n v="5"/>
    <n v="1"/>
    <s v="Medium"/>
    <s v="None"/>
    <s v="Yes"/>
    <s v="Increase"/>
    <n v="2"/>
    <s v="Unsatisfied"/>
    <n v="2"/>
    <s v="Weekly"/>
    <s v="Poor"/>
    <x v="5"/>
  </r>
  <r>
    <s v="EMP0089"/>
    <n v="24"/>
    <s v="Female"/>
    <s v="Designer"/>
    <s v="Consulting"/>
    <n v="11"/>
    <s v="Remote"/>
    <n v="38"/>
    <n v="0"/>
    <n v="5"/>
    <s v="High"/>
    <s v="Anxiety"/>
    <s v="Yes"/>
    <s v="Increase"/>
    <n v="5"/>
    <s v="Neutral"/>
    <n v="2"/>
    <s v="None"/>
    <s v="Poor"/>
    <x v="2"/>
  </r>
  <r>
    <s v="EMP0090"/>
    <n v="53"/>
    <s v="Prefer not to say"/>
    <s v="Marketing"/>
    <s v="Healthcare"/>
    <n v="23"/>
    <s v="Hybrid"/>
    <n v="38"/>
    <n v="4"/>
    <n v="4"/>
    <s v="Low"/>
    <s v="Depression"/>
    <s v="Yes"/>
    <s v="Increase"/>
    <n v="5"/>
    <s v="Unsatisfied"/>
    <n v="4"/>
    <s v="Daily"/>
    <s v="Poor"/>
    <x v="4"/>
  </r>
  <r>
    <s v="EMP0091"/>
    <n v="57"/>
    <s v="Female"/>
    <s v="Data Scientist"/>
    <s v="Retail"/>
    <n v="2"/>
    <s v="Onsite"/>
    <n v="57"/>
    <n v="4"/>
    <n v="4"/>
    <s v="Medium"/>
    <s v="Depression"/>
    <s v="No"/>
    <s v="No Change"/>
    <n v="4"/>
    <s v="Unsatisfied"/>
    <n v="2"/>
    <s v="Weekly"/>
    <s v="Average"/>
    <x v="5"/>
  </r>
  <r>
    <s v="EMP0092"/>
    <n v="22"/>
    <s v="Female"/>
    <s v="Software Engineer"/>
    <s v="Manufacturing"/>
    <n v="9"/>
    <s v="Onsite"/>
    <n v="60"/>
    <n v="3"/>
    <n v="1"/>
    <s v="High"/>
    <s v="Burnout"/>
    <s v="No"/>
    <s v="Decrease"/>
    <n v="3"/>
    <s v="Satisfied"/>
    <n v="5"/>
    <s v="Weekly"/>
    <s v="Good"/>
    <x v="3"/>
  </r>
  <r>
    <s v="EMP0093"/>
    <n v="41"/>
    <s v="Male"/>
    <s v="Data Scientist"/>
    <s v="IT"/>
    <n v="31"/>
    <s v="Onsite"/>
    <n v="29"/>
    <n v="0"/>
    <n v="5"/>
    <s v="Medium"/>
    <s v="Burnout"/>
    <s v="No"/>
    <s v="Increase"/>
    <n v="3"/>
    <s v="Satisfied"/>
    <n v="5"/>
    <s v="None"/>
    <s v="Poor"/>
    <x v="1"/>
  </r>
  <r>
    <s v="EMP0094"/>
    <n v="46"/>
    <s v="Non-binary"/>
    <s v="Data Scientist"/>
    <s v="Education"/>
    <n v="34"/>
    <s v="Remote"/>
    <n v="54"/>
    <n v="12"/>
    <n v="4"/>
    <s v="High"/>
    <s v="Depression"/>
    <s v="Yes"/>
    <s v="Decrease"/>
    <n v="2"/>
    <s v="Satisfied"/>
    <n v="4"/>
    <s v="None"/>
    <s v="Average"/>
    <x v="0"/>
  </r>
  <r>
    <s v="EMP0095"/>
    <n v="60"/>
    <s v="Non-binary"/>
    <s v="Project Manager"/>
    <s v="Education"/>
    <n v="11"/>
    <s v="Onsite"/>
    <n v="31"/>
    <n v="11"/>
    <n v="5"/>
    <s v="High"/>
    <s v="None"/>
    <s v="No"/>
    <s v="Decrease"/>
    <n v="2"/>
    <s v="Neutral"/>
    <n v="4"/>
    <s v="Weekly"/>
    <s v="Average"/>
    <x v="5"/>
  </r>
  <r>
    <s v="EMP0096"/>
    <n v="44"/>
    <s v="Female"/>
    <s v="Project Manager"/>
    <s v="Manufacturing"/>
    <n v="2"/>
    <s v="Remote"/>
    <n v="54"/>
    <n v="8"/>
    <n v="5"/>
    <s v="Low"/>
    <s v="Burnout"/>
    <s v="No"/>
    <s v="Decrease"/>
    <n v="1"/>
    <s v="Satisfied"/>
    <n v="3"/>
    <s v="None"/>
    <s v="Good"/>
    <x v="1"/>
  </r>
  <r>
    <s v="EMP0097"/>
    <n v="35"/>
    <s v="Male"/>
    <s v="Data Scientist"/>
    <s v="Healthcare"/>
    <n v="31"/>
    <s v="Hybrid"/>
    <n v="33"/>
    <n v="11"/>
    <n v="1"/>
    <s v="High"/>
    <s v="Burnout"/>
    <s v="No"/>
    <s v="Decrease"/>
    <n v="5"/>
    <s v="Neutral"/>
    <n v="5"/>
    <s v="Weekly"/>
    <s v="Poor"/>
    <x v="5"/>
  </r>
  <r>
    <s v="EMP0098"/>
    <n v="48"/>
    <s v="Male"/>
    <s v="Designer"/>
    <s v="IT"/>
    <n v="32"/>
    <s v="Hybrid"/>
    <n v="25"/>
    <n v="1"/>
    <n v="4"/>
    <s v="Low"/>
    <s v="Burnout"/>
    <s v="No"/>
    <s v="Increase"/>
    <n v="4"/>
    <s v="Neutral"/>
    <n v="3"/>
    <s v="Weekly"/>
    <s v="Average"/>
    <x v="3"/>
  </r>
  <r>
    <s v="EMP0099"/>
    <n v="31"/>
    <s v="Prefer not to say"/>
    <s v="Data Scientist"/>
    <s v="Healthcare"/>
    <n v="19"/>
    <s v="Onsite"/>
    <n v="21"/>
    <n v="15"/>
    <n v="1"/>
    <s v="Low"/>
    <s v="Burnout"/>
    <s v="No"/>
    <s v="No Change"/>
    <n v="4"/>
    <s v="Satisfied"/>
    <n v="5"/>
    <s v="Daily"/>
    <s v="Good"/>
    <x v="1"/>
  </r>
  <r>
    <s v="EMP0100"/>
    <n v="53"/>
    <s v="Male"/>
    <s v="Project Manager"/>
    <s v="IT"/>
    <n v="12"/>
    <s v="Hybrid"/>
    <n v="45"/>
    <n v="10"/>
    <n v="2"/>
    <s v="Medium"/>
    <s v="None"/>
    <s v="No"/>
    <s v="Decrease"/>
    <n v="3"/>
    <s v="Satisfied"/>
    <n v="4"/>
    <s v="Daily"/>
    <s v="Good"/>
    <x v="5"/>
  </r>
  <r>
    <s v="EMP0101"/>
    <n v="32"/>
    <s v="Prefer not to say"/>
    <s v="Designer"/>
    <s v="Manufacturing"/>
    <n v="32"/>
    <s v="Onsite"/>
    <n v="53"/>
    <n v="5"/>
    <n v="1"/>
    <s v="Medium"/>
    <s v="Depression"/>
    <s v="No"/>
    <s v="Increase"/>
    <n v="5"/>
    <s v="Satisfied"/>
    <n v="1"/>
    <s v="None"/>
    <s v="Poor"/>
    <x v="1"/>
  </r>
  <r>
    <s v="EMP0102"/>
    <n v="33"/>
    <s v="Prefer not to say"/>
    <s v="Sales"/>
    <s v="Consulting"/>
    <n v="9"/>
    <s v="Hybrid"/>
    <n v="46"/>
    <n v="12"/>
    <n v="1"/>
    <s v="High"/>
    <s v="Burnout"/>
    <s v="No"/>
    <s v="Increase"/>
    <n v="2"/>
    <s v="Neutral"/>
    <n v="2"/>
    <s v="Daily"/>
    <s v="Poor"/>
    <x v="5"/>
  </r>
  <r>
    <s v="EMP0103"/>
    <n v="45"/>
    <s v="Prefer not to say"/>
    <s v="Sales"/>
    <s v="IT"/>
    <n v="3"/>
    <s v="Hybrid"/>
    <n v="22"/>
    <n v="9"/>
    <n v="4"/>
    <s v="High"/>
    <s v="Burnout"/>
    <s v="No"/>
    <s v="No Change"/>
    <n v="4"/>
    <s v="Satisfied"/>
    <n v="4"/>
    <s v="None"/>
    <s v="Good"/>
    <x v="5"/>
  </r>
  <r>
    <s v="EMP0104"/>
    <n v="50"/>
    <s v="Male"/>
    <s v="Software Engineer"/>
    <s v="Finance"/>
    <n v="18"/>
    <s v="Hybrid"/>
    <n v="60"/>
    <n v="12"/>
    <n v="4"/>
    <s v="High"/>
    <s v="Depression"/>
    <s v="Yes"/>
    <s v="Increase"/>
    <n v="4"/>
    <s v="Satisfied"/>
    <n v="5"/>
    <s v="None"/>
    <s v="Good"/>
    <x v="5"/>
  </r>
  <r>
    <s v="EMP0105"/>
    <n v="41"/>
    <s v="Female"/>
    <s v="Designer"/>
    <s v="Education"/>
    <n v="30"/>
    <s v="Hybrid"/>
    <n v="42"/>
    <n v="2"/>
    <n v="4"/>
    <s v="Low"/>
    <s v="Depression"/>
    <s v="Yes"/>
    <s v="Decrease"/>
    <n v="4"/>
    <s v="Satisfied"/>
    <n v="3"/>
    <s v="Weekly"/>
    <s v="Average"/>
    <x v="5"/>
  </r>
  <r>
    <s v="EMP0106"/>
    <n v="43"/>
    <s v="Non-binary"/>
    <s v="Data Scientist"/>
    <s v="Healthcare"/>
    <n v="18"/>
    <s v="Onsite"/>
    <n v="60"/>
    <n v="2"/>
    <n v="3"/>
    <s v="High"/>
    <s v="Burnout"/>
    <s v="Yes"/>
    <s v="Increase"/>
    <n v="3"/>
    <s v="Neutral"/>
    <n v="3"/>
    <s v="Daily"/>
    <s v="Good"/>
    <x v="3"/>
  </r>
  <r>
    <s v="EMP0107"/>
    <n v="29"/>
    <s v="Prefer not to say"/>
    <s v="HR"/>
    <s v="IT"/>
    <n v="25"/>
    <s v="Onsite"/>
    <n v="35"/>
    <n v="14"/>
    <n v="1"/>
    <s v="Medium"/>
    <s v="Anxiety"/>
    <s v="Yes"/>
    <s v="Decrease"/>
    <n v="4"/>
    <s v="Neutral"/>
    <n v="2"/>
    <s v="Daily"/>
    <s v="Good"/>
    <x v="3"/>
  </r>
  <r>
    <s v="EMP0108"/>
    <n v="44"/>
    <s v="Prefer not to say"/>
    <s v="Software Engineer"/>
    <s v="Healthcare"/>
    <n v="27"/>
    <s v="Hybrid"/>
    <n v="44"/>
    <n v="2"/>
    <n v="2"/>
    <s v="High"/>
    <s v="Anxiety"/>
    <s v="No"/>
    <s v="Decrease"/>
    <n v="2"/>
    <s v="Satisfied"/>
    <n v="5"/>
    <s v="Weekly"/>
    <s v="Poor"/>
    <x v="0"/>
  </r>
  <r>
    <s v="EMP0109"/>
    <n v="50"/>
    <s v="Prefer not to say"/>
    <s v="Software Engineer"/>
    <s v="Healthcare"/>
    <n v="2"/>
    <s v="Remote"/>
    <n v="50"/>
    <n v="2"/>
    <n v="4"/>
    <s v="Medium"/>
    <s v="Burnout"/>
    <s v="No"/>
    <s v="No Change"/>
    <n v="1"/>
    <s v="Satisfied"/>
    <n v="2"/>
    <s v="Weekly"/>
    <s v="Poor"/>
    <x v="4"/>
  </r>
  <r>
    <s v="EMP0110"/>
    <n v="36"/>
    <s v="Male"/>
    <s v="Data Scientist"/>
    <s v="Finance"/>
    <n v="4"/>
    <s v="Remote"/>
    <n v="22"/>
    <n v="7"/>
    <n v="5"/>
    <s v="Low"/>
    <s v="Burnout"/>
    <s v="No"/>
    <s v="No Change"/>
    <n v="1"/>
    <s v="Neutral"/>
    <n v="5"/>
    <s v="Daily"/>
    <s v="Good"/>
    <x v="1"/>
  </r>
  <r>
    <s v="EMP0111"/>
    <n v="34"/>
    <s v="Female"/>
    <s v="Data Scientist"/>
    <s v="Education"/>
    <n v="29"/>
    <s v="Hybrid"/>
    <n v="29"/>
    <n v="13"/>
    <n v="3"/>
    <s v="High"/>
    <s v="Anxiety"/>
    <s v="Yes"/>
    <s v="Increase"/>
    <n v="5"/>
    <s v="Unsatisfied"/>
    <n v="5"/>
    <s v="Weekly"/>
    <s v="Average"/>
    <x v="5"/>
  </r>
  <r>
    <s v="EMP0112"/>
    <n v="49"/>
    <s v="Male"/>
    <s v="HR"/>
    <s v="Finance"/>
    <n v="30"/>
    <s v="Remote"/>
    <n v="34"/>
    <n v="8"/>
    <n v="5"/>
    <s v="Low"/>
    <s v="Burnout"/>
    <s v="No"/>
    <s v="Decrease"/>
    <n v="5"/>
    <s v="Unsatisfied"/>
    <n v="1"/>
    <s v="Weekly"/>
    <s v="Good"/>
    <x v="5"/>
  </r>
  <r>
    <s v="EMP0113"/>
    <n v="45"/>
    <s v="Female"/>
    <s v="Marketing"/>
    <s v="Retail"/>
    <n v="10"/>
    <s v="Remote"/>
    <n v="30"/>
    <n v="7"/>
    <n v="1"/>
    <s v="Low"/>
    <s v="Depression"/>
    <s v="Yes"/>
    <s v="Increase"/>
    <n v="1"/>
    <s v="Satisfied"/>
    <n v="5"/>
    <s v="None"/>
    <s v="Poor"/>
    <x v="0"/>
  </r>
  <r>
    <s v="EMP0114"/>
    <n v="45"/>
    <s v="Prefer not to say"/>
    <s v="Data Scientist"/>
    <s v="Retail"/>
    <n v="21"/>
    <s v="Onsite"/>
    <n v="53"/>
    <n v="0"/>
    <n v="3"/>
    <s v="Low"/>
    <s v="None"/>
    <s v="Yes"/>
    <s v="Decrease"/>
    <n v="1"/>
    <s v="Neutral"/>
    <n v="5"/>
    <s v="Daily"/>
    <s v="Poor"/>
    <x v="0"/>
  </r>
  <r>
    <s v="EMP0115"/>
    <n v="53"/>
    <s v="Female"/>
    <s v="Designer"/>
    <s v="Healthcare"/>
    <n v="25"/>
    <s v="Remote"/>
    <n v="29"/>
    <n v="5"/>
    <n v="2"/>
    <s v="High"/>
    <s v="Anxiety"/>
    <s v="No"/>
    <s v="No Change"/>
    <n v="5"/>
    <s v="Neutral"/>
    <n v="3"/>
    <s v="None"/>
    <s v="Poor"/>
    <x v="4"/>
  </r>
  <r>
    <s v="EMP0116"/>
    <n v="29"/>
    <s v="Male"/>
    <s v="Marketing"/>
    <s v="Education"/>
    <n v="35"/>
    <s v="Onsite"/>
    <n v="27"/>
    <n v="1"/>
    <n v="3"/>
    <s v="Medium"/>
    <s v="Anxiety"/>
    <s v="Yes"/>
    <s v="No Change"/>
    <n v="3"/>
    <s v="Unsatisfied"/>
    <n v="3"/>
    <s v="Weekly"/>
    <s v="Good"/>
    <x v="3"/>
  </r>
  <r>
    <s v="EMP0117"/>
    <n v="34"/>
    <s v="Prefer not to say"/>
    <s v="Project Manager"/>
    <s v="Finance"/>
    <n v="5"/>
    <s v="Onsite"/>
    <n v="44"/>
    <n v="14"/>
    <n v="3"/>
    <s v="Medium"/>
    <s v="Burnout"/>
    <s v="No"/>
    <s v="Increase"/>
    <n v="5"/>
    <s v="Satisfied"/>
    <n v="3"/>
    <s v="Daily"/>
    <s v="Good"/>
    <x v="2"/>
  </r>
  <r>
    <s v="EMP0118"/>
    <n v="58"/>
    <s v="Female"/>
    <s v="Data Scientist"/>
    <s v="Education"/>
    <n v="25"/>
    <s v="Remote"/>
    <n v="42"/>
    <n v="13"/>
    <n v="2"/>
    <s v="High"/>
    <s v="Burnout"/>
    <s v="No"/>
    <s v="Increase"/>
    <n v="5"/>
    <s v="Satisfied"/>
    <n v="3"/>
    <s v="Daily"/>
    <s v="Good"/>
    <x v="0"/>
  </r>
  <r>
    <s v="EMP0119"/>
    <n v="38"/>
    <s v="Female"/>
    <s v="Data Scientist"/>
    <s v="Manufacturing"/>
    <n v="1"/>
    <s v="Hybrid"/>
    <n v="22"/>
    <n v="4"/>
    <n v="2"/>
    <s v="Medium"/>
    <s v="Burnout"/>
    <s v="Yes"/>
    <s v="Increase"/>
    <n v="5"/>
    <s v="Satisfied"/>
    <n v="3"/>
    <s v="Daily"/>
    <s v="Average"/>
    <x v="0"/>
  </r>
  <r>
    <s v="EMP0120"/>
    <n v="40"/>
    <s v="Prefer not to say"/>
    <s v="Project Manager"/>
    <s v="Consulting"/>
    <n v="27"/>
    <s v="Hybrid"/>
    <n v="34"/>
    <n v="13"/>
    <n v="2"/>
    <s v="Medium"/>
    <s v="None"/>
    <s v="Yes"/>
    <s v="Decrease"/>
    <n v="2"/>
    <s v="Unsatisfied"/>
    <n v="5"/>
    <s v="Daily"/>
    <s v="Average"/>
    <x v="5"/>
  </r>
  <r>
    <s v="EMP0121"/>
    <n v="45"/>
    <s v="Prefer not to say"/>
    <s v="Project Manager"/>
    <s v="Manufacturing"/>
    <n v="29"/>
    <s v="Onsite"/>
    <n v="51"/>
    <n v="13"/>
    <n v="2"/>
    <s v="High"/>
    <s v="Anxiety"/>
    <s v="No"/>
    <s v="Decrease"/>
    <n v="2"/>
    <s v="Neutral"/>
    <n v="5"/>
    <s v="Daily"/>
    <s v="Average"/>
    <x v="3"/>
  </r>
  <r>
    <s v="EMP0122"/>
    <n v="43"/>
    <s v="Non-binary"/>
    <s v="Marketing"/>
    <s v="Retail"/>
    <n v="18"/>
    <s v="Hybrid"/>
    <n v="48"/>
    <n v="6"/>
    <n v="5"/>
    <s v="High"/>
    <s v="Depression"/>
    <s v="Yes"/>
    <s v="No Change"/>
    <n v="2"/>
    <s v="Unsatisfied"/>
    <n v="3"/>
    <s v="None"/>
    <s v="Good"/>
    <x v="0"/>
  </r>
  <r>
    <s v="EMP0123"/>
    <n v="50"/>
    <s v="Male"/>
    <s v="Software Engineer"/>
    <s v="Healthcare"/>
    <n v="35"/>
    <s v="Onsite"/>
    <n v="30"/>
    <n v="10"/>
    <n v="2"/>
    <s v="High"/>
    <s v="Anxiety"/>
    <s v="Yes"/>
    <s v="No Change"/>
    <n v="3"/>
    <s v="Unsatisfied"/>
    <n v="1"/>
    <s v="None"/>
    <s v="Good"/>
    <x v="5"/>
  </r>
  <r>
    <s v="EMP0124"/>
    <n v="58"/>
    <s v="Prefer not to say"/>
    <s v="Sales"/>
    <s v="Consulting"/>
    <n v="14"/>
    <s v="Onsite"/>
    <n v="59"/>
    <n v="7"/>
    <n v="2"/>
    <s v="Low"/>
    <s v="None"/>
    <s v="Yes"/>
    <s v="Increase"/>
    <n v="1"/>
    <s v="Satisfied"/>
    <n v="5"/>
    <s v="Weekly"/>
    <s v="Average"/>
    <x v="2"/>
  </r>
  <r>
    <s v="EMP0125"/>
    <n v="42"/>
    <s v="Non-binary"/>
    <s v="HR"/>
    <s v="Manufacturing"/>
    <n v="27"/>
    <s v="Remote"/>
    <n v="26"/>
    <n v="14"/>
    <n v="2"/>
    <s v="High"/>
    <s v="Depression"/>
    <s v="Yes"/>
    <s v="No Change"/>
    <n v="1"/>
    <s v="Unsatisfied"/>
    <n v="4"/>
    <s v="Daily"/>
    <s v="Average"/>
    <x v="3"/>
  </r>
  <r>
    <s v="EMP0126"/>
    <n v="53"/>
    <s v="Prefer not to say"/>
    <s v="Data Scientist"/>
    <s v="Finance"/>
    <n v="27"/>
    <s v="Hybrid"/>
    <n v="60"/>
    <n v="1"/>
    <n v="3"/>
    <s v="Low"/>
    <s v="Burnout"/>
    <s v="No"/>
    <s v="Increase"/>
    <n v="5"/>
    <s v="Unsatisfied"/>
    <n v="4"/>
    <s v="None"/>
    <s v="Average"/>
    <x v="3"/>
  </r>
  <r>
    <s v="EMP0127"/>
    <n v="36"/>
    <s v="Female"/>
    <s v="Marketing"/>
    <s v="Retail"/>
    <n v="8"/>
    <s v="Onsite"/>
    <n v="38"/>
    <n v="2"/>
    <n v="2"/>
    <s v="Medium"/>
    <s v="Burnout"/>
    <s v="Yes"/>
    <s v="Decrease"/>
    <n v="2"/>
    <s v="Unsatisfied"/>
    <n v="1"/>
    <s v="Daily"/>
    <s v="Good"/>
    <x v="2"/>
  </r>
  <r>
    <s v="EMP0128"/>
    <n v="51"/>
    <s v="Female"/>
    <s v="Project Manager"/>
    <s v="Finance"/>
    <n v="21"/>
    <s v="Remote"/>
    <n v="34"/>
    <n v="0"/>
    <n v="5"/>
    <s v="High"/>
    <s v="None"/>
    <s v="Yes"/>
    <s v="Decrease"/>
    <n v="2"/>
    <s v="Unsatisfied"/>
    <n v="2"/>
    <s v="None"/>
    <s v="Average"/>
    <x v="0"/>
  </r>
  <r>
    <s v="EMP0129"/>
    <n v="27"/>
    <s v="Female"/>
    <s v="Designer"/>
    <s v="Consulting"/>
    <n v="15"/>
    <s v="Onsite"/>
    <n v="46"/>
    <n v="12"/>
    <n v="4"/>
    <s v="Medium"/>
    <s v="Burnout"/>
    <s v="No"/>
    <s v="No Change"/>
    <n v="2"/>
    <s v="Unsatisfied"/>
    <n v="2"/>
    <s v="Daily"/>
    <s v="Poor"/>
    <x v="0"/>
  </r>
  <r>
    <s v="EMP0130"/>
    <n v="22"/>
    <s v="Female"/>
    <s v="Sales"/>
    <s v="Retail"/>
    <n v="21"/>
    <s v="Hybrid"/>
    <n v="35"/>
    <n v="2"/>
    <n v="3"/>
    <s v="Low"/>
    <s v="None"/>
    <s v="Yes"/>
    <s v="Decrease"/>
    <n v="5"/>
    <s v="Unsatisfied"/>
    <n v="3"/>
    <s v="None"/>
    <s v="Average"/>
    <x v="4"/>
  </r>
  <r>
    <s v="EMP0131"/>
    <n v="32"/>
    <s v="Female"/>
    <s v="Designer"/>
    <s v="Education"/>
    <n v="16"/>
    <s v="Remote"/>
    <n v="23"/>
    <n v="9"/>
    <n v="1"/>
    <s v="Medium"/>
    <s v="None"/>
    <s v="No"/>
    <s v="No Change"/>
    <n v="5"/>
    <s v="Neutral"/>
    <n v="5"/>
    <s v="Weekly"/>
    <s v="Good"/>
    <x v="5"/>
  </r>
  <r>
    <s v="EMP0132"/>
    <n v="32"/>
    <s v="Female"/>
    <s v="Marketing"/>
    <s v="Manufacturing"/>
    <n v="26"/>
    <s v="Remote"/>
    <n v="28"/>
    <n v="15"/>
    <n v="5"/>
    <s v="Low"/>
    <s v="Burnout"/>
    <s v="Yes"/>
    <s v="Increase"/>
    <n v="2"/>
    <s v="Unsatisfied"/>
    <n v="4"/>
    <s v="Weekly"/>
    <s v="Average"/>
    <x v="5"/>
  </r>
  <r>
    <s v="EMP0133"/>
    <n v="53"/>
    <s v="Male"/>
    <s v="Marketing"/>
    <s v="Retail"/>
    <n v="4"/>
    <s v="Onsite"/>
    <n v="57"/>
    <n v="10"/>
    <n v="3"/>
    <s v="Medium"/>
    <s v="None"/>
    <s v="No"/>
    <s v="No Change"/>
    <n v="4"/>
    <s v="Neutral"/>
    <n v="2"/>
    <s v="Weekly"/>
    <s v="Good"/>
    <x v="3"/>
  </r>
  <r>
    <s v="EMP0134"/>
    <n v="26"/>
    <s v="Non-binary"/>
    <s v="Marketing"/>
    <s v="Manufacturing"/>
    <n v="29"/>
    <s v="Hybrid"/>
    <n v="29"/>
    <n v="4"/>
    <n v="1"/>
    <s v="Low"/>
    <s v="None"/>
    <s v="Yes"/>
    <s v="Decrease"/>
    <n v="4"/>
    <s v="Satisfied"/>
    <n v="2"/>
    <s v="Weekly"/>
    <s v="Good"/>
    <x v="0"/>
  </r>
  <r>
    <s v="EMP0135"/>
    <n v="60"/>
    <s v="Male"/>
    <s v="Marketing"/>
    <s v="Finance"/>
    <n v="2"/>
    <s v="Hybrid"/>
    <n v="39"/>
    <n v="1"/>
    <n v="4"/>
    <s v="Medium"/>
    <s v="None"/>
    <s v="No"/>
    <s v="Increase"/>
    <n v="5"/>
    <s v="Unsatisfied"/>
    <n v="2"/>
    <s v="Weekly"/>
    <s v="Poor"/>
    <x v="4"/>
  </r>
  <r>
    <s v="EMP0136"/>
    <n v="51"/>
    <s v="Non-binary"/>
    <s v="Marketing"/>
    <s v="IT"/>
    <n v="26"/>
    <s v="Remote"/>
    <n v="46"/>
    <n v="4"/>
    <n v="5"/>
    <s v="Medium"/>
    <s v="Burnout"/>
    <s v="No"/>
    <s v="Increase"/>
    <n v="4"/>
    <s v="Unsatisfied"/>
    <n v="5"/>
    <s v="None"/>
    <s v="Good"/>
    <x v="4"/>
  </r>
  <r>
    <s v="EMP0137"/>
    <n v="44"/>
    <s v="Male"/>
    <s v="Data Scientist"/>
    <s v="Healthcare"/>
    <n v="14"/>
    <s v="Remote"/>
    <n v="26"/>
    <n v="9"/>
    <n v="2"/>
    <s v="High"/>
    <s v="Burnout"/>
    <s v="No"/>
    <s v="No Change"/>
    <n v="4"/>
    <s v="Neutral"/>
    <n v="5"/>
    <s v="Daily"/>
    <s v="Good"/>
    <x v="3"/>
  </r>
  <r>
    <s v="EMP0138"/>
    <n v="48"/>
    <s v="Non-binary"/>
    <s v="Sales"/>
    <s v="IT"/>
    <n v="10"/>
    <s v="Remote"/>
    <n v="32"/>
    <n v="4"/>
    <n v="4"/>
    <s v="Medium"/>
    <s v="None"/>
    <s v="Yes"/>
    <s v="No Change"/>
    <n v="5"/>
    <s v="Satisfied"/>
    <n v="5"/>
    <s v="Weekly"/>
    <s v="Poor"/>
    <x v="4"/>
  </r>
  <r>
    <s v="EMP0139"/>
    <n v="57"/>
    <s v="Non-binary"/>
    <s v="Data Scientist"/>
    <s v="Education"/>
    <n v="34"/>
    <s v="Remote"/>
    <n v="30"/>
    <n v="11"/>
    <n v="3"/>
    <s v="High"/>
    <s v="None"/>
    <s v="No"/>
    <s v="Increase"/>
    <n v="3"/>
    <s v="Unsatisfied"/>
    <n v="5"/>
    <s v="None"/>
    <s v="Poor"/>
    <x v="2"/>
  </r>
  <r>
    <s v="EMP0140"/>
    <n v="49"/>
    <s v="Non-binary"/>
    <s v="Project Manager"/>
    <s v="Education"/>
    <n v="11"/>
    <s v="Hybrid"/>
    <n v="48"/>
    <n v="3"/>
    <n v="5"/>
    <s v="Low"/>
    <s v="Anxiety"/>
    <s v="Yes"/>
    <s v="Decrease"/>
    <n v="5"/>
    <s v="Satisfied"/>
    <n v="1"/>
    <s v="Weekly"/>
    <s v="Average"/>
    <x v="1"/>
  </r>
  <r>
    <s v="EMP0141"/>
    <n v="32"/>
    <s v="Non-binary"/>
    <s v="Project Manager"/>
    <s v="Education"/>
    <n v="12"/>
    <s v="Onsite"/>
    <n v="44"/>
    <n v="13"/>
    <n v="1"/>
    <s v="High"/>
    <s v="Anxiety"/>
    <s v="Yes"/>
    <s v="Decrease"/>
    <n v="1"/>
    <s v="Satisfied"/>
    <n v="5"/>
    <s v="Weekly"/>
    <s v="Poor"/>
    <x v="5"/>
  </r>
  <r>
    <s v="EMP0142"/>
    <n v="49"/>
    <s v="Female"/>
    <s v="Project Manager"/>
    <s v="Healthcare"/>
    <n v="29"/>
    <s v="Hybrid"/>
    <n v="49"/>
    <n v="15"/>
    <n v="5"/>
    <s v="Low"/>
    <s v="Burnout"/>
    <s v="Yes"/>
    <s v="Decrease"/>
    <n v="5"/>
    <s v="Neutral"/>
    <n v="4"/>
    <s v="None"/>
    <s v="Poor"/>
    <x v="1"/>
  </r>
  <r>
    <s v="EMP0143"/>
    <n v="23"/>
    <s v="Female"/>
    <s v="Designer"/>
    <s v="Manufacturing"/>
    <n v="11"/>
    <s v="Hybrid"/>
    <n v="23"/>
    <n v="0"/>
    <n v="5"/>
    <s v="High"/>
    <s v="None"/>
    <s v="No"/>
    <s v="No Change"/>
    <n v="2"/>
    <s v="Unsatisfied"/>
    <n v="1"/>
    <s v="Weekly"/>
    <s v="Poor"/>
    <x v="0"/>
  </r>
  <r>
    <s v="EMP0144"/>
    <n v="55"/>
    <s v="Prefer not to say"/>
    <s v="Designer"/>
    <s v="Finance"/>
    <n v="3"/>
    <s v="Onsite"/>
    <n v="33"/>
    <n v="6"/>
    <n v="5"/>
    <s v="Low"/>
    <s v="Burnout"/>
    <s v="No"/>
    <s v="No Change"/>
    <n v="4"/>
    <s v="Satisfied"/>
    <n v="2"/>
    <s v="Daily"/>
    <s v="Good"/>
    <x v="2"/>
  </r>
  <r>
    <s v="EMP0145"/>
    <n v="47"/>
    <s v="Non-binary"/>
    <s v="HR"/>
    <s v="Education"/>
    <n v="18"/>
    <s v="Remote"/>
    <n v="35"/>
    <n v="15"/>
    <n v="5"/>
    <s v="High"/>
    <s v="Anxiety"/>
    <s v="No"/>
    <s v="No Change"/>
    <n v="4"/>
    <s v="Unsatisfied"/>
    <n v="2"/>
    <s v="Daily"/>
    <s v="Average"/>
    <x v="1"/>
  </r>
  <r>
    <s v="EMP0146"/>
    <n v="48"/>
    <s v="Non-binary"/>
    <s v="Marketing"/>
    <s v="Consulting"/>
    <n v="5"/>
    <s v="Remote"/>
    <n v="41"/>
    <n v="8"/>
    <n v="3"/>
    <s v="Medium"/>
    <s v="Depression"/>
    <s v="Yes"/>
    <s v="Decrease"/>
    <n v="4"/>
    <s v="Satisfied"/>
    <n v="4"/>
    <s v="Weekly"/>
    <s v="Poor"/>
    <x v="0"/>
  </r>
  <r>
    <s v="EMP0147"/>
    <n v="36"/>
    <s v="Prefer not to say"/>
    <s v="Software Engineer"/>
    <s v="Healthcare"/>
    <n v="3"/>
    <s v="Hybrid"/>
    <n v="34"/>
    <n v="12"/>
    <n v="2"/>
    <s v="Low"/>
    <s v="Depression"/>
    <s v="No"/>
    <s v="Increase"/>
    <n v="4"/>
    <s v="Neutral"/>
    <n v="3"/>
    <s v="Daily"/>
    <s v="Average"/>
    <x v="5"/>
  </r>
  <r>
    <s v="EMP0148"/>
    <n v="45"/>
    <s v="Male"/>
    <s v="Designer"/>
    <s v="Finance"/>
    <n v="14"/>
    <s v="Remote"/>
    <n v="44"/>
    <n v="10"/>
    <n v="1"/>
    <s v="Low"/>
    <s v="Anxiety"/>
    <s v="Yes"/>
    <s v="No Change"/>
    <n v="1"/>
    <s v="Unsatisfied"/>
    <n v="5"/>
    <s v="Daily"/>
    <s v="Average"/>
    <x v="2"/>
  </r>
  <r>
    <s v="EMP0149"/>
    <n v="41"/>
    <s v="Female"/>
    <s v="Designer"/>
    <s v="IT"/>
    <n v="10"/>
    <s v="Onsite"/>
    <n v="52"/>
    <n v="8"/>
    <n v="4"/>
    <s v="High"/>
    <s v="Depression"/>
    <s v="Yes"/>
    <s v="Decrease"/>
    <n v="3"/>
    <s v="Satisfied"/>
    <n v="4"/>
    <s v="Daily"/>
    <s v="Good"/>
    <x v="4"/>
  </r>
  <r>
    <s v="EMP0150"/>
    <n v="50"/>
    <s v="Male"/>
    <s v="Designer"/>
    <s v="Consulting"/>
    <n v="17"/>
    <s v="Onsite"/>
    <n v="57"/>
    <n v="11"/>
    <n v="2"/>
    <s v="Low"/>
    <s v="Burnout"/>
    <s v="Yes"/>
    <s v="Decrease"/>
    <n v="1"/>
    <s v="Unsatisfied"/>
    <n v="3"/>
    <s v="Weekly"/>
    <s v="Good"/>
    <x v="4"/>
  </r>
  <r>
    <s v="EMP0151"/>
    <n v="41"/>
    <s v="Female"/>
    <s v="Software Engineer"/>
    <s v="Consulting"/>
    <n v="34"/>
    <s v="Remote"/>
    <n v="32"/>
    <n v="15"/>
    <n v="3"/>
    <s v="High"/>
    <s v="Anxiety"/>
    <s v="Yes"/>
    <s v="Decrease"/>
    <n v="2"/>
    <s v="Unsatisfied"/>
    <n v="3"/>
    <s v="Weekly"/>
    <s v="Average"/>
    <x v="4"/>
  </r>
  <r>
    <s v="EMP0152"/>
    <n v="57"/>
    <s v="Female"/>
    <s v="Designer"/>
    <s v="Consulting"/>
    <n v="20"/>
    <s v="Remote"/>
    <n v="31"/>
    <n v="6"/>
    <n v="4"/>
    <s v="Low"/>
    <s v="Burnout"/>
    <s v="No"/>
    <s v="No Change"/>
    <n v="3"/>
    <s v="Satisfied"/>
    <n v="4"/>
    <s v="Daily"/>
    <s v="Poor"/>
    <x v="4"/>
  </r>
  <r>
    <s v="EMP0153"/>
    <n v="30"/>
    <s v="Male"/>
    <s v="Software Engineer"/>
    <s v="Healthcare"/>
    <n v="29"/>
    <s v="Hybrid"/>
    <n v="58"/>
    <n v="15"/>
    <n v="1"/>
    <s v="Medium"/>
    <s v="Burnout"/>
    <s v="No"/>
    <s v="Increase"/>
    <n v="2"/>
    <s v="Unsatisfied"/>
    <n v="2"/>
    <s v="Weekly"/>
    <s v="Poor"/>
    <x v="5"/>
  </r>
  <r>
    <s v="EMP0154"/>
    <n v="23"/>
    <s v="Female"/>
    <s v="Data Scientist"/>
    <s v="Consulting"/>
    <n v="31"/>
    <s v="Remote"/>
    <n v="26"/>
    <n v="9"/>
    <n v="1"/>
    <s v="Medium"/>
    <s v="Depression"/>
    <s v="Yes"/>
    <s v="No Change"/>
    <n v="2"/>
    <s v="Unsatisfied"/>
    <n v="2"/>
    <s v="None"/>
    <s v="Poor"/>
    <x v="1"/>
  </r>
  <r>
    <s v="EMP0155"/>
    <n v="30"/>
    <s v="Male"/>
    <s v="Software Engineer"/>
    <s v="Consulting"/>
    <n v="17"/>
    <s v="Remote"/>
    <n v="57"/>
    <n v="5"/>
    <n v="1"/>
    <s v="Low"/>
    <s v="None"/>
    <s v="Yes"/>
    <s v="No Change"/>
    <n v="2"/>
    <s v="Unsatisfied"/>
    <n v="4"/>
    <s v="Weekly"/>
    <s v="Average"/>
    <x v="2"/>
  </r>
  <r>
    <s v="EMP0156"/>
    <n v="47"/>
    <s v="Female"/>
    <s v="Project Manager"/>
    <s v="Healthcare"/>
    <n v="31"/>
    <s v="Onsite"/>
    <n v="20"/>
    <n v="8"/>
    <n v="1"/>
    <s v="Low"/>
    <s v="None"/>
    <s v="No"/>
    <s v="Decrease"/>
    <n v="4"/>
    <s v="Neutral"/>
    <n v="1"/>
    <s v="None"/>
    <s v="Good"/>
    <x v="2"/>
  </r>
  <r>
    <s v="EMP0157"/>
    <n v="33"/>
    <s v="Prefer not to say"/>
    <s v="Project Manager"/>
    <s v="Finance"/>
    <n v="23"/>
    <s v="Hybrid"/>
    <n v="26"/>
    <n v="0"/>
    <n v="4"/>
    <s v="High"/>
    <s v="None"/>
    <s v="No"/>
    <s v="Decrease"/>
    <n v="1"/>
    <s v="Satisfied"/>
    <n v="2"/>
    <s v="Weekly"/>
    <s v="Average"/>
    <x v="3"/>
  </r>
  <r>
    <s v="EMP0158"/>
    <n v="32"/>
    <s v="Male"/>
    <s v="Data Scientist"/>
    <s v="Finance"/>
    <n v="21"/>
    <s v="Hybrid"/>
    <n v="43"/>
    <n v="15"/>
    <n v="3"/>
    <s v="High"/>
    <s v="Depression"/>
    <s v="No"/>
    <s v="No Change"/>
    <n v="4"/>
    <s v="Neutral"/>
    <n v="3"/>
    <s v="Weekly"/>
    <s v="Good"/>
    <x v="2"/>
  </r>
  <r>
    <s v="EMP0159"/>
    <n v="43"/>
    <s v="Male"/>
    <s v="Designer"/>
    <s v="Manufacturing"/>
    <n v="6"/>
    <s v="Onsite"/>
    <n v="50"/>
    <n v="14"/>
    <n v="3"/>
    <s v="Low"/>
    <s v="Depression"/>
    <s v="Yes"/>
    <s v="Increase"/>
    <n v="1"/>
    <s v="Unsatisfied"/>
    <n v="3"/>
    <s v="Daily"/>
    <s v="Average"/>
    <x v="3"/>
  </r>
  <r>
    <s v="EMP0160"/>
    <n v="43"/>
    <s v="Non-binary"/>
    <s v="Software Engineer"/>
    <s v="Healthcare"/>
    <n v="14"/>
    <s v="Onsite"/>
    <n v="52"/>
    <n v="0"/>
    <n v="5"/>
    <s v="High"/>
    <s v="Burnout"/>
    <s v="No"/>
    <s v="Increase"/>
    <n v="2"/>
    <s v="Satisfied"/>
    <n v="3"/>
    <s v="Weekly"/>
    <s v="Good"/>
    <x v="4"/>
  </r>
  <r>
    <s v="EMP0161"/>
    <n v="35"/>
    <s v="Female"/>
    <s v="Marketing"/>
    <s v="IT"/>
    <n v="34"/>
    <s v="Hybrid"/>
    <n v="37"/>
    <n v="1"/>
    <n v="4"/>
    <s v="Medium"/>
    <s v="Anxiety"/>
    <s v="No"/>
    <s v="Decrease"/>
    <n v="2"/>
    <s v="Satisfied"/>
    <n v="1"/>
    <s v="None"/>
    <s v="Average"/>
    <x v="5"/>
  </r>
  <r>
    <s v="EMP0162"/>
    <n v="40"/>
    <s v="Female"/>
    <s v="Data Scientist"/>
    <s v="Education"/>
    <n v="24"/>
    <s v="Hybrid"/>
    <n v="38"/>
    <n v="0"/>
    <n v="3"/>
    <s v="High"/>
    <s v="None"/>
    <s v="Yes"/>
    <s v="No Change"/>
    <n v="4"/>
    <s v="Neutral"/>
    <n v="1"/>
    <s v="None"/>
    <s v="Average"/>
    <x v="5"/>
  </r>
  <r>
    <s v="EMP0163"/>
    <n v="29"/>
    <s v="Prefer not to say"/>
    <s v="Designer"/>
    <s v="Consulting"/>
    <n v="3"/>
    <s v="Hybrid"/>
    <n v="55"/>
    <n v="11"/>
    <n v="1"/>
    <s v="High"/>
    <s v="Depression"/>
    <s v="No"/>
    <s v="Increase"/>
    <n v="1"/>
    <s v="Unsatisfied"/>
    <n v="2"/>
    <s v="Weekly"/>
    <s v="Poor"/>
    <x v="3"/>
  </r>
  <r>
    <s v="EMP0164"/>
    <n v="24"/>
    <s v="Non-binary"/>
    <s v="Data Scientist"/>
    <s v="Manufacturing"/>
    <n v="5"/>
    <s v="Hybrid"/>
    <n v="53"/>
    <n v="14"/>
    <n v="1"/>
    <s v="Medium"/>
    <s v="None"/>
    <s v="No"/>
    <s v="Increase"/>
    <n v="3"/>
    <s v="Neutral"/>
    <n v="1"/>
    <s v="Weekly"/>
    <s v="Average"/>
    <x v="5"/>
  </r>
  <r>
    <s v="EMP0165"/>
    <n v="40"/>
    <s v="Male"/>
    <s v="Software Engineer"/>
    <s v="Healthcare"/>
    <n v="11"/>
    <s v="Onsite"/>
    <n v="20"/>
    <n v="13"/>
    <n v="1"/>
    <s v="Medium"/>
    <s v="Burnout"/>
    <s v="No"/>
    <s v="Increase"/>
    <n v="5"/>
    <s v="Neutral"/>
    <n v="1"/>
    <s v="None"/>
    <s v="Good"/>
    <x v="4"/>
  </r>
  <r>
    <s v="EMP0166"/>
    <n v="22"/>
    <s v="Female"/>
    <s v="Software Engineer"/>
    <s v="Manufacturing"/>
    <n v="10"/>
    <s v="Hybrid"/>
    <n v="46"/>
    <n v="1"/>
    <n v="2"/>
    <s v="Low"/>
    <s v="Anxiety"/>
    <s v="Yes"/>
    <s v="Increase"/>
    <n v="1"/>
    <s v="Neutral"/>
    <n v="5"/>
    <s v="Daily"/>
    <s v="Poor"/>
    <x v="5"/>
  </r>
  <r>
    <s v="EMP0167"/>
    <n v="48"/>
    <s v="Non-binary"/>
    <s v="Software Engineer"/>
    <s v="Education"/>
    <n v="35"/>
    <s v="Onsite"/>
    <n v="30"/>
    <n v="8"/>
    <n v="2"/>
    <s v="Low"/>
    <s v="Depression"/>
    <s v="Yes"/>
    <s v="No Change"/>
    <n v="3"/>
    <s v="Satisfied"/>
    <n v="2"/>
    <s v="None"/>
    <s v="Average"/>
    <x v="5"/>
  </r>
  <r>
    <s v="EMP0168"/>
    <n v="60"/>
    <s v="Non-binary"/>
    <s v="Software Engineer"/>
    <s v="Retail"/>
    <n v="27"/>
    <s v="Remote"/>
    <n v="50"/>
    <n v="8"/>
    <n v="2"/>
    <s v="High"/>
    <s v="Anxiety"/>
    <s v="No"/>
    <s v="No Change"/>
    <n v="3"/>
    <s v="Satisfied"/>
    <n v="3"/>
    <s v="Daily"/>
    <s v="Poor"/>
    <x v="1"/>
  </r>
  <r>
    <s v="EMP0169"/>
    <n v="34"/>
    <s v="Prefer not to say"/>
    <s v="HR"/>
    <s v="Healthcare"/>
    <n v="15"/>
    <s v="Remote"/>
    <n v="50"/>
    <n v="13"/>
    <n v="2"/>
    <s v="Medium"/>
    <s v="None"/>
    <s v="Yes"/>
    <s v="No Change"/>
    <n v="3"/>
    <s v="Satisfied"/>
    <n v="2"/>
    <s v="Daily"/>
    <s v="Average"/>
    <x v="0"/>
  </r>
  <r>
    <s v="EMP0170"/>
    <n v="50"/>
    <s v="Prefer not to say"/>
    <s v="Project Manager"/>
    <s v="Manufacturing"/>
    <n v="10"/>
    <s v="Hybrid"/>
    <n v="50"/>
    <n v="0"/>
    <n v="1"/>
    <s v="Low"/>
    <s v="Burnout"/>
    <s v="Yes"/>
    <s v="Increase"/>
    <n v="5"/>
    <s v="Satisfied"/>
    <n v="3"/>
    <s v="Daily"/>
    <s v="Poor"/>
    <x v="0"/>
  </r>
  <r>
    <s v="EMP0171"/>
    <n v="38"/>
    <s v="Male"/>
    <s v="Designer"/>
    <s v="Retail"/>
    <n v="19"/>
    <s v="Remote"/>
    <n v="23"/>
    <n v="7"/>
    <n v="1"/>
    <s v="Low"/>
    <s v="None"/>
    <s v="No"/>
    <s v="Increase"/>
    <n v="4"/>
    <s v="Neutral"/>
    <n v="3"/>
    <s v="None"/>
    <s v="Poor"/>
    <x v="2"/>
  </r>
  <r>
    <s v="EMP0172"/>
    <n v="36"/>
    <s v="Male"/>
    <s v="Data Scientist"/>
    <s v="Retail"/>
    <n v="33"/>
    <s v="Onsite"/>
    <n v="45"/>
    <n v="3"/>
    <n v="4"/>
    <s v="Medium"/>
    <s v="Depression"/>
    <s v="No"/>
    <s v="Decrease"/>
    <n v="3"/>
    <s v="Unsatisfied"/>
    <n v="4"/>
    <s v="None"/>
    <s v="Good"/>
    <x v="0"/>
  </r>
  <r>
    <s v="EMP0173"/>
    <n v="35"/>
    <s v="Non-binary"/>
    <s v="Software Engineer"/>
    <s v="Finance"/>
    <n v="11"/>
    <s v="Hybrid"/>
    <n v="25"/>
    <n v="4"/>
    <n v="1"/>
    <s v="Medium"/>
    <s v="Burnout"/>
    <s v="No"/>
    <s v="No Change"/>
    <n v="4"/>
    <s v="Satisfied"/>
    <n v="3"/>
    <s v="Weekly"/>
    <s v="Good"/>
    <x v="3"/>
  </r>
  <r>
    <s v="EMP0174"/>
    <n v="25"/>
    <s v="Prefer not to say"/>
    <s v="Designer"/>
    <s v="Manufacturing"/>
    <n v="35"/>
    <s v="Remote"/>
    <n v="36"/>
    <n v="9"/>
    <n v="2"/>
    <s v="High"/>
    <s v="None"/>
    <s v="Yes"/>
    <s v="Increase"/>
    <n v="1"/>
    <s v="Neutral"/>
    <n v="4"/>
    <s v="Weekly"/>
    <s v="Good"/>
    <x v="2"/>
  </r>
  <r>
    <s v="EMP0175"/>
    <n v="34"/>
    <s v="Non-binary"/>
    <s v="HR"/>
    <s v="Education"/>
    <n v="10"/>
    <s v="Onsite"/>
    <n v="60"/>
    <n v="3"/>
    <n v="2"/>
    <s v="Low"/>
    <s v="None"/>
    <s v="Yes"/>
    <s v="Decrease"/>
    <n v="3"/>
    <s v="Unsatisfied"/>
    <n v="5"/>
    <s v="Daily"/>
    <s v="Good"/>
    <x v="0"/>
  </r>
  <r>
    <s v="EMP0176"/>
    <n v="32"/>
    <s v="Prefer not to say"/>
    <s v="Project Manager"/>
    <s v="Healthcare"/>
    <n v="12"/>
    <s v="Remote"/>
    <n v="35"/>
    <n v="7"/>
    <n v="3"/>
    <s v="Low"/>
    <s v="Anxiety"/>
    <s v="Yes"/>
    <s v="No Change"/>
    <n v="5"/>
    <s v="Satisfied"/>
    <n v="4"/>
    <s v="Daily"/>
    <s v="Average"/>
    <x v="0"/>
  </r>
  <r>
    <s v="EMP0177"/>
    <n v="58"/>
    <s v="Prefer not to say"/>
    <s v="Marketing"/>
    <s v="Manufacturing"/>
    <n v="14"/>
    <s v="Hybrid"/>
    <n v="55"/>
    <n v="12"/>
    <n v="3"/>
    <s v="Medium"/>
    <s v="Depression"/>
    <s v="No"/>
    <s v="No Change"/>
    <n v="5"/>
    <s v="Satisfied"/>
    <n v="4"/>
    <s v="None"/>
    <s v="Good"/>
    <x v="2"/>
  </r>
  <r>
    <s v="EMP0178"/>
    <n v="40"/>
    <s v="Female"/>
    <s v="Project Manager"/>
    <s v="Finance"/>
    <n v="31"/>
    <s v="Onsite"/>
    <n v="47"/>
    <n v="10"/>
    <n v="1"/>
    <s v="Medium"/>
    <s v="None"/>
    <s v="No"/>
    <s v="Decrease"/>
    <n v="3"/>
    <s v="Neutral"/>
    <n v="2"/>
    <s v="Weekly"/>
    <s v="Good"/>
    <x v="0"/>
  </r>
  <r>
    <s v="EMP0179"/>
    <n v="56"/>
    <s v="Female"/>
    <s v="HR"/>
    <s v="Healthcare"/>
    <n v="32"/>
    <s v="Hybrid"/>
    <n v="57"/>
    <n v="10"/>
    <n v="4"/>
    <s v="High"/>
    <s v="None"/>
    <s v="No"/>
    <s v="Increase"/>
    <n v="4"/>
    <s v="Satisfied"/>
    <n v="4"/>
    <s v="None"/>
    <s v="Good"/>
    <x v="3"/>
  </r>
  <r>
    <s v="EMP0180"/>
    <n v="44"/>
    <s v="Non-binary"/>
    <s v="HR"/>
    <s v="Education"/>
    <n v="17"/>
    <s v="Hybrid"/>
    <n v="22"/>
    <n v="9"/>
    <n v="2"/>
    <s v="Medium"/>
    <s v="None"/>
    <s v="Yes"/>
    <s v="Decrease"/>
    <n v="3"/>
    <s v="Unsatisfied"/>
    <n v="1"/>
    <s v="None"/>
    <s v="Good"/>
    <x v="3"/>
  </r>
  <r>
    <s v="EMP0181"/>
    <n v="30"/>
    <s v="Non-binary"/>
    <s v="Data Scientist"/>
    <s v="IT"/>
    <n v="22"/>
    <s v="Remote"/>
    <n v="43"/>
    <n v="5"/>
    <n v="1"/>
    <s v="Medium"/>
    <s v="Burnout"/>
    <s v="Yes"/>
    <s v="Decrease"/>
    <n v="5"/>
    <s v="Neutral"/>
    <n v="2"/>
    <s v="Daily"/>
    <s v="Poor"/>
    <x v="0"/>
  </r>
  <r>
    <s v="EMP0182"/>
    <n v="49"/>
    <s v="Non-binary"/>
    <s v="Marketing"/>
    <s v="Consulting"/>
    <n v="29"/>
    <s v="Remote"/>
    <n v="45"/>
    <n v="9"/>
    <n v="5"/>
    <s v="Low"/>
    <s v="None"/>
    <s v="Yes"/>
    <s v="Decrease"/>
    <n v="4"/>
    <s v="Unsatisfied"/>
    <n v="4"/>
    <s v="Weekly"/>
    <s v="Good"/>
    <x v="3"/>
  </r>
  <r>
    <s v="EMP0183"/>
    <n v="26"/>
    <s v="Male"/>
    <s v="Designer"/>
    <s v="Healthcare"/>
    <n v="21"/>
    <s v="Onsite"/>
    <n v="56"/>
    <n v="14"/>
    <n v="2"/>
    <s v="Low"/>
    <s v="Burnout"/>
    <s v="Yes"/>
    <s v="Increase"/>
    <n v="4"/>
    <s v="Satisfied"/>
    <n v="1"/>
    <s v="Weekly"/>
    <s v="Average"/>
    <x v="0"/>
  </r>
  <r>
    <s v="EMP0184"/>
    <n v="52"/>
    <s v="Male"/>
    <s v="Data Scientist"/>
    <s v="IT"/>
    <n v="22"/>
    <s v="Onsite"/>
    <n v="46"/>
    <n v="14"/>
    <n v="3"/>
    <s v="High"/>
    <s v="Depression"/>
    <s v="No"/>
    <s v="No Change"/>
    <n v="3"/>
    <s v="Neutral"/>
    <n v="2"/>
    <s v="Daily"/>
    <s v="Good"/>
    <x v="5"/>
  </r>
  <r>
    <s v="EMP0185"/>
    <n v="24"/>
    <s v="Prefer not to say"/>
    <s v="HR"/>
    <s v="Manufacturing"/>
    <n v="13"/>
    <s v="Hybrid"/>
    <n v="60"/>
    <n v="0"/>
    <n v="5"/>
    <s v="Medium"/>
    <s v="Depression"/>
    <s v="No"/>
    <s v="Decrease"/>
    <n v="1"/>
    <s v="Neutral"/>
    <n v="2"/>
    <s v="Daily"/>
    <s v="Good"/>
    <x v="0"/>
  </r>
  <r>
    <s v="EMP0186"/>
    <n v="40"/>
    <s v="Non-binary"/>
    <s v="Designer"/>
    <s v="Consulting"/>
    <n v="12"/>
    <s v="Remote"/>
    <n v="32"/>
    <n v="9"/>
    <n v="1"/>
    <s v="Medium"/>
    <s v="Depression"/>
    <s v="No"/>
    <s v="No Change"/>
    <n v="1"/>
    <s v="Unsatisfied"/>
    <n v="1"/>
    <s v="None"/>
    <s v="Average"/>
    <x v="1"/>
  </r>
  <r>
    <s v="EMP0187"/>
    <n v="57"/>
    <s v="Non-binary"/>
    <s v="HR"/>
    <s v="Manufacturing"/>
    <n v="11"/>
    <s v="Hybrid"/>
    <n v="59"/>
    <n v="13"/>
    <n v="5"/>
    <s v="Medium"/>
    <s v="Anxiety"/>
    <s v="Yes"/>
    <s v="Decrease"/>
    <n v="5"/>
    <s v="Unsatisfied"/>
    <n v="4"/>
    <s v="Weekly"/>
    <s v="Average"/>
    <x v="4"/>
  </r>
  <r>
    <s v="EMP0188"/>
    <n v="23"/>
    <s v="Prefer not to say"/>
    <s v="Software Engineer"/>
    <s v="Consulting"/>
    <n v="17"/>
    <s v="Onsite"/>
    <n v="60"/>
    <n v="13"/>
    <n v="5"/>
    <s v="High"/>
    <s v="None"/>
    <s v="No"/>
    <s v="No Change"/>
    <n v="5"/>
    <s v="Neutral"/>
    <n v="5"/>
    <s v="Daily"/>
    <s v="Good"/>
    <x v="4"/>
  </r>
  <r>
    <s v="EMP0189"/>
    <n v="40"/>
    <s v="Prefer not to say"/>
    <s v="Data Scientist"/>
    <s v="IT"/>
    <n v="35"/>
    <s v="Hybrid"/>
    <n v="43"/>
    <n v="4"/>
    <n v="5"/>
    <s v="High"/>
    <s v="Burnout"/>
    <s v="No"/>
    <s v="No Change"/>
    <n v="2"/>
    <s v="Unsatisfied"/>
    <n v="3"/>
    <s v="Weekly"/>
    <s v="Average"/>
    <x v="4"/>
  </r>
  <r>
    <s v="EMP0190"/>
    <n v="45"/>
    <s v="Male"/>
    <s v="Data Scientist"/>
    <s v="Education"/>
    <n v="15"/>
    <s v="Remote"/>
    <n v="33"/>
    <n v="8"/>
    <n v="1"/>
    <s v="Low"/>
    <s v="Burnout"/>
    <s v="Yes"/>
    <s v="No Change"/>
    <n v="4"/>
    <s v="Satisfied"/>
    <n v="2"/>
    <s v="None"/>
    <s v="Poor"/>
    <x v="2"/>
  </r>
  <r>
    <s v="EMP0191"/>
    <n v="46"/>
    <s v="Female"/>
    <s v="Data Scientist"/>
    <s v="Finance"/>
    <n v="11"/>
    <s v="Hybrid"/>
    <n v="20"/>
    <n v="14"/>
    <n v="3"/>
    <s v="Low"/>
    <s v="None"/>
    <s v="No"/>
    <s v="Decrease"/>
    <n v="5"/>
    <s v="Satisfied"/>
    <n v="2"/>
    <s v="Daily"/>
    <s v="Average"/>
    <x v="0"/>
  </r>
  <r>
    <s v="EMP0192"/>
    <n v="37"/>
    <s v="Female"/>
    <s v="Software Engineer"/>
    <s v="Retail"/>
    <n v="16"/>
    <s v="Hybrid"/>
    <n v="27"/>
    <n v="2"/>
    <n v="1"/>
    <s v="Medium"/>
    <s v="Anxiety"/>
    <s v="Yes"/>
    <s v="No Change"/>
    <n v="4"/>
    <s v="Unsatisfied"/>
    <n v="3"/>
    <s v="Weekly"/>
    <s v="Poor"/>
    <x v="2"/>
  </r>
  <r>
    <s v="EMP0193"/>
    <n v="51"/>
    <s v="Female"/>
    <s v="Software Engineer"/>
    <s v="Healthcare"/>
    <n v="4"/>
    <s v="Onsite"/>
    <n v="43"/>
    <n v="1"/>
    <n v="5"/>
    <s v="Medium"/>
    <s v="Depression"/>
    <s v="No"/>
    <s v="No Change"/>
    <n v="4"/>
    <s v="Unsatisfied"/>
    <n v="2"/>
    <s v="Weekly"/>
    <s v="Average"/>
    <x v="3"/>
  </r>
  <r>
    <s v="EMP0194"/>
    <n v="52"/>
    <s v="Male"/>
    <s v="Sales"/>
    <s v="IT"/>
    <n v="29"/>
    <s v="Onsite"/>
    <n v="23"/>
    <n v="12"/>
    <n v="2"/>
    <s v="Medium"/>
    <s v="Depression"/>
    <s v="No"/>
    <s v="Decrease"/>
    <n v="5"/>
    <s v="Neutral"/>
    <n v="1"/>
    <s v="Daily"/>
    <s v="Average"/>
    <x v="3"/>
  </r>
  <r>
    <s v="EMP0195"/>
    <n v="53"/>
    <s v="Male"/>
    <s v="Data Scientist"/>
    <s v="Education"/>
    <n v="22"/>
    <s v="Onsite"/>
    <n v="29"/>
    <n v="0"/>
    <n v="1"/>
    <s v="Medium"/>
    <s v="Burnout"/>
    <s v="No"/>
    <s v="No Change"/>
    <n v="4"/>
    <s v="Neutral"/>
    <n v="4"/>
    <s v="None"/>
    <s v="Good"/>
    <x v="5"/>
  </r>
  <r>
    <s v="EMP0196"/>
    <n v="39"/>
    <s v="Male"/>
    <s v="Sales"/>
    <s v="Education"/>
    <n v="7"/>
    <s v="Remote"/>
    <n v="47"/>
    <n v="0"/>
    <n v="2"/>
    <s v="Medium"/>
    <s v="None"/>
    <s v="No"/>
    <s v="Decrease"/>
    <n v="5"/>
    <s v="Neutral"/>
    <n v="4"/>
    <s v="None"/>
    <s v="Poor"/>
    <x v="2"/>
  </r>
  <r>
    <s v="EMP0197"/>
    <n v="56"/>
    <s v="Female"/>
    <s v="Designer"/>
    <s v="Healthcare"/>
    <n v="28"/>
    <s v="Onsite"/>
    <n v="46"/>
    <n v="12"/>
    <n v="1"/>
    <s v="Low"/>
    <s v="Anxiety"/>
    <s v="Yes"/>
    <s v="Increase"/>
    <n v="3"/>
    <s v="Neutral"/>
    <n v="5"/>
    <s v="None"/>
    <s v="Good"/>
    <x v="4"/>
  </r>
  <r>
    <s v="EMP0198"/>
    <n v="59"/>
    <s v="Non-binary"/>
    <s v="Marketing"/>
    <s v="Manufacturing"/>
    <n v="13"/>
    <s v="Hybrid"/>
    <n v="40"/>
    <n v="2"/>
    <n v="1"/>
    <s v="Low"/>
    <s v="None"/>
    <s v="Yes"/>
    <s v="Decrease"/>
    <n v="1"/>
    <s v="Neutral"/>
    <n v="4"/>
    <s v="Weekly"/>
    <s v="Average"/>
    <x v="3"/>
  </r>
  <r>
    <s v="EMP0199"/>
    <n v="28"/>
    <s v="Male"/>
    <s v="Project Manager"/>
    <s v="Retail"/>
    <n v="7"/>
    <s v="Remote"/>
    <n v="47"/>
    <n v="0"/>
    <n v="4"/>
    <s v="High"/>
    <s v="Burnout"/>
    <s v="Yes"/>
    <s v="Decrease"/>
    <n v="1"/>
    <s v="Unsatisfied"/>
    <n v="3"/>
    <s v="Daily"/>
    <s v="Poor"/>
    <x v="4"/>
  </r>
  <r>
    <s v="EMP0200"/>
    <n v="36"/>
    <s v="Female"/>
    <s v="Data Scientist"/>
    <s v="Finance"/>
    <n v="3"/>
    <s v="Remote"/>
    <n v="53"/>
    <n v="7"/>
    <n v="3"/>
    <s v="High"/>
    <s v="Burnout"/>
    <s v="No"/>
    <s v="Decrease"/>
    <n v="2"/>
    <s v="Unsatisfied"/>
    <n v="2"/>
    <s v="Daily"/>
    <s v="Average"/>
    <x v="3"/>
  </r>
  <r>
    <s v="EMP0201"/>
    <n v="45"/>
    <s v="Non-binary"/>
    <s v="Sales"/>
    <s v="Education"/>
    <n v="3"/>
    <s v="Hybrid"/>
    <n v="55"/>
    <n v="14"/>
    <n v="4"/>
    <s v="Medium"/>
    <s v="Burnout"/>
    <s v="No"/>
    <s v="Increase"/>
    <n v="4"/>
    <s v="Neutral"/>
    <n v="1"/>
    <s v="Daily"/>
    <s v="Average"/>
    <x v="4"/>
  </r>
  <r>
    <s v="EMP0202"/>
    <n v="52"/>
    <s v="Male"/>
    <s v="Sales"/>
    <s v="Retail"/>
    <n v="2"/>
    <s v="Remote"/>
    <n v="40"/>
    <n v="1"/>
    <n v="2"/>
    <s v="Medium"/>
    <s v="Anxiety"/>
    <s v="No"/>
    <s v="Decrease"/>
    <n v="2"/>
    <s v="Neutral"/>
    <n v="3"/>
    <s v="Weekly"/>
    <s v="Good"/>
    <x v="1"/>
  </r>
  <r>
    <s v="EMP0203"/>
    <n v="55"/>
    <s v="Female"/>
    <s v="Project Manager"/>
    <s v="IT"/>
    <n v="32"/>
    <s v="Hybrid"/>
    <n v="28"/>
    <n v="8"/>
    <n v="5"/>
    <s v="Low"/>
    <s v="Depression"/>
    <s v="No"/>
    <s v="Decrease"/>
    <n v="2"/>
    <s v="Satisfied"/>
    <n v="1"/>
    <s v="None"/>
    <s v="Poor"/>
    <x v="1"/>
  </r>
  <r>
    <s v="EMP0204"/>
    <n v="58"/>
    <s v="Male"/>
    <s v="Sales"/>
    <s v="Consulting"/>
    <n v="18"/>
    <s v="Hybrid"/>
    <n v="39"/>
    <n v="14"/>
    <n v="3"/>
    <s v="Low"/>
    <s v="Burnout"/>
    <s v="No"/>
    <s v="No Change"/>
    <n v="3"/>
    <s v="Neutral"/>
    <n v="1"/>
    <s v="Weekly"/>
    <s v="Good"/>
    <x v="3"/>
  </r>
  <r>
    <s v="EMP0205"/>
    <n v="51"/>
    <s v="Prefer not to say"/>
    <s v="Software Engineer"/>
    <s v="IT"/>
    <n v="14"/>
    <s v="Onsite"/>
    <n v="41"/>
    <n v="5"/>
    <n v="5"/>
    <s v="Medium"/>
    <s v="Burnout"/>
    <s v="No"/>
    <s v="No Change"/>
    <n v="4"/>
    <s v="Unsatisfied"/>
    <n v="2"/>
    <s v="None"/>
    <s v="Good"/>
    <x v="1"/>
  </r>
  <r>
    <s v="EMP0206"/>
    <n v="52"/>
    <s v="Male"/>
    <s v="Data Scientist"/>
    <s v="Finance"/>
    <n v="5"/>
    <s v="Onsite"/>
    <n v="21"/>
    <n v="3"/>
    <n v="5"/>
    <s v="Low"/>
    <s v="Burnout"/>
    <s v="Yes"/>
    <s v="Increase"/>
    <n v="4"/>
    <s v="Satisfied"/>
    <n v="5"/>
    <s v="Daily"/>
    <s v="Poor"/>
    <x v="4"/>
  </r>
  <r>
    <s v="EMP0207"/>
    <n v="54"/>
    <s v="Non-binary"/>
    <s v="Project Manager"/>
    <s v="IT"/>
    <n v="12"/>
    <s v="Onsite"/>
    <n v="34"/>
    <n v="11"/>
    <n v="3"/>
    <s v="Low"/>
    <s v="Burnout"/>
    <s v="Yes"/>
    <s v="No Change"/>
    <n v="2"/>
    <s v="Unsatisfied"/>
    <n v="5"/>
    <s v="Daily"/>
    <s v="Good"/>
    <x v="5"/>
  </r>
  <r>
    <s v="EMP0208"/>
    <n v="35"/>
    <s v="Male"/>
    <s v="Designer"/>
    <s v="Retail"/>
    <n v="2"/>
    <s v="Remote"/>
    <n v="36"/>
    <n v="14"/>
    <n v="3"/>
    <s v="Low"/>
    <s v="Burnout"/>
    <s v="No"/>
    <s v="Decrease"/>
    <n v="5"/>
    <s v="Unsatisfied"/>
    <n v="2"/>
    <s v="Weekly"/>
    <s v="Good"/>
    <x v="0"/>
  </r>
  <r>
    <s v="EMP0209"/>
    <n v="39"/>
    <s v="Male"/>
    <s v="Marketing"/>
    <s v="Manufacturing"/>
    <n v="19"/>
    <s v="Remote"/>
    <n v="32"/>
    <n v="2"/>
    <n v="4"/>
    <s v="High"/>
    <s v="Anxiety"/>
    <s v="Yes"/>
    <s v="Decrease"/>
    <n v="1"/>
    <s v="Satisfied"/>
    <n v="4"/>
    <s v="Weekly"/>
    <s v="Average"/>
    <x v="2"/>
  </r>
  <r>
    <s v="EMP0210"/>
    <n v="47"/>
    <s v="Prefer not to say"/>
    <s v="Sales"/>
    <s v="Consulting"/>
    <n v="7"/>
    <s v="Hybrid"/>
    <n v="21"/>
    <n v="8"/>
    <n v="2"/>
    <s v="Medium"/>
    <s v="Anxiety"/>
    <s v="No"/>
    <s v="No Change"/>
    <n v="3"/>
    <s v="Unsatisfied"/>
    <n v="5"/>
    <s v="None"/>
    <s v="Average"/>
    <x v="5"/>
  </r>
  <r>
    <s v="EMP0211"/>
    <n v="49"/>
    <s v="Male"/>
    <s v="Project Manager"/>
    <s v="Manufacturing"/>
    <n v="31"/>
    <s v="Onsite"/>
    <n v="56"/>
    <n v="3"/>
    <n v="5"/>
    <s v="High"/>
    <s v="Anxiety"/>
    <s v="Yes"/>
    <s v="No Change"/>
    <n v="1"/>
    <s v="Satisfied"/>
    <n v="4"/>
    <s v="Daily"/>
    <s v="Poor"/>
    <x v="0"/>
  </r>
  <r>
    <s v="EMP0212"/>
    <n v="60"/>
    <s v="Prefer not to say"/>
    <s v="Marketing"/>
    <s v="Manufacturing"/>
    <n v="33"/>
    <s v="Onsite"/>
    <n v="58"/>
    <n v="8"/>
    <n v="4"/>
    <s v="Low"/>
    <s v="Burnout"/>
    <s v="No"/>
    <s v="No Change"/>
    <n v="2"/>
    <s v="Satisfied"/>
    <n v="4"/>
    <s v="None"/>
    <s v="Poor"/>
    <x v="2"/>
  </r>
  <r>
    <s v="EMP0213"/>
    <n v="47"/>
    <s v="Female"/>
    <s v="Software Engineer"/>
    <s v="Manufacturing"/>
    <n v="11"/>
    <s v="Onsite"/>
    <n v="35"/>
    <n v="8"/>
    <n v="1"/>
    <s v="High"/>
    <s v="None"/>
    <s v="No"/>
    <s v="No Change"/>
    <n v="2"/>
    <s v="Satisfied"/>
    <n v="4"/>
    <s v="None"/>
    <s v="Good"/>
    <x v="4"/>
  </r>
  <r>
    <s v="EMP0214"/>
    <n v="27"/>
    <s v="Prefer not to say"/>
    <s v="Project Manager"/>
    <s v="Healthcare"/>
    <n v="22"/>
    <s v="Hybrid"/>
    <n v="52"/>
    <n v="3"/>
    <n v="1"/>
    <s v="Low"/>
    <s v="Anxiety"/>
    <s v="Yes"/>
    <s v="Decrease"/>
    <n v="4"/>
    <s v="Satisfied"/>
    <n v="5"/>
    <s v="Weekly"/>
    <s v="Good"/>
    <x v="0"/>
  </r>
  <r>
    <s v="EMP0215"/>
    <n v="46"/>
    <s v="Prefer not to say"/>
    <s v="Marketing"/>
    <s v="Consulting"/>
    <n v="30"/>
    <s v="Remote"/>
    <n v="33"/>
    <n v="8"/>
    <n v="1"/>
    <s v="Low"/>
    <s v="Depression"/>
    <s v="No"/>
    <s v="Increase"/>
    <n v="3"/>
    <s v="Neutral"/>
    <n v="4"/>
    <s v="Daily"/>
    <s v="Average"/>
    <x v="3"/>
  </r>
  <r>
    <s v="EMP0216"/>
    <n v="25"/>
    <s v="Non-binary"/>
    <s v="Software Engineer"/>
    <s v="Manufacturing"/>
    <n v="22"/>
    <s v="Remote"/>
    <n v="47"/>
    <n v="9"/>
    <n v="2"/>
    <s v="Medium"/>
    <s v="Burnout"/>
    <s v="No"/>
    <s v="Decrease"/>
    <n v="1"/>
    <s v="Neutral"/>
    <n v="4"/>
    <s v="None"/>
    <s v="Good"/>
    <x v="0"/>
  </r>
  <r>
    <s v="EMP0217"/>
    <n v="30"/>
    <s v="Male"/>
    <s v="HR"/>
    <s v="Education"/>
    <n v="11"/>
    <s v="Onsite"/>
    <n v="56"/>
    <n v="13"/>
    <n v="3"/>
    <s v="Medium"/>
    <s v="Depression"/>
    <s v="No"/>
    <s v="Increase"/>
    <n v="4"/>
    <s v="Satisfied"/>
    <n v="4"/>
    <s v="None"/>
    <s v="Poor"/>
    <x v="4"/>
  </r>
  <r>
    <s v="EMP0218"/>
    <n v="38"/>
    <s v="Prefer not to say"/>
    <s v="Data Scientist"/>
    <s v="Education"/>
    <n v="35"/>
    <s v="Onsite"/>
    <n v="33"/>
    <n v="4"/>
    <n v="2"/>
    <s v="Low"/>
    <s v="Anxiety"/>
    <s v="Yes"/>
    <s v="Increase"/>
    <n v="2"/>
    <s v="Neutral"/>
    <n v="2"/>
    <s v="Daily"/>
    <s v="Average"/>
    <x v="0"/>
  </r>
  <r>
    <s v="EMP0219"/>
    <n v="56"/>
    <s v="Female"/>
    <s v="HR"/>
    <s v="Education"/>
    <n v="5"/>
    <s v="Remote"/>
    <n v="60"/>
    <n v="9"/>
    <n v="3"/>
    <s v="Low"/>
    <s v="Anxiety"/>
    <s v="No"/>
    <s v="No Change"/>
    <n v="1"/>
    <s v="Satisfied"/>
    <n v="4"/>
    <s v="Weekly"/>
    <s v="Average"/>
    <x v="1"/>
  </r>
  <r>
    <s v="EMP0220"/>
    <n v="42"/>
    <s v="Male"/>
    <s v="Sales"/>
    <s v="Manufacturing"/>
    <n v="23"/>
    <s v="Hybrid"/>
    <n v="32"/>
    <n v="5"/>
    <n v="4"/>
    <s v="Low"/>
    <s v="Burnout"/>
    <s v="No"/>
    <s v="No Change"/>
    <n v="2"/>
    <s v="Unsatisfied"/>
    <n v="1"/>
    <s v="Weekly"/>
    <s v="Good"/>
    <x v="3"/>
  </r>
  <r>
    <s v="EMP0221"/>
    <n v="42"/>
    <s v="Prefer not to say"/>
    <s v="Project Manager"/>
    <s v="Retail"/>
    <n v="18"/>
    <s v="Hybrid"/>
    <n v="48"/>
    <n v="9"/>
    <n v="5"/>
    <s v="Medium"/>
    <s v="None"/>
    <s v="No"/>
    <s v="Decrease"/>
    <n v="1"/>
    <s v="Satisfied"/>
    <n v="5"/>
    <s v="None"/>
    <s v="Good"/>
    <x v="4"/>
  </r>
  <r>
    <s v="EMP0222"/>
    <n v="30"/>
    <s v="Female"/>
    <s v="HR"/>
    <s v="IT"/>
    <n v="20"/>
    <s v="Hybrid"/>
    <n v="39"/>
    <n v="6"/>
    <n v="4"/>
    <s v="High"/>
    <s v="None"/>
    <s v="No"/>
    <s v="Increase"/>
    <n v="3"/>
    <s v="Neutral"/>
    <n v="5"/>
    <s v="None"/>
    <s v="Average"/>
    <x v="1"/>
  </r>
  <r>
    <s v="EMP0223"/>
    <n v="33"/>
    <s v="Male"/>
    <s v="Software Engineer"/>
    <s v="Consulting"/>
    <n v="6"/>
    <s v="Onsite"/>
    <n v="23"/>
    <n v="6"/>
    <n v="3"/>
    <s v="High"/>
    <s v="Anxiety"/>
    <s v="Yes"/>
    <s v="No Change"/>
    <n v="5"/>
    <s v="Unsatisfied"/>
    <n v="2"/>
    <s v="Weekly"/>
    <s v="Good"/>
    <x v="1"/>
  </r>
  <r>
    <s v="EMP0224"/>
    <n v="28"/>
    <s v="Non-binary"/>
    <s v="Marketing"/>
    <s v="Retail"/>
    <n v="29"/>
    <s v="Hybrid"/>
    <n v="38"/>
    <n v="3"/>
    <n v="3"/>
    <s v="High"/>
    <s v="Anxiety"/>
    <s v="Yes"/>
    <s v="Decrease"/>
    <n v="4"/>
    <s v="Satisfied"/>
    <n v="1"/>
    <s v="None"/>
    <s v="Average"/>
    <x v="5"/>
  </r>
  <r>
    <s v="EMP0225"/>
    <n v="50"/>
    <s v="Non-binary"/>
    <s v="Designer"/>
    <s v="Manufacturing"/>
    <n v="1"/>
    <s v="Remote"/>
    <n v="30"/>
    <n v="5"/>
    <n v="1"/>
    <s v="Low"/>
    <s v="Anxiety"/>
    <s v="No"/>
    <s v="Increase"/>
    <n v="2"/>
    <s v="Unsatisfied"/>
    <n v="2"/>
    <s v="Daily"/>
    <s v="Average"/>
    <x v="2"/>
  </r>
  <r>
    <s v="EMP0226"/>
    <n v="44"/>
    <s v="Male"/>
    <s v="Software Engineer"/>
    <s v="Retail"/>
    <n v="4"/>
    <s v="Onsite"/>
    <n v="35"/>
    <n v="3"/>
    <n v="1"/>
    <s v="Low"/>
    <s v="None"/>
    <s v="Yes"/>
    <s v="Increase"/>
    <n v="3"/>
    <s v="Neutral"/>
    <n v="1"/>
    <s v="Weekly"/>
    <s v="Good"/>
    <x v="5"/>
  </r>
  <r>
    <s v="EMP0227"/>
    <n v="40"/>
    <s v="Female"/>
    <s v="Data Scientist"/>
    <s v="Healthcare"/>
    <n v="6"/>
    <s v="Remote"/>
    <n v="22"/>
    <n v="0"/>
    <n v="5"/>
    <s v="Medium"/>
    <s v="None"/>
    <s v="Yes"/>
    <s v="Increase"/>
    <n v="4"/>
    <s v="Satisfied"/>
    <n v="4"/>
    <s v="Weekly"/>
    <s v="Average"/>
    <x v="3"/>
  </r>
  <r>
    <s v="EMP0228"/>
    <n v="23"/>
    <s v="Male"/>
    <s v="Project Manager"/>
    <s v="IT"/>
    <n v="8"/>
    <s v="Onsite"/>
    <n v="28"/>
    <n v="15"/>
    <n v="2"/>
    <s v="Medium"/>
    <s v="Depression"/>
    <s v="Yes"/>
    <s v="Increase"/>
    <n v="3"/>
    <s v="Satisfied"/>
    <n v="3"/>
    <s v="Weekly"/>
    <s v="Poor"/>
    <x v="1"/>
  </r>
  <r>
    <s v="EMP0229"/>
    <n v="30"/>
    <s v="Female"/>
    <s v="Marketing"/>
    <s v="Consulting"/>
    <n v="32"/>
    <s v="Onsite"/>
    <n v="57"/>
    <n v="4"/>
    <n v="3"/>
    <s v="Medium"/>
    <s v="Burnout"/>
    <s v="No"/>
    <s v="Decrease"/>
    <n v="3"/>
    <s v="Neutral"/>
    <n v="5"/>
    <s v="Weekly"/>
    <s v="Good"/>
    <x v="4"/>
  </r>
  <r>
    <s v="EMP0230"/>
    <n v="42"/>
    <s v="Female"/>
    <s v="HR"/>
    <s v="Manufacturing"/>
    <n v="10"/>
    <s v="Hybrid"/>
    <n v="48"/>
    <n v="14"/>
    <n v="2"/>
    <s v="Low"/>
    <s v="Burnout"/>
    <s v="Yes"/>
    <s v="Decrease"/>
    <n v="3"/>
    <s v="Satisfied"/>
    <n v="1"/>
    <s v="Weekly"/>
    <s v="Good"/>
    <x v="0"/>
  </r>
  <r>
    <s v="EMP0231"/>
    <n v="52"/>
    <s v="Male"/>
    <s v="Marketing"/>
    <s v="Retail"/>
    <n v="7"/>
    <s v="Onsite"/>
    <n v="45"/>
    <n v="14"/>
    <n v="1"/>
    <s v="Medium"/>
    <s v="Burnout"/>
    <s v="No"/>
    <s v="No Change"/>
    <n v="5"/>
    <s v="Unsatisfied"/>
    <n v="4"/>
    <s v="Daily"/>
    <s v="Average"/>
    <x v="5"/>
  </r>
  <r>
    <s v="EMP0232"/>
    <n v="37"/>
    <s v="Male"/>
    <s v="Marketing"/>
    <s v="Healthcare"/>
    <n v="29"/>
    <s v="Onsite"/>
    <n v="34"/>
    <n v="3"/>
    <n v="4"/>
    <s v="Low"/>
    <s v="Burnout"/>
    <s v="No"/>
    <s v="Decrease"/>
    <n v="3"/>
    <s v="Satisfied"/>
    <n v="2"/>
    <s v="Weekly"/>
    <s v="Poor"/>
    <x v="4"/>
  </r>
  <r>
    <s v="EMP0233"/>
    <n v="28"/>
    <s v="Prefer not to say"/>
    <s v="Marketing"/>
    <s v="Manufacturing"/>
    <n v="19"/>
    <s v="Hybrid"/>
    <n v="59"/>
    <n v="9"/>
    <n v="5"/>
    <s v="Low"/>
    <s v="Burnout"/>
    <s v="No"/>
    <s v="Decrease"/>
    <n v="1"/>
    <s v="Unsatisfied"/>
    <n v="2"/>
    <s v="Weekly"/>
    <s v="Poor"/>
    <x v="5"/>
  </r>
  <r>
    <s v="EMP0234"/>
    <n v="31"/>
    <s v="Prefer not to say"/>
    <s v="Software Engineer"/>
    <s v="Consulting"/>
    <n v="18"/>
    <s v="Remote"/>
    <n v="31"/>
    <n v="6"/>
    <n v="3"/>
    <s v="High"/>
    <s v="None"/>
    <s v="Yes"/>
    <s v="Increase"/>
    <n v="3"/>
    <s v="Neutral"/>
    <n v="2"/>
    <s v="Weekly"/>
    <s v="Average"/>
    <x v="1"/>
  </r>
  <r>
    <s v="EMP0235"/>
    <n v="23"/>
    <s v="Prefer not to say"/>
    <s v="Marketing"/>
    <s v="Retail"/>
    <n v="9"/>
    <s v="Onsite"/>
    <n v="55"/>
    <n v="12"/>
    <n v="4"/>
    <s v="Low"/>
    <s v="Burnout"/>
    <s v="No"/>
    <s v="No Change"/>
    <n v="2"/>
    <s v="Neutral"/>
    <n v="5"/>
    <s v="Daily"/>
    <s v="Poor"/>
    <x v="5"/>
  </r>
  <r>
    <s v="EMP0236"/>
    <n v="37"/>
    <s v="Male"/>
    <s v="Data Scientist"/>
    <s v="Finance"/>
    <n v="18"/>
    <s v="Remote"/>
    <n v="23"/>
    <n v="11"/>
    <n v="2"/>
    <s v="Low"/>
    <s v="Burnout"/>
    <s v="No"/>
    <s v="No Change"/>
    <n v="4"/>
    <s v="Unsatisfied"/>
    <n v="4"/>
    <s v="None"/>
    <s v="Average"/>
    <x v="4"/>
  </r>
  <r>
    <s v="EMP0237"/>
    <n v="25"/>
    <s v="Male"/>
    <s v="HR"/>
    <s v="Healthcare"/>
    <n v="33"/>
    <s v="Hybrid"/>
    <n v="51"/>
    <n v="7"/>
    <n v="1"/>
    <s v="Medium"/>
    <s v="Depression"/>
    <s v="No"/>
    <s v="Decrease"/>
    <n v="2"/>
    <s v="Neutral"/>
    <n v="1"/>
    <s v="Weekly"/>
    <s v="Average"/>
    <x v="0"/>
  </r>
  <r>
    <s v="EMP0238"/>
    <n v="55"/>
    <s v="Female"/>
    <s v="Software Engineer"/>
    <s v="Manufacturing"/>
    <n v="13"/>
    <s v="Remote"/>
    <n v="32"/>
    <n v="11"/>
    <n v="5"/>
    <s v="Medium"/>
    <s v="Depression"/>
    <s v="Yes"/>
    <s v="No Change"/>
    <n v="1"/>
    <s v="Satisfied"/>
    <n v="4"/>
    <s v="Daily"/>
    <s v="Average"/>
    <x v="0"/>
  </r>
  <r>
    <s v="EMP0239"/>
    <n v="56"/>
    <s v="Non-binary"/>
    <s v="Marketing"/>
    <s v="IT"/>
    <n v="4"/>
    <s v="Remote"/>
    <n v="41"/>
    <n v="14"/>
    <n v="5"/>
    <s v="Low"/>
    <s v="Depression"/>
    <s v="Yes"/>
    <s v="Increase"/>
    <n v="4"/>
    <s v="Neutral"/>
    <n v="1"/>
    <s v="Weekly"/>
    <s v="Good"/>
    <x v="2"/>
  </r>
  <r>
    <s v="EMP0240"/>
    <n v="51"/>
    <s v="Prefer not to say"/>
    <s v="Software Engineer"/>
    <s v="Manufacturing"/>
    <n v="24"/>
    <s v="Hybrid"/>
    <n v="46"/>
    <n v="10"/>
    <n v="1"/>
    <s v="Low"/>
    <s v="None"/>
    <s v="No"/>
    <s v="No Change"/>
    <n v="1"/>
    <s v="Neutral"/>
    <n v="1"/>
    <s v="Daily"/>
    <s v="Poor"/>
    <x v="3"/>
  </r>
  <r>
    <s v="EMP0241"/>
    <n v="35"/>
    <s v="Male"/>
    <s v="HR"/>
    <s v="Education"/>
    <n v="6"/>
    <s v="Onsite"/>
    <n v="58"/>
    <n v="15"/>
    <n v="4"/>
    <s v="High"/>
    <s v="Depression"/>
    <s v="No"/>
    <s v="No Change"/>
    <n v="3"/>
    <s v="Neutral"/>
    <n v="2"/>
    <s v="Weekly"/>
    <s v="Poor"/>
    <x v="4"/>
  </r>
  <r>
    <s v="EMP0242"/>
    <n v="22"/>
    <s v="Non-binary"/>
    <s v="Sales"/>
    <s v="Manufacturing"/>
    <n v="2"/>
    <s v="Onsite"/>
    <n v="59"/>
    <n v="13"/>
    <n v="2"/>
    <s v="High"/>
    <s v="Burnout"/>
    <s v="Yes"/>
    <s v="Increase"/>
    <n v="3"/>
    <s v="Satisfied"/>
    <n v="3"/>
    <s v="Weekly"/>
    <s v="Poor"/>
    <x v="2"/>
  </r>
  <r>
    <s v="EMP0243"/>
    <n v="34"/>
    <s v="Non-binary"/>
    <s v="Project Manager"/>
    <s v="Education"/>
    <n v="10"/>
    <s v="Remote"/>
    <n v="40"/>
    <n v="1"/>
    <n v="1"/>
    <s v="Medium"/>
    <s v="Depression"/>
    <s v="No"/>
    <s v="Decrease"/>
    <n v="5"/>
    <s v="Neutral"/>
    <n v="4"/>
    <s v="Weekly"/>
    <s v="Good"/>
    <x v="4"/>
  </r>
  <r>
    <s v="EMP0244"/>
    <n v="37"/>
    <s v="Prefer not to say"/>
    <s v="Sales"/>
    <s v="Retail"/>
    <n v="32"/>
    <s v="Remote"/>
    <n v="56"/>
    <n v="3"/>
    <n v="2"/>
    <s v="High"/>
    <s v="Burnout"/>
    <s v="No"/>
    <s v="Decrease"/>
    <n v="1"/>
    <s v="Neutral"/>
    <n v="1"/>
    <s v="Weekly"/>
    <s v="Poor"/>
    <x v="0"/>
  </r>
  <r>
    <s v="EMP0245"/>
    <n v="59"/>
    <s v="Prefer not to say"/>
    <s v="Software Engineer"/>
    <s v="Finance"/>
    <n v="17"/>
    <s v="Onsite"/>
    <n v="47"/>
    <n v="11"/>
    <n v="2"/>
    <s v="High"/>
    <s v="Anxiety"/>
    <s v="Yes"/>
    <s v="No Change"/>
    <n v="1"/>
    <s v="Neutral"/>
    <n v="3"/>
    <s v="Weekly"/>
    <s v="Poor"/>
    <x v="2"/>
  </r>
  <r>
    <s v="EMP0246"/>
    <n v="53"/>
    <s v="Female"/>
    <s v="Project Manager"/>
    <s v="IT"/>
    <n v="25"/>
    <s v="Hybrid"/>
    <n v="38"/>
    <n v="2"/>
    <n v="2"/>
    <s v="Low"/>
    <s v="Anxiety"/>
    <s v="Yes"/>
    <s v="Increase"/>
    <n v="2"/>
    <s v="Satisfied"/>
    <n v="3"/>
    <s v="None"/>
    <s v="Good"/>
    <x v="3"/>
  </r>
  <r>
    <s v="EMP0247"/>
    <n v="38"/>
    <s v="Male"/>
    <s v="Data Scientist"/>
    <s v="Healthcare"/>
    <n v="25"/>
    <s v="Remote"/>
    <n v="59"/>
    <n v="12"/>
    <n v="5"/>
    <s v="Low"/>
    <s v="Anxiety"/>
    <s v="No"/>
    <s v="Increase"/>
    <n v="3"/>
    <s v="Neutral"/>
    <n v="1"/>
    <s v="Weekly"/>
    <s v="Average"/>
    <x v="3"/>
  </r>
  <r>
    <s v="EMP0248"/>
    <n v="32"/>
    <s v="Male"/>
    <s v="Project Manager"/>
    <s v="Manufacturing"/>
    <n v="17"/>
    <s v="Onsite"/>
    <n v="47"/>
    <n v="4"/>
    <n v="1"/>
    <s v="Medium"/>
    <s v="None"/>
    <s v="Yes"/>
    <s v="Increase"/>
    <n v="2"/>
    <s v="Unsatisfied"/>
    <n v="4"/>
    <s v="None"/>
    <s v="Poor"/>
    <x v="4"/>
  </r>
  <r>
    <s v="EMP0249"/>
    <n v="36"/>
    <s v="Prefer not to say"/>
    <s v="HR"/>
    <s v="Manufacturing"/>
    <n v="17"/>
    <s v="Remote"/>
    <n v="49"/>
    <n v="6"/>
    <n v="3"/>
    <s v="Medium"/>
    <s v="Depression"/>
    <s v="No"/>
    <s v="Decrease"/>
    <n v="5"/>
    <s v="Neutral"/>
    <n v="5"/>
    <s v="None"/>
    <s v="Average"/>
    <x v="5"/>
  </r>
  <r>
    <s v="EMP0250"/>
    <n v="29"/>
    <s v="Female"/>
    <s v="Project Manager"/>
    <s v="Manufacturing"/>
    <n v="18"/>
    <s v="Hybrid"/>
    <n v="20"/>
    <n v="6"/>
    <n v="5"/>
    <s v="Low"/>
    <s v="None"/>
    <s v="Yes"/>
    <s v="No Change"/>
    <n v="4"/>
    <s v="Satisfied"/>
    <n v="2"/>
    <s v="Weekly"/>
    <s v="Poor"/>
    <x v="5"/>
  </r>
  <r>
    <s v="EMP0251"/>
    <n v="38"/>
    <s v="Non-binary"/>
    <s v="Project Manager"/>
    <s v="Manufacturing"/>
    <n v="26"/>
    <s v="Hybrid"/>
    <n v="50"/>
    <n v="9"/>
    <n v="1"/>
    <s v="High"/>
    <s v="Anxiety"/>
    <s v="Yes"/>
    <s v="Increase"/>
    <n v="2"/>
    <s v="Satisfied"/>
    <n v="2"/>
    <s v="Weekly"/>
    <s v="Good"/>
    <x v="3"/>
  </r>
  <r>
    <s v="EMP0252"/>
    <n v="32"/>
    <s v="Male"/>
    <s v="Project Manager"/>
    <s v="Education"/>
    <n v="21"/>
    <s v="Hybrid"/>
    <n v="32"/>
    <n v="0"/>
    <n v="4"/>
    <s v="High"/>
    <s v="Depression"/>
    <s v="Yes"/>
    <s v="No Change"/>
    <n v="3"/>
    <s v="Unsatisfied"/>
    <n v="1"/>
    <s v="Weekly"/>
    <s v="Good"/>
    <x v="4"/>
  </r>
  <r>
    <s v="EMP0253"/>
    <n v="43"/>
    <s v="Prefer not to say"/>
    <s v="Sales"/>
    <s v="IT"/>
    <n v="21"/>
    <s v="Hybrid"/>
    <n v="23"/>
    <n v="8"/>
    <n v="3"/>
    <s v="Low"/>
    <s v="Anxiety"/>
    <s v="Yes"/>
    <s v="Increase"/>
    <n v="3"/>
    <s v="Neutral"/>
    <n v="3"/>
    <s v="Daily"/>
    <s v="Average"/>
    <x v="4"/>
  </r>
  <r>
    <s v="EMP0254"/>
    <n v="46"/>
    <s v="Prefer not to say"/>
    <s v="HR"/>
    <s v="IT"/>
    <n v="25"/>
    <s v="Remote"/>
    <n v="22"/>
    <n v="13"/>
    <n v="3"/>
    <s v="Medium"/>
    <s v="Anxiety"/>
    <s v="No"/>
    <s v="Increase"/>
    <n v="3"/>
    <s v="Unsatisfied"/>
    <n v="3"/>
    <s v="Weekly"/>
    <s v="Average"/>
    <x v="5"/>
  </r>
  <r>
    <s v="EMP0255"/>
    <n v="42"/>
    <s v="Prefer not to say"/>
    <s v="Data Scientist"/>
    <s v="Education"/>
    <n v="4"/>
    <s v="Hybrid"/>
    <n v="33"/>
    <n v="11"/>
    <n v="5"/>
    <s v="Medium"/>
    <s v="Burnout"/>
    <s v="Yes"/>
    <s v="Decrease"/>
    <n v="2"/>
    <s v="Neutral"/>
    <n v="2"/>
    <s v="Daily"/>
    <s v="Good"/>
    <x v="5"/>
  </r>
  <r>
    <s v="EMP0256"/>
    <n v="27"/>
    <s v="Male"/>
    <s v="Project Manager"/>
    <s v="Education"/>
    <n v="25"/>
    <s v="Hybrid"/>
    <n v="32"/>
    <n v="13"/>
    <n v="3"/>
    <s v="Medium"/>
    <s v="Burnout"/>
    <s v="Yes"/>
    <s v="Decrease"/>
    <n v="5"/>
    <s v="Unsatisfied"/>
    <n v="5"/>
    <s v="Weekly"/>
    <s v="Average"/>
    <x v="4"/>
  </r>
  <r>
    <s v="EMP0257"/>
    <n v="54"/>
    <s v="Prefer not to say"/>
    <s v="Marketing"/>
    <s v="Retail"/>
    <n v="10"/>
    <s v="Onsite"/>
    <n v="51"/>
    <n v="0"/>
    <n v="1"/>
    <s v="Medium"/>
    <s v="Anxiety"/>
    <s v="No"/>
    <s v="Increase"/>
    <n v="2"/>
    <s v="Unsatisfied"/>
    <n v="2"/>
    <s v="Daily"/>
    <s v="Average"/>
    <x v="0"/>
  </r>
  <r>
    <s v="EMP0258"/>
    <n v="43"/>
    <s v="Male"/>
    <s v="Designer"/>
    <s v="Healthcare"/>
    <n v="34"/>
    <s v="Hybrid"/>
    <n v="49"/>
    <n v="11"/>
    <n v="3"/>
    <s v="Medium"/>
    <s v="Burnout"/>
    <s v="No"/>
    <s v="Decrease"/>
    <n v="3"/>
    <s v="Satisfied"/>
    <n v="3"/>
    <s v="None"/>
    <s v="Poor"/>
    <x v="4"/>
  </r>
  <r>
    <s v="EMP0259"/>
    <n v="31"/>
    <s v="Female"/>
    <s v="Data Scientist"/>
    <s v="Education"/>
    <n v="9"/>
    <s v="Remote"/>
    <n v="30"/>
    <n v="9"/>
    <n v="1"/>
    <s v="Medium"/>
    <s v="Anxiety"/>
    <s v="No"/>
    <s v="No Change"/>
    <n v="1"/>
    <s v="Satisfied"/>
    <n v="3"/>
    <s v="Daily"/>
    <s v="Average"/>
    <x v="4"/>
  </r>
  <r>
    <s v="EMP0260"/>
    <n v="53"/>
    <s v="Non-binary"/>
    <s v="Software Engineer"/>
    <s v="Education"/>
    <n v="11"/>
    <s v="Remote"/>
    <n v="25"/>
    <n v="9"/>
    <n v="2"/>
    <s v="Medium"/>
    <s v="Burnout"/>
    <s v="Yes"/>
    <s v="Increase"/>
    <n v="2"/>
    <s v="Neutral"/>
    <n v="5"/>
    <s v="Weekly"/>
    <s v="Average"/>
    <x v="1"/>
  </r>
  <r>
    <s v="EMP0261"/>
    <n v="57"/>
    <s v="Non-binary"/>
    <s v="Software Engineer"/>
    <s v="Manufacturing"/>
    <n v="3"/>
    <s v="Onsite"/>
    <n v="40"/>
    <n v="12"/>
    <n v="4"/>
    <s v="High"/>
    <s v="None"/>
    <s v="No"/>
    <s v="Increase"/>
    <n v="3"/>
    <s v="Neutral"/>
    <n v="3"/>
    <s v="Weekly"/>
    <s v="Poor"/>
    <x v="2"/>
  </r>
  <r>
    <s v="EMP0262"/>
    <n v="50"/>
    <s v="Non-binary"/>
    <s v="Project Manager"/>
    <s v="Finance"/>
    <n v="20"/>
    <s v="Onsite"/>
    <n v="32"/>
    <n v="13"/>
    <n v="1"/>
    <s v="Low"/>
    <s v="Burnout"/>
    <s v="No"/>
    <s v="No Change"/>
    <n v="1"/>
    <s v="Neutral"/>
    <n v="1"/>
    <s v="None"/>
    <s v="Good"/>
    <x v="1"/>
  </r>
  <r>
    <s v="EMP0263"/>
    <n v="37"/>
    <s v="Male"/>
    <s v="Sales"/>
    <s v="Education"/>
    <n v="18"/>
    <s v="Onsite"/>
    <n v="20"/>
    <n v="15"/>
    <n v="3"/>
    <s v="Medium"/>
    <s v="Burnout"/>
    <s v="No"/>
    <s v="No Change"/>
    <n v="1"/>
    <s v="Neutral"/>
    <n v="2"/>
    <s v="None"/>
    <s v="Average"/>
    <x v="5"/>
  </r>
  <r>
    <s v="EMP0264"/>
    <n v="58"/>
    <s v="Female"/>
    <s v="Project Manager"/>
    <s v="Retail"/>
    <n v="8"/>
    <s v="Hybrid"/>
    <n v="35"/>
    <n v="5"/>
    <n v="5"/>
    <s v="Medium"/>
    <s v="Depression"/>
    <s v="No"/>
    <s v="Decrease"/>
    <n v="3"/>
    <s v="Neutral"/>
    <n v="5"/>
    <s v="Daily"/>
    <s v="Poor"/>
    <x v="1"/>
  </r>
  <r>
    <s v="EMP0265"/>
    <n v="57"/>
    <s v="Non-binary"/>
    <s v="Sales"/>
    <s v="Manufacturing"/>
    <n v="32"/>
    <s v="Remote"/>
    <n v="49"/>
    <n v="2"/>
    <n v="1"/>
    <s v="Medium"/>
    <s v="Anxiety"/>
    <s v="No"/>
    <s v="No Change"/>
    <n v="4"/>
    <s v="Satisfied"/>
    <n v="5"/>
    <s v="None"/>
    <s v="Average"/>
    <x v="0"/>
  </r>
  <r>
    <s v="EMP0266"/>
    <n v="50"/>
    <s v="Prefer not to say"/>
    <s v="Sales"/>
    <s v="Retail"/>
    <n v="21"/>
    <s v="Onsite"/>
    <n v="34"/>
    <n v="5"/>
    <n v="4"/>
    <s v="Medium"/>
    <s v="Depression"/>
    <s v="Yes"/>
    <s v="No Change"/>
    <n v="3"/>
    <s v="Satisfied"/>
    <n v="4"/>
    <s v="Weekly"/>
    <s v="Good"/>
    <x v="0"/>
  </r>
  <r>
    <s v="EMP0267"/>
    <n v="48"/>
    <s v="Male"/>
    <s v="Project Manager"/>
    <s v="Manufacturing"/>
    <n v="33"/>
    <s v="Hybrid"/>
    <n v="58"/>
    <n v="13"/>
    <n v="3"/>
    <s v="Medium"/>
    <s v="Burnout"/>
    <s v="No"/>
    <s v="Decrease"/>
    <n v="3"/>
    <s v="Satisfied"/>
    <n v="5"/>
    <s v="None"/>
    <s v="Average"/>
    <x v="3"/>
  </r>
  <r>
    <s v="EMP0268"/>
    <n v="43"/>
    <s v="Non-binary"/>
    <s v="HR"/>
    <s v="Consulting"/>
    <n v="15"/>
    <s v="Onsite"/>
    <n v="26"/>
    <n v="4"/>
    <n v="4"/>
    <s v="Medium"/>
    <s v="Anxiety"/>
    <s v="No"/>
    <s v="Decrease"/>
    <n v="5"/>
    <s v="Unsatisfied"/>
    <n v="3"/>
    <s v="None"/>
    <s v="Average"/>
    <x v="3"/>
  </r>
  <r>
    <s v="EMP0269"/>
    <n v="58"/>
    <s v="Female"/>
    <s v="Marketing"/>
    <s v="Retail"/>
    <n v="12"/>
    <s v="Onsite"/>
    <n v="36"/>
    <n v="7"/>
    <n v="4"/>
    <s v="Medium"/>
    <s v="Burnout"/>
    <s v="No"/>
    <s v="Increase"/>
    <n v="3"/>
    <s v="Unsatisfied"/>
    <n v="3"/>
    <s v="None"/>
    <s v="Poor"/>
    <x v="0"/>
  </r>
  <r>
    <s v="EMP0270"/>
    <n v="30"/>
    <s v="Male"/>
    <s v="Designer"/>
    <s v="Education"/>
    <n v="32"/>
    <s v="Hybrid"/>
    <n v="48"/>
    <n v="3"/>
    <n v="4"/>
    <s v="High"/>
    <s v="Depression"/>
    <s v="Yes"/>
    <s v="Increase"/>
    <n v="5"/>
    <s v="Neutral"/>
    <n v="4"/>
    <s v="Daily"/>
    <s v="Average"/>
    <x v="5"/>
  </r>
  <r>
    <s v="EMP0271"/>
    <n v="44"/>
    <s v="Non-binary"/>
    <s v="HR"/>
    <s v="Finance"/>
    <n v="3"/>
    <s v="Onsite"/>
    <n v="57"/>
    <n v="5"/>
    <n v="4"/>
    <s v="High"/>
    <s v="Anxiety"/>
    <s v="Yes"/>
    <s v="Increase"/>
    <n v="5"/>
    <s v="Satisfied"/>
    <n v="5"/>
    <s v="Weekly"/>
    <s v="Good"/>
    <x v="3"/>
  </r>
  <r>
    <s v="EMP0272"/>
    <n v="41"/>
    <s v="Prefer not to say"/>
    <s v="HR"/>
    <s v="Finance"/>
    <n v="28"/>
    <s v="Hybrid"/>
    <n v="32"/>
    <n v="8"/>
    <n v="2"/>
    <s v="Medium"/>
    <s v="Depression"/>
    <s v="Yes"/>
    <s v="No Change"/>
    <n v="3"/>
    <s v="Satisfied"/>
    <n v="2"/>
    <s v="Daily"/>
    <s v="Poor"/>
    <x v="4"/>
  </r>
  <r>
    <s v="EMP0273"/>
    <n v="60"/>
    <s v="Female"/>
    <s v="Marketing"/>
    <s v="Healthcare"/>
    <n v="17"/>
    <s v="Remote"/>
    <n v="55"/>
    <n v="7"/>
    <n v="4"/>
    <s v="Medium"/>
    <s v="Burnout"/>
    <s v="Yes"/>
    <s v="Decrease"/>
    <n v="1"/>
    <s v="Unsatisfied"/>
    <n v="4"/>
    <s v="None"/>
    <s v="Poor"/>
    <x v="1"/>
  </r>
  <r>
    <s v="EMP0274"/>
    <n v="58"/>
    <s v="Non-binary"/>
    <s v="Designer"/>
    <s v="Finance"/>
    <n v="35"/>
    <s v="Hybrid"/>
    <n v="28"/>
    <n v="3"/>
    <n v="3"/>
    <s v="High"/>
    <s v="Depression"/>
    <s v="No"/>
    <s v="Decrease"/>
    <n v="3"/>
    <s v="Neutral"/>
    <n v="2"/>
    <s v="None"/>
    <s v="Good"/>
    <x v="1"/>
  </r>
  <r>
    <s v="EMP0275"/>
    <n v="60"/>
    <s v="Prefer not to say"/>
    <s v="Sales"/>
    <s v="Consulting"/>
    <n v="7"/>
    <s v="Onsite"/>
    <n v="53"/>
    <n v="10"/>
    <n v="2"/>
    <s v="Low"/>
    <s v="Depression"/>
    <s v="No"/>
    <s v="Decrease"/>
    <n v="2"/>
    <s v="Satisfied"/>
    <n v="3"/>
    <s v="Weekly"/>
    <s v="Poor"/>
    <x v="4"/>
  </r>
  <r>
    <s v="EMP0276"/>
    <n v="27"/>
    <s v="Non-binary"/>
    <s v="Designer"/>
    <s v="Finance"/>
    <n v="34"/>
    <s v="Onsite"/>
    <n v="36"/>
    <n v="10"/>
    <n v="4"/>
    <s v="Low"/>
    <s v="Depression"/>
    <s v="Yes"/>
    <s v="No Change"/>
    <n v="4"/>
    <s v="Satisfied"/>
    <n v="4"/>
    <s v="Daily"/>
    <s v="Good"/>
    <x v="0"/>
  </r>
  <r>
    <s v="EMP0277"/>
    <n v="38"/>
    <s v="Female"/>
    <s v="Sales"/>
    <s v="Manufacturing"/>
    <n v="18"/>
    <s v="Remote"/>
    <n v="54"/>
    <n v="7"/>
    <n v="4"/>
    <s v="High"/>
    <s v="Anxiety"/>
    <s v="No"/>
    <s v="Decrease"/>
    <n v="4"/>
    <s v="Satisfied"/>
    <n v="1"/>
    <s v="None"/>
    <s v="Average"/>
    <x v="1"/>
  </r>
  <r>
    <s v="EMP0278"/>
    <n v="56"/>
    <s v="Male"/>
    <s v="Marketing"/>
    <s v="Healthcare"/>
    <n v="8"/>
    <s v="Remote"/>
    <n v="33"/>
    <n v="8"/>
    <n v="3"/>
    <s v="Low"/>
    <s v="Burnout"/>
    <s v="No"/>
    <s v="Increase"/>
    <n v="4"/>
    <s v="Neutral"/>
    <n v="5"/>
    <s v="None"/>
    <s v="Poor"/>
    <x v="1"/>
  </r>
  <r>
    <s v="EMP0279"/>
    <n v="31"/>
    <s v="Male"/>
    <s v="Designer"/>
    <s v="Finance"/>
    <n v="19"/>
    <s v="Onsite"/>
    <n v="39"/>
    <n v="1"/>
    <n v="4"/>
    <s v="Medium"/>
    <s v="None"/>
    <s v="Yes"/>
    <s v="Decrease"/>
    <n v="2"/>
    <s v="Unsatisfied"/>
    <n v="4"/>
    <s v="Daily"/>
    <s v="Poor"/>
    <x v="5"/>
  </r>
  <r>
    <s v="EMP0280"/>
    <n v="37"/>
    <s v="Prefer not to say"/>
    <s v="Software Engineer"/>
    <s v="Healthcare"/>
    <n v="25"/>
    <s v="Hybrid"/>
    <n v="33"/>
    <n v="11"/>
    <n v="1"/>
    <s v="Medium"/>
    <s v="Anxiety"/>
    <s v="No"/>
    <s v="No Change"/>
    <n v="4"/>
    <s v="Satisfied"/>
    <n v="5"/>
    <s v="None"/>
    <s v="Good"/>
    <x v="2"/>
  </r>
  <r>
    <s v="EMP0281"/>
    <n v="41"/>
    <s v="Female"/>
    <s v="Software Engineer"/>
    <s v="Education"/>
    <n v="2"/>
    <s v="Hybrid"/>
    <n v="48"/>
    <n v="4"/>
    <n v="1"/>
    <s v="Low"/>
    <s v="Anxiety"/>
    <s v="Yes"/>
    <s v="No Change"/>
    <n v="3"/>
    <s v="Unsatisfied"/>
    <n v="1"/>
    <s v="Weekly"/>
    <s v="Average"/>
    <x v="1"/>
  </r>
  <r>
    <s v="EMP0282"/>
    <n v="58"/>
    <s v="Male"/>
    <s v="Designer"/>
    <s v="Education"/>
    <n v="10"/>
    <s v="Remote"/>
    <n v="60"/>
    <n v="7"/>
    <n v="5"/>
    <s v="Medium"/>
    <s v="Depression"/>
    <s v="No"/>
    <s v="No Change"/>
    <n v="3"/>
    <s v="Satisfied"/>
    <n v="3"/>
    <s v="Daily"/>
    <s v="Average"/>
    <x v="0"/>
  </r>
  <r>
    <s v="EMP0283"/>
    <n v="49"/>
    <s v="Male"/>
    <s v="Data Scientist"/>
    <s v="IT"/>
    <n v="35"/>
    <s v="Remote"/>
    <n v="24"/>
    <n v="1"/>
    <n v="1"/>
    <s v="Medium"/>
    <s v="None"/>
    <s v="No"/>
    <s v="Decrease"/>
    <n v="5"/>
    <s v="Neutral"/>
    <n v="4"/>
    <s v="None"/>
    <s v="Good"/>
    <x v="1"/>
  </r>
  <r>
    <s v="EMP0284"/>
    <n v="23"/>
    <s v="Non-binary"/>
    <s v="Data Scientist"/>
    <s v="Healthcare"/>
    <n v="18"/>
    <s v="Remote"/>
    <n v="28"/>
    <n v="7"/>
    <n v="5"/>
    <s v="High"/>
    <s v="Burnout"/>
    <s v="Yes"/>
    <s v="Increase"/>
    <n v="1"/>
    <s v="Unsatisfied"/>
    <n v="3"/>
    <s v="None"/>
    <s v="Average"/>
    <x v="1"/>
  </r>
  <r>
    <s v="EMP0285"/>
    <n v="24"/>
    <s v="Non-binary"/>
    <s v="Project Manager"/>
    <s v="Manufacturing"/>
    <n v="12"/>
    <s v="Hybrid"/>
    <n v="20"/>
    <n v="14"/>
    <n v="2"/>
    <s v="Low"/>
    <s v="Depression"/>
    <s v="No"/>
    <s v="Decrease"/>
    <n v="2"/>
    <s v="Neutral"/>
    <n v="2"/>
    <s v="Daily"/>
    <s v="Poor"/>
    <x v="4"/>
  </r>
  <r>
    <s v="EMP0286"/>
    <n v="41"/>
    <s v="Prefer not to say"/>
    <s v="Project Manager"/>
    <s v="Finance"/>
    <n v="35"/>
    <s v="Onsite"/>
    <n v="28"/>
    <n v="14"/>
    <n v="4"/>
    <s v="Medium"/>
    <s v="Anxiety"/>
    <s v="Yes"/>
    <s v="Decrease"/>
    <n v="1"/>
    <s v="Unsatisfied"/>
    <n v="1"/>
    <s v="Weekly"/>
    <s v="Good"/>
    <x v="1"/>
  </r>
  <r>
    <s v="EMP0287"/>
    <n v="32"/>
    <s v="Female"/>
    <s v="HR"/>
    <s v="Consulting"/>
    <n v="23"/>
    <s v="Remote"/>
    <n v="48"/>
    <n v="12"/>
    <n v="4"/>
    <s v="Medium"/>
    <s v="None"/>
    <s v="No"/>
    <s v="Increase"/>
    <n v="5"/>
    <s v="Unsatisfied"/>
    <n v="2"/>
    <s v="None"/>
    <s v="Good"/>
    <x v="5"/>
  </r>
  <r>
    <s v="EMP0288"/>
    <n v="47"/>
    <s v="Prefer not to say"/>
    <s v="Sales"/>
    <s v="Healthcare"/>
    <n v="10"/>
    <s v="Hybrid"/>
    <n v="51"/>
    <n v="5"/>
    <n v="2"/>
    <s v="High"/>
    <s v="None"/>
    <s v="Yes"/>
    <s v="Decrease"/>
    <n v="3"/>
    <s v="Neutral"/>
    <n v="1"/>
    <s v="None"/>
    <s v="Good"/>
    <x v="5"/>
  </r>
  <r>
    <s v="EMP0289"/>
    <n v="23"/>
    <s v="Non-binary"/>
    <s v="Designer"/>
    <s v="IT"/>
    <n v="22"/>
    <s v="Hybrid"/>
    <n v="39"/>
    <n v="5"/>
    <n v="4"/>
    <s v="Low"/>
    <s v="Anxiety"/>
    <s v="No"/>
    <s v="Decrease"/>
    <n v="5"/>
    <s v="Neutral"/>
    <n v="2"/>
    <s v="Weekly"/>
    <s v="Poor"/>
    <x v="5"/>
  </r>
  <r>
    <s v="EMP0290"/>
    <n v="34"/>
    <s v="Prefer not to say"/>
    <s v="Marketing"/>
    <s v="Retail"/>
    <n v="14"/>
    <s v="Remote"/>
    <n v="25"/>
    <n v="2"/>
    <n v="4"/>
    <s v="Medium"/>
    <s v="Anxiety"/>
    <s v="No"/>
    <s v="No Change"/>
    <n v="1"/>
    <s v="Neutral"/>
    <n v="2"/>
    <s v="None"/>
    <s v="Poor"/>
    <x v="2"/>
  </r>
  <r>
    <s v="EMP0291"/>
    <n v="42"/>
    <s v="Male"/>
    <s v="Sales"/>
    <s v="IT"/>
    <n v="32"/>
    <s v="Hybrid"/>
    <n v="53"/>
    <n v="12"/>
    <n v="1"/>
    <s v="High"/>
    <s v="None"/>
    <s v="No"/>
    <s v="Decrease"/>
    <n v="4"/>
    <s v="Satisfied"/>
    <n v="3"/>
    <s v="Weekly"/>
    <s v="Average"/>
    <x v="0"/>
  </r>
  <r>
    <s v="EMP0292"/>
    <n v="42"/>
    <s v="Prefer not to say"/>
    <s v="HR"/>
    <s v="IT"/>
    <n v="10"/>
    <s v="Hybrid"/>
    <n v="44"/>
    <n v="13"/>
    <n v="4"/>
    <s v="High"/>
    <s v="Burnout"/>
    <s v="Yes"/>
    <s v="Decrease"/>
    <n v="4"/>
    <s v="Neutral"/>
    <n v="1"/>
    <s v="None"/>
    <s v="Average"/>
    <x v="1"/>
  </r>
  <r>
    <s v="EMP0293"/>
    <n v="33"/>
    <s v="Female"/>
    <s v="Sales"/>
    <s v="Education"/>
    <n v="22"/>
    <s v="Hybrid"/>
    <n v="31"/>
    <n v="3"/>
    <n v="3"/>
    <s v="Medium"/>
    <s v="Burnout"/>
    <s v="Yes"/>
    <s v="Increase"/>
    <n v="4"/>
    <s v="Neutral"/>
    <n v="3"/>
    <s v="Weekly"/>
    <s v="Poor"/>
    <x v="5"/>
  </r>
  <r>
    <s v="EMP0294"/>
    <n v="40"/>
    <s v="Male"/>
    <s v="Designer"/>
    <s v="Healthcare"/>
    <n v="3"/>
    <s v="Onsite"/>
    <n v="58"/>
    <n v="2"/>
    <n v="5"/>
    <s v="Low"/>
    <s v="Depression"/>
    <s v="Yes"/>
    <s v="Decrease"/>
    <n v="3"/>
    <s v="Satisfied"/>
    <n v="3"/>
    <s v="Weekly"/>
    <s v="Average"/>
    <x v="1"/>
  </r>
  <r>
    <s v="EMP0295"/>
    <n v="27"/>
    <s v="Male"/>
    <s v="Marketing"/>
    <s v="Healthcare"/>
    <n v="33"/>
    <s v="Hybrid"/>
    <n v="26"/>
    <n v="5"/>
    <n v="4"/>
    <s v="Low"/>
    <s v="Depression"/>
    <s v="No"/>
    <s v="Decrease"/>
    <n v="5"/>
    <s v="Unsatisfied"/>
    <n v="4"/>
    <s v="Weekly"/>
    <s v="Average"/>
    <x v="0"/>
  </r>
  <r>
    <s v="EMP0296"/>
    <n v="39"/>
    <s v="Prefer not to say"/>
    <s v="Data Scientist"/>
    <s v="Consulting"/>
    <n v="33"/>
    <s v="Hybrid"/>
    <n v="20"/>
    <n v="4"/>
    <n v="3"/>
    <s v="Low"/>
    <s v="None"/>
    <s v="Yes"/>
    <s v="Decrease"/>
    <n v="2"/>
    <s v="Satisfied"/>
    <n v="3"/>
    <s v="None"/>
    <s v="Good"/>
    <x v="2"/>
  </r>
  <r>
    <s v="EMP0297"/>
    <n v="42"/>
    <s v="Female"/>
    <s v="Marketing"/>
    <s v="IT"/>
    <n v="11"/>
    <s v="Hybrid"/>
    <n v="28"/>
    <n v="14"/>
    <n v="3"/>
    <s v="Low"/>
    <s v="None"/>
    <s v="No"/>
    <s v="No Change"/>
    <n v="1"/>
    <s v="Satisfied"/>
    <n v="2"/>
    <s v="None"/>
    <s v="Poor"/>
    <x v="0"/>
  </r>
  <r>
    <s v="EMP0298"/>
    <n v="22"/>
    <s v="Non-binary"/>
    <s v="Sales"/>
    <s v="Healthcare"/>
    <n v="7"/>
    <s v="Remote"/>
    <n v="35"/>
    <n v="14"/>
    <n v="5"/>
    <s v="Medium"/>
    <s v="Burnout"/>
    <s v="No"/>
    <s v="No Change"/>
    <n v="5"/>
    <s v="Neutral"/>
    <n v="5"/>
    <s v="None"/>
    <s v="Average"/>
    <x v="1"/>
  </r>
  <r>
    <s v="EMP0299"/>
    <n v="45"/>
    <s v="Female"/>
    <s v="Marketing"/>
    <s v="Finance"/>
    <n v="9"/>
    <s v="Remote"/>
    <n v="30"/>
    <n v="14"/>
    <n v="2"/>
    <s v="Low"/>
    <s v="None"/>
    <s v="No"/>
    <s v="Decrease"/>
    <n v="4"/>
    <s v="Neutral"/>
    <n v="2"/>
    <s v="None"/>
    <s v="Good"/>
    <x v="2"/>
  </r>
  <r>
    <s v="EMP0300"/>
    <n v="47"/>
    <s v="Female"/>
    <s v="Data Scientist"/>
    <s v="Finance"/>
    <n v="6"/>
    <s v="Hybrid"/>
    <n v="28"/>
    <n v="0"/>
    <n v="1"/>
    <s v="Low"/>
    <s v="None"/>
    <s v="No"/>
    <s v="Decrease"/>
    <n v="3"/>
    <s v="Satisfied"/>
    <n v="2"/>
    <s v="None"/>
    <s v="Poor"/>
    <x v="4"/>
  </r>
  <r>
    <s v="EMP0301"/>
    <n v="24"/>
    <s v="Non-binary"/>
    <s v="Designer"/>
    <s v="Retail"/>
    <n v="16"/>
    <s v="Remote"/>
    <n v="21"/>
    <n v="4"/>
    <n v="3"/>
    <s v="Medium"/>
    <s v="Anxiety"/>
    <s v="Yes"/>
    <s v="Decrease"/>
    <n v="5"/>
    <s v="Neutral"/>
    <n v="3"/>
    <s v="Daily"/>
    <s v="Average"/>
    <x v="4"/>
  </r>
  <r>
    <s v="EMP0302"/>
    <n v="48"/>
    <s v="Non-binary"/>
    <s v="HR"/>
    <s v="IT"/>
    <n v="2"/>
    <s v="Remote"/>
    <n v="56"/>
    <n v="13"/>
    <n v="2"/>
    <s v="Medium"/>
    <s v="Depression"/>
    <s v="Yes"/>
    <s v="Decrease"/>
    <n v="4"/>
    <s v="Unsatisfied"/>
    <n v="5"/>
    <s v="Daily"/>
    <s v="Poor"/>
    <x v="0"/>
  </r>
  <r>
    <s v="EMP0303"/>
    <n v="60"/>
    <s v="Non-binary"/>
    <s v="Software Engineer"/>
    <s v="Retail"/>
    <n v="13"/>
    <s v="Hybrid"/>
    <n v="25"/>
    <n v="10"/>
    <n v="3"/>
    <s v="High"/>
    <s v="Burnout"/>
    <s v="No"/>
    <s v="Increase"/>
    <n v="3"/>
    <s v="Satisfied"/>
    <n v="2"/>
    <s v="None"/>
    <s v="Good"/>
    <x v="5"/>
  </r>
  <r>
    <s v="EMP0304"/>
    <n v="41"/>
    <s v="Non-binary"/>
    <s v="Software Engineer"/>
    <s v="Education"/>
    <n v="20"/>
    <s v="Remote"/>
    <n v="21"/>
    <n v="0"/>
    <n v="1"/>
    <s v="High"/>
    <s v="None"/>
    <s v="Yes"/>
    <s v="No Change"/>
    <n v="2"/>
    <s v="Neutral"/>
    <n v="2"/>
    <s v="Weekly"/>
    <s v="Average"/>
    <x v="3"/>
  </r>
  <r>
    <s v="EMP0305"/>
    <n v="49"/>
    <s v="Prefer not to say"/>
    <s v="Project Manager"/>
    <s v="Retail"/>
    <n v="17"/>
    <s v="Remote"/>
    <n v="50"/>
    <n v="2"/>
    <n v="4"/>
    <s v="Medium"/>
    <s v="Burnout"/>
    <s v="Yes"/>
    <s v="Decrease"/>
    <n v="5"/>
    <s v="Satisfied"/>
    <n v="5"/>
    <s v="Daily"/>
    <s v="Average"/>
    <x v="5"/>
  </r>
  <r>
    <s v="EMP0306"/>
    <n v="27"/>
    <s v="Prefer not to say"/>
    <s v="Data Scientist"/>
    <s v="Finance"/>
    <n v="16"/>
    <s v="Onsite"/>
    <n v="50"/>
    <n v="3"/>
    <n v="5"/>
    <s v="High"/>
    <s v="Burnout"/>
    <s v="Yes"/>
    <s v="No Change"/>
    <n v="2"/>
    <s v="Unsatisfied"/>
    <n v="5"/>
    <s v="Weekly"/>
    <s v="Good"/>
    <x v="0"/>
  </r>
  <r>
    <s v="EMP0307"/>
    <n v="35"/>
    <s v="Prefer not to say"/>
    <s v="Marketing"/>
    <s v="Manufacturing"/>
    <n v="14"/>
    <s v="Hybrid"/>
    <n v="27"/>
    <n v="10"/>
    <n v="2"/>
    <s v="Low"/>
    <s v="Depression"/>
    <s v="Yes"/>
    <s v="Decrease"/>
    <n v="4"/>
    <s v="Unsatisfied"/>
    <n v="5"/>
    <s v="None"/>
    <s v="Average"/>
    <x v="1"/>
  </r>
  <r>
    <s v="EMP0308"/>
    <n v="23"/>
    <s v="Male"/>
    <s v="Software Engineer"/>
    <s v="Consulting"/>
    <n v="3"/>
    <s v="Onsite"/>
    <n v="31"/>
    <n v="14"/>
    <n v="4"/>
    <s v="Medium"/>
    <s v="Depression"/>
    <s v="Yes"/>
    <s v="Increase"/>
    <n v="1"/>
    <s v="Satisfied"/>
    <n v="2"/>
    <s v="Weekly"/>
    <s v="Average"/>
    <x v="2"/>
  </r>
  <r>
    <s v="EMP0309"/>
    <n v="24"/>
    <s v="Prefer not to say"/>
    <s v="Designer"/>
    <s v="Finance"/>
    <n v="27"/>
    <s v="Hybrid"/>
    <n v="45"/>
    <n v="11"/>
    <n v="3"/>
    <s v="Low"/>
    <s v="Anxiety"/>
    <s v="Yes"/>
    <s v="Increase"/>
    <n v="3"/>
    <s v="Satisfied"/>
    <n v="4"/>
    <s v="Daily"/>
    <s v="Good"/>
    <x v="5"/>
  </r>
  <r>
    <s v="EMP0310"/>
    <n v="41"/>
    <s v="Non-binary"/>
    <s v="Sales"/>
    <s v="Education"/>
    <n v="25"/>
    <s v="Remote"/>
    <n v="23"/>
    <n v="8"/>
    <n v="2"/>
    <s v="Medium"/>
    <s v="None"/>
    <s v="Yes"/>
    <s v="No Change"/>
    <n v="2"/>
    <s v="Satisfied"/>
    <n v="2"/>
    <s v="Daily"/>
    <s v="Poor"/>
    <x v="5"/>
  </r>
  <r>
    <s v="EMP0311"/>
    <n v="41"/>
    <s v="Prefer not to say"/>
    <s v="Designer"/>
    <s v="IT"/>
    <n v="32"/>
    <s v="Onsite"/>
    <n v="42"/>
    <n v="14"/>
    <n v="3"/>
    <s v="Low"/>
    <s v="None"/>
    <s v="Yes"/>
    <s v="No Change"/>
    <n v="3"/>
    <s v="Neutral"/>
    <n v="1"/>
    <s v="Weekly"/>
    <s v="Good"/>
    <x v="1"/>
  </r>
  <r>
    <s v="EMP0312"/>
    <n v="43"/>
    <s v="Female"/>
    <s v="Data Scientist"/>
    <s v="Finance"/>
    <n v="16"/>
    <s v="Onsite"/>
    <n v="37"/>
    <n v="8"/>
    <n v="1"/>
    <s v="Medium"/>
    <s v="None"/>
    <s v="No"/>
    <s v="Decrease"/>
    <n v="2"/>
    <s v="Neutral"/>
    <n v="4"/>
    <s v="Weekly"/>
    <s v="Good"/>
    <x v="4"/>
  </r>
  <r>
    <s v="EMP0313"/>
    <n v="30"/>
    <s v="Non-binary"/>
    <s v="Sales"/>
    <s v="IT"/>
    <n v="15"/>
    <s v="Onsite"/>
    <n v="40"/>
    <n v="7"/>
    <n v="5"/>
    <s v="Low"/>
    <s v="Anxiety"/>
    <s v="Yes"/>
    <s v="Increase"/>
    <n v="2"/>
    <s v="Neutral"/>
    <n v="1"/>
    <s v="Daily"/>
    <s v="Good"/>
    <x v="3"/>
  </r>
  <r>
    <s v="EMP0314"/>
    <n v="44"/>
    <s v="Male"/>
    <s v="HR"/>
    <s v="Retail"/>
    <n v="26"/>
    <s v="Onsite"/>
    <n v="23"/>
    <n v="1"/>
    <n v="3"/>
    <s v="High"/>
    <s v="Depression"/>
    <s v="Yes"/>
    <s v="Decrease"/>
    <n v="2"/>
    <s v="Satisfied"/>
    <n v="5"/>
    <s v="Weekly"/>
    <s v="Good"/>
    <x v="5"/>
  </r>
  <r>
    <s v="EMP0315"/>
    <n v="50"/>
    <s v="Male"/>
    <s v="Marketing"/>
    <s v="Education"/>
    <n v="22"/>
    <s v="Remote"/>
    <n v="20"/>
    <n v="3"/>
    <n v="3"/>
    <s v="Medium"/>
    <s v="Burnout"/>
    <s v="Yes"/>
    <s v="Decrease"/>
    <n v="1"/>
    <s v="Satisfied"/>
    <n v="4"/>
    <s v="None"/>
    <s v="Poor"/>
    <x v="2"/>
  </r>
  <r>
    <s v="EMP0316"/>
    <n v="48"/>
    <s v="Non-binary"/>
    <s v="Designer"/>
    <s v="Manufacturing"/>
    <n v="16"/>
    <s v="Remote"/>
    <n v="51"/>
    <n v="8"/>
    <n v="5"/>
    <s v="Medium"/>
    <s v="Anxiety"/>
    <s v="No"/>
    <s v="Increase"/>
    <n v="2"/>
    <s v="Neutral"/>
    <n v="5"/>
    <s v="Weekly"/>
    <s v="Poor"/>
    <x v="1"/>
  </r>
  <r>
    <s v="EMP0317"/>
    <n v="45"/>
    <s v="Male"/>
    <s v="Marketing"/>
    <s v="IT"/>
    <n v="2"/>
    <s v="Onsite"/>
    <n v="46"/>
    <n v="1"/>
    <n v="2"/>
    <s v="Low"/>
    <s v="Depression"/>
    <s v="Yes"/>
    <s v="Decrease"/>
    <n v="3"/>
    <s v="Neutral"/>
    <n v="1"/>
    <s v="Daily"/>
    <s v="Good"/>
    <x v="1"/>
  </r>
  <r>
    <s v="EMP0318"/>
    <n v="60"/>
    <s v="Male"/>
    <s v="HR"/>
    <s v="Education"/>
    <n v="6"/>
    <s v="Remote"/>
    <n v="37"/>
    <n v="7"/>
    <n v="2"/>
    <s v="Medium"/>
    <s v="Anxiety"/>
    <s v="Yes"/>
    <s v="Increase"/>
    <n v="1"/>
    <s v="Unsatisfied"/>
    <n v="2"/>
    <s v="Weekly"/>
    <s v="Poor"/>
    <x v="0"/>
  </r>
  <r>
    <s v="EMP0319"/>
    <n v="51"/>
    <s v="Prefer not to say"/>
    <s v="Project Manager"/>
    <s v="Education"/>
    <n v="6"/>
    <s v="Onsite"/>
    <n v="42"/>
    <n v="4"/>
    <n v="2"/>
    <s v="Low"/>
    <s v="Burnout"/>
    <s v="No"/>
    <s v="No Change"/>
    <n v="1"/>
    <s v="Satisfied"/>
    <n v="5"/>
    <s v="None"/>
    <s v="Average"/>
    <x v="5"/>
  </r>
  <r>
    <s v="EMP0320"/>
    <n v="48"/>
    <s v="Prefer not to say"/>
    <s v="HR"/>
    <s v="Retail"/>
    <n v="4"/>
    <s v="Hybrid"/>
    <n v="53"/>
    <n v="15"/>
    <n v="4"/>
    <s v="Low"/>
    <s v="None"/>
    <s v="Yes"/>
    <s v="No Change"/>
    <n v="1"/>
    <s v="Neutral"/>
    <n v="2"/>
    <s v="Weekly"/>
    <s v="Good"/>
    <x v="0"/>
  </r>
  <r>
    <s v="EMP0321"/>
    <n v="43"/>
    <s v="Female"/>
    <s v="Marketing"/>
    <s v="Consulting"/>
    <n v="25"/>
    <s v="Hybrid"/>
    <n v="26"/>
    <n v="0"/>
    <n v="2"/>
    <s v="Low"/>
    <s v="Burnout"/>
    <s v="Yes"/>
    <s v="Increase"/>
    <n v="4"/>
    <s v="Neutral"/>
    <n v="3"/>
    <s v="Daily"/>
    <s v="Poor"/>
    <x v="5"/>
  </r>
  <r>
    <s v="EMP0322"/>
    <n v="23"/>
    <s v="Prefer not to say"/>
    <s v="Marketing"/>
    <s v="Education"/>
    <n v="31"/>
    <s v="Onsite"/>
    <n v="48"/>
    <n v="9"/>
    <n v="3"/>
    <s v="Medium"/>
    <s v="None"/>
    <s v="No"/>
    <s v="Increase"/>
    <n v="3"/>
    <s v="Unsatisfied"/>
    <n v="5"/>
    <s v="None"/>
    <s v="Good"/>
    <x v="3"/>
  </r>
  <r>
    <s v="EMP0323"/>
    <n v="32"/>
    <s v="Male"/>
    <s v="Marketing"/>
    <s v="Education"/>
    <n v="1"/>
    <s v="Onsite"/>
    <n v="58"/>
    <n v="0"/>
    <n v="3"/>
    <s v="Low"/>
    <s v="Anxiety"/>
    <s v="Yes"/>
    <s v="Decrease"/>
    <n v="4"/>
    <s v="Neutral"/>
    <n v="5"/>
    <s v="None"/>
    <s v="Poor"/>
    <x v="1"/>
  </r>
  <r>
    <s v="EMP0324"/>
    <n v="44"/>
    <s v="Non-binary"/>
    <s v="HR"/>
    <s v="Consulting"/>
    <n v="29"/>
    <s v="Hybrid"/>
    <n v="52"/>
    <n v="7"/>
    <n v="1"/>
    <s v="Medium"/>
    <s v="Burnout"/>
    <s v="Yes"/>
    <s v="Increase"/>
    <n v="1"/>
    <s v="Unsatisfied"/>
    <n v="2"/>
    <s v="Daily"/>
    <s v="Poor"/>
    <x v="1"/>
  </r>
  <r>
    <s v="EMP0325"/>
    <n v="36"/>
    <s v="Female"/>
    <s v="Marketing"/>
    <s v="Finance"/>
    <n v="4"/>
    <s v="Hybrid"/>
    <n v="52"/>
    <n v="13"/>
    <n v="4"/>
    <s v="High"/>
    <s v="Anxiety"/>
    <s v="No"/>
    <s v="Decrease"/>
    <n v="3"/>
    <s v="Unsatisfied"/>
    <n v="1"/>
    <s v="None"/>
    <s v="Good"/>
    <x v="4"/>
  </r>
  <r>
    <s v="EMP0326"/>
    <n v="50"/>
    <s v="Male"/>
    <s v="Designer"/>
    <s v="Manufacturing"/>
    <n v="2"/>
    <s v="Onsite"/>
    <n v="49"/>
    <n v="7"/>
    <n v="2"/>
    <s v="Low"/>
    <s v="None"/>
    <s v="Yes"/>
    <s v="Decrease"/>
    <n v="1"/>
    <s v="Satisfied"/>
    <n v="3"/>
    <s v="Daily"/>
    <s v="Poor"/>
    <x v="4"/>
  </r>
  <r>
    <s v="EMP0327"/>
    <n v="54"/>
    <s v="Non-binary"/>
    <s v="Marketing"/>
    <s v="Consulting"/>
    <n v="19"/>
    <s v="Hybrid"/>
    <n v="55"/>
    <n v="4"/>
    <n v="2"/>
    <s v="High"/>
    <s v="Anxiety"/>
    <s v="No"/>
    <s v="Increase"/>
    <n v="5"/>
    <s v="Satisfied"/>
    <n v="4"/>
    <s v="Weekly"/>
    <s v="Poor"/>
    <x v="2"/>
  </r>
  <r>
    <s v="EMP0328"/>
    <n v="54"/>
    <s v="Male"/>
    <s v="Designer"/>
    <s v="Healthcare"/>
    <n v="13"/>
    <s v="Remote"/>
    <n v="33"/>
    <n v="0"/>
    <n v="2"/>
    <s v="High"/>
    <s v="Depression"/>
    <s v="Yes"/>
    <s v="Increase"/>
    <n v="4"/>
    <s v="Satisfied"/>
    <n v="3"/>
    <s v="Weekly"/>
    <s v="Average"/>
    <x v="4"/>
  </r>
  <r>
    <s v="EMP0329"/>
    <n v="33"/>
    <s v="Prefer not to say"/>
    <s v="HR"/>
    <s v="Healthcare"/>
    <n v="2"/>
    <s v="Onsite"/>
    <n v="24"/>
    <n v="12"/>
    <n v="1"/>
    <s v="High"/>
    <s v="Depression"/>
    <s v="Yes"/>
    <s v="Increase"/>
    <n v="1"/>
    <s v="Neutral"/>
    <n v="4"/>
    <s v="Daily"/>
    <s v="Poor"/>
    <x v="3"/>
  </r>
  <r>
    <s v="EMP0330"/>
    <n v="47"/>
    <s v="Prefer not to say"/>
    <s v="Sales"/>
    <s v="Consulting"/>
    <n v="31"/>
    <s v="Onsite"/>
    <n v="21"/>
    <n v="15"/>
    <n v="5"/>
    <s v="Low"/>
    <s v="Depression"/>
    <s v="Yes"/>
    <s v="Increase"/>
    <n v="3"/>
    <s v="Unsatisfied"/>
    <n v="5"/>
    <s v="None"/>
    <s v="Average"/>
    <x v="2"/>
  </r>
  <r>
    <s v="EMP0331"/>
    <n v="25"/>
    <s v="Prefer not to say"/>
    <s v="Software Engineer"/>
    <s v="Education"/>
    <n v="28"/>
    <s v="Remote"/>
    <n v="55"/>
    <n v="12"/>
    <n v="5"/>
    <s v="Low"/>
    <s v="Depression"/>
    <s v="No"/>
    <s v="Increase"/>
    <n v="3"/>
    <s v="Satisfied"/>
    <n v="3"/>
    <s v="None"/>
    <s v="Good"/>
    <x v="5"/>
  </r>
  <r>
    <s v="EMP0332"/>
    <n v="38"/>
    <s v="Male"/>
    <s v="Sales"/>
    <s v="Education"/>
    <n v="25"/>
    <s v="Remote"/>
    <n v="44"/>
    <n v="10"/>
    <n v="5"/>
    <s v="Medium"/>
    <s v="Depression"/>
    <s v="Yes"/>
    <s v="Decrease"/>
    <n v="1"/>
    <s v="Satisfied"/>
    <n v="5"/>
    <s v="Daily"/>
    <s v="Average"/>
    <x v="0"/>
  </r>
  <r>
    <s v="EMP0333"/>
    <n v="31"/>
    <s v="Female"/>
    <s v="Software Engineer"/>
    <s v="Manufacturing"/>
    <n v="21"/>
    <s v="Onsite"/>
    <n v="24"/>
    <n v="7"/>
    <n v="4"/>
    <s v="Medium"/>
    <s v="None"/>
    <s v="Yes"/>
    <s v="Decrease"/>
    <n v="5"/>
    <s v="Neutral"/>
    <n v="4"/>
    <s v="None"/>
    <s v="Good"/>
    <x v="1"/>
  </r>
  <r>
    <s v="EMP0334"/>
    <n v="58"/>
    <s v="Male"/>
    <s v="Marketing"/>
    <s v="IT"/>
    <n v="11"/>
    <s v="Onsite"/>
    <n v="25"/>
    <n v="6"/>
    <n v="2"/>
    <s v="High"/>
    <s v="Anxiety"/>
    <s v="No"/>
    <s v="Increase"/>
    <n v="5"/>
    <s v="Unsatisfied"/>
    <n v="4"/>
    <s v="Daily"/>
    <s v="Poor"/>
    <x v="4"/>
  </r>
  <r>
    <s v="EMP0335"/>
    <n v="28"/>
    <s v="Prefer not to say"/>
    <s v="Designer"/>
    <s v="Education"/>
    <n v="16"/>
    <s v="Hybrid"/>
    <n v="40"/>
    <n v="0"/>
    <n v="4"/>
    <s v="High"/>
    <s v="Burnout"/>
    <s v="Yes"/>
    <s v="Increase"/>
    <n v="2"/>
    <s v="Satisfied"/>
    <n v="3"/>
    <s v="Daily"/>
    <s v="Good"/>
    <x v="5"/>
  </r>
  <r>
    <s v="EMP0336"/>
    <n v="54"/>
    <s v="Prefer not to say"/>
    <s v="Sales"/>
    <s v="IT"/>
    <n v="32"/>
    <s v="Hybrid"/>
    <n v="59"/>
    <n v="3"/>
    <n v="2"/>
    <s v="Low"/>
    <s v="Anxiety"/>
    <s v="Yes"/>
    <s v="Increase"/>
    <n v="2"/>
    <s v="Satisfied"/>
    <n v="1"/>
    <s v="Weekly"/>
    <s v="Poor"/>
    <x v="1"/>
  </r>
  <r>
    <s v="EMP0337"/>
    <n v="60"/>
    <s v="Female"/>
    <s v="Software Engineer"/>
    <s v="IT"/>
    <n v="31"/>
    <s v="Onsite"/>
    <n v="22"/>
    <n v="9"/>
    <n v="4"/>
    <s v="High"/>
    <s v="Burnout"/>
    <s v="Yes"/>
    <s v="Decrease"/>
    <n v="1"/>
    <s v="Unsatisfied"/>
    <n v="2"/>
    <s v="Daily"/>
    <s v="Poor"/>
    <x v="3"/>
  </r>
  <r>
    <s v="EMP0338"/>
    <n v="38"/>
    <s v="Non-binary"/>
    <s v="Designer"/>
    <s v="Consulting"/>
    <n v="4"/>
    <s v="Hybrid"/>
    <n v="47"/>
    <n v="15"/>
    <n v="5"/>
    <s v="Medium"/>
    <s v="None"/>
    <s v="No"/>
    <s v="Increase"/>
    <n v="2"/>
    <s v="Neutral"/>
    <n v="2"/>
    <s v="Daily"/>
    <s v="Poor"/>
    <x v="2"/>
  </r>
  <r>
    <s v="EMP0339"/>
    <n v="31"/>
    <s v="Female"/>
    <s v="Sales"/>
    <s v="Finance"/>
    <n v="32"/>
    <s v="Hybrid"/>
    <n v="31"/>
    <n v="15"/>
    <n v="2"/>
    <s v="Low"/>
    <s v="Depression"/>
    <s v="No"/>
    <s v="Decrease"/>
    <n v="1"/>
    <s v="Unsatisfied"/>
    <n v="1"/>
    <s v="None"/>
    <s v="Good"/>
    <x v="0"/>
  </r>
  <r>
    <s v="EMP0340"/>
    <n v="42"/>
    <s v="Non-binary"/>
    <s v="Designer"/>
    <s v="IT"/>
    <n v="2"/>
    <s v="Onsite"/>
    <n v="41"/>
    <n v="5"/>
    <n v="5"/>
    <s v="High"/>
    <s v="None"/>
    <s v="No"/>
    <s v="No Change"/>
    <n v="1"/>
    <s v="Neutral"/>
    <n v="5"/>
    <s v="Weekly"/>
    <s v="Poor"/>
    <x v="3"/>
  </r>
  <r>
    <s v="EMP0341"/>
    <n v="52"/>
    <s v="Female"/>
    <s v="Data Scientist"/>
    <s v="Manufacturing"/>
    <n v="18"/>
    <s v="Remote"/>
    <n v="52"/>
    <n v="0"/>
    <n v="1"/>
    <s v="High"/>
    <s v="Burnout"/>
    <s v="Yes"/>
    <s v="No Change"/>
    <n v="2"/>
    <s v="Unsatisfied"/>
    <n v="2"/>
    <s v="None"/>
    <s v="Good"/>
    <x v="2"/>
  </r>
  <r>
    <s v="EMP0342"/>
    <n v="41"/>
    <s v="Female"/>
    <s v="HR"/>
    <s v="Finance"/>
    <n v="6"/>
    <s v="Hybrid"/>
    <n v="48"/>
    <n v="0"/>
    <n v="2"/>
    <s v="Low"/>
    <s v="Burnout"/>
    <s v="Yes"/>
    <s v="Decrease"/>
    <n v="5"/>
    <s v="Satisfied"/>
    <n v="4"/>
    <s v="None"/>
    <s v="Good"/>
    <x v="1"/>
  </r>
  <r>
    <s v="EMP0343"/>
    <n v="44"/>
    <s v="Male"/>
    <s v="Project Manager"/>
    <s v="Finance"/>
    <n v="20"/>
    <s v="Onsite"/>
    <n v="41"/>
    <n v="14"/>
    <n v="5"/>
    <s v="Medium"/>
    <s v="Depression"/>
    <s v="Yes"/>
    <s v="Increase"/>
    <n v="1"/>
    <s v="Unsatisfied"/>
    <n v="3"/>
    <s v="None"/>
    <s v="Poor"/>
    <x v="2"/>
  </r>
  <r>
    <s v="EMP0344"/>
    <n v="42"/>
    <s v="Female"/>
    <s v="Data Scientist"/>
    <s v="Finance"/>
    <n v="15"/>
    <s v="Remote"/>
    <n v="21"/>
    <n v="7"/>
    <n v="3"/>
    <s v="High"/>
    <s v="Burnout"/>
    <s v="Yes"/>
    <s v="No Change"/>
    <n v="4"/>
    <s v="Satisfied"/>
    <n v="5"/>
    <s v="None"/>
    <s v="Average"/>
    <x v="3"/>
  </r>
  <r>
    <s v="EMP0345"/>
    <n v="53"/>
    <s v="Male"/>
    <s v="Software Engineer"/>
    <s v="Healthcare"/>
    <n v="3"/>
    <s v="Hybrid"/>
    <n v="49"/>
    <n v="15"/>
    <n v="2"/>
    <s v="Low"/>
    <s v="Burnout"/>
    <s v="No"/>
    <s v="Decrease"/>
    <n v="2"/>
    <s v="Satisfied"/>
    <n v="4"/>
    <s v="Daily"/>
    <s v="Poor"/>
    <x v="5"/>
  </r>
  <r>
    <s v="EMP0346"/>
    <n v="52"/>
    <s v="Female"/>
    <s v="Software Engineer"/>
    <s v="Education"/>
    <n v="29"/>
    <s v="Remote"/>
    <n v="32"/>
    <n v="7"/>
    <n v="4"/>
    <s v="High"/>
    <s v="Depression"/>
    <s v="No"/>
    <s v="Decrease"/>
    <n v="3"/>
    <s v="Unsatisfied"/>
    <n v="5"/>
    <s v="None"/>
    <s v="Good"/>
    <x v="2"/>
  </r>
  <r>
    <s v="EMP0347"/>
    <n v="23"/>
    <s v="Non-binary"/>
    <s v="Marketing"/>
    <s v="Education"/>
    <n v="12"/>
    <s v="Remote"/>
    <n v="40"/>
    <n v="12"/>
    <n v="1"/>
    <s v="Medium"/>
    <s v="None"/>
    <s v="Yes"/>
    <s v="No Change"/>
    <n v="1"/>
    <s v="Unsatisfied"/>
    <n v="3"/>
    <s v="Daily"/>
    <s v="Average"/>
    <x v="5"/>
  </r>
  <r>
    <s v="EMP0348"/>
    <n v="24"/>
    <s v="Female"/>
    <s v="Sales"/>
    <s v="Finance"/>
    <n v="23"/>
    <s v="Onsite"/>
    <n v="22"/>
    <n v="10"/>
    <n v="4"/>
    <s v="High"/>
    <s v="Burnout"/>
    <s v="Yes"/>
    <s v="No Change"/>
    <n v="3"/>
    <s v="Unsatisfied"/>
    <n v="3"/>
    <s v="Weekly"/>
    <s v="Average"/>
    <x v="5"/>
  </r>
  <r>
    <s v="EMP0349"/>
    <n v="41"/>
    <s v="Prefer not to say"/>
    <s v="Project Manager"/>
    <s v="Consulting"/>
    <n v="34"/>
    <s v="Hybrid"/>
    <n v="44"/>
    <n v="9"/>
    <n v="3"/>
    <s v="Low"/>
    <s v="None"/>
    <s v="Yes"/>
    <s v="Decrease"/>
    <n v="2"/>
    <s v="Neutral"/>
    <n v="5"/>
    <s v="Weekly"/>
    <s v="Good"/>
    <x v="1"/>
  </r>
  <r>
    <s v="EMP0350"/>
    <n v="60"/>
    <s v="Prefer not to say"/>
    <s v="HR"/>
    <s v="Manufacturing"/>
    <n v="16"/>
    <s v="Onsite"/>
    <n v="41"/>
    <n v="15"/>
    <n v="1"/>
    <s v="Medium"/>
    <s v="None"/>
    <s v="Yes"/>
    <s v="Decrease"/>
    <n v="4"/>
    <s v="Unsatisfied"/>
    <n v="4"/>
    <s v="Weekly"/>
    <s v="Good"/>
    <x v="5"/>
  </r>
  <r>
    <s v="EMP0351"/>
    <n v="25"/>
    <s v="Prefer not to say"/>
    <s v="Designer"/>
    <s v="Manufacturing"/>
    <n v="6"/>
    <s v="Remote"/>
    <n v="37"/>
    <n v="11"/>
    <n v="1"/>
    <s v="High"/>
    <s v="Burnout"/>
    <s v="Yes"/>
    <s v="Decrease"/>
    <n v="3"/>
    <s v="Unsatisfied"/>
    <n v="2"/>
    <s v="Weekly"/>
    <s v="Average"/>
    <x v="3"/>
  </r>
  <r>
    <s v="EMP0352"/>
    <n v="55"/>
    <s v="Prefer not to say"/>
    <s v="HR"/>
    <s v="Healthcare"/>
    <n v="18"/>
    <s v="Onsite"/>
    <n v="54"/>
    <n v="12"/>
    <n v="3"/>
    <s v="Medium"/>
    <s v="Anxiety"/>
    <s v="No"/>
    <s v="Increase"/>
    <n v="2"/>
    <s v="Neutral"/>
    <n v="3"/>
    <s v="None"/>
    <s v="Average"/>
    <x v="2"/>
  </r>
  <r>
    <s v="EMP0353"/>
    <n v="33"/>
    <s v="Non-binary"/>
    <s v="Software Engineer"/>
    <s v="Retail"/>
    <n v="3"/>
    <s v="Onsite"/>
    <n v="31"/>
    <n v="3"/>
    <n v="1"/>
    <s v="Low"/>
    <s v="Depression"/>
    <s v="No"/>
    <s v="Decrease"/>
    <n v="2"/>
    <s v="Satisfied"/>
    <n v="2"/>
    <s v="None"/>
    <s v="Good"/>
    <x v="3"/>
  </r>
  <r>
    <s v="EMP0354"/>
    <n v="43"/>
    <s v="Prefer not to say"/>
    <s v="Data Scientist"/>
    <s v="Consulting"/>
    <n v="14"/>
    <s v="Hybrid"/>
    <n v="53"/>
    <n v="13"/>
    <n v="2"/>
    <s v="Medium"/>
    <s v="Depression"/>
    <s v="Yes"/>
    <s v="Decrease"/>
    <n v="5"/>
    <s v="Unsatisfied"/>
    <n v="5"/>
    <s v="Weekly"/>
    <s v="Average"/>
    <x v="5"/>
  </r>
  <r>
    <s v="EMP0355"/>
    <n v="59"/>
    <s v="Male"/>
    <s v="Project Manager"/>
    <s v="Education"/>
    <n v="20"/>
    <s v="Remote"/>
    <n v="23"/>
    <n v="13"/>
    <n v="5"/>
    <s v="Medium"/>
    <s v="Anxiety"/>
    <s v="Yes"/>
    <s v="Increase"/>
    <n v="4"/>
    <s v="Satisfied"/>
    <n v="3"/>
    <s v="Daily"/>
    <s v="Average"/>
    <x v="5"/>
  </r>
  <r>
    <s v="EMP0356"/>
    <n v="48"/>
    <s v="Male"/>
    <s v="Sales"/>
    <s v="Healthcare"/>
    <n v="2"/>
    <s v="Remote"/>
    <n v="58"/>
    <n v="3"/>
    <n v="1"/>
    <s v="Low"/>
    <s v="Depression"/>
    <s v="Yes"/>
    <s v="Increase"/>
    <n v="2"/>
    <s v="Satisfied"/>
    <n v="2"/>
    <s v="None"/>
    <s v="Good"/>
    <x v="3"/>
  </r>
  <r>
    <s v="EMP0357"/>
    <n v="31"/>
    <s v="Non-binary"/>
    <s v="HR"/>
    <s v="Finance"/>
    <n v="9"/>
    <s v="Remote"/>
    <n v="26"/>
    <n v="7"/>
    <n v="1"/>
    <s v="Low"/>
    <s v="None"/>
    <s v="No"/>
    <s v="Increase"/>
    <n v="2"/>
    <s v="Neutral"/>
    <n v="2"/>
    <s v="Daily"/>
    <s v="Good"/>
    <x v="1"/>
  </r>
  <r>
    <s v="EMP0358"/>
    <n v="28"/>
    <s v="Male"/>
    <s v="Designer"/>
    <s v="Manufacturing"/>
    <n v="23"/>
    <s v="Remote"/>
    <n v="46"/>
    <n v="7"/>
    <n v="3"/>
    <s v="Medium"/>
    <s v="None"/>
    <s v="Yes"/>
    <s v="Decrease"/>
    <n v="4"/>
    <s v="Unsatisfied"/>
    <n v="3"/>
    <s v="Daily"/>
    <s v="Poor"/>
    <x v="1"/>
  </r>
  <r>
    <s v="EMP0359"/>
    <n v="49"/>
    <s v="Male"/>
    <s v="Sales"/>
    <s v="Manufacturing"/>
    <n v="6"/>
    <s v="Remote"/>
    <n v="20"/>
    <n v="7"/>
    <n v="3"/>
    <s v="Medium"/>
    <s v="Anxiety"/>
    <s v="No"/>
    <s v="Increase"/>
    <n v="4"/>
    <s v="Neutral"/>
    <n v="4"/>
    <s v="Weekly"/>
    <s v="Average"/>
    <x v="3"/>
  </r>
  <r>
    <s v="EMP0360"/>
    <n v="56"/>
    <s v="Prefer not to say"/>
    <s v="HR"/>
    <s v="Finance"/>
    <n v="13"/>
    <s v="Hybrid"/>
    <n v="56"/>
    <n v="0"/>
    <n v="2"/>
    <s v="Medium"/>
    <s v="Depression"/>
    <s v="Yes"/>
    <s v="Decrease"/>
    <n v="4"/>
    <s v="Satisfied"/>
    <n v="2"/>
    <s v="Daily"/>
    <s v="Good"/>
    <x v="0"/>
  </r>
  <r>
    <s v="EMP0361"/>
    <n v="56"/>
    <s v="Non-binary"/>
    <s v="Sales"/>
    <s v="Retail"/>
    <n v="30"/>
    <s v="Onsite"/>
    <n v="28"/>
    <n v="15"/>
    <n v="1"/>
    <s v="Medium"/>
    <s v="Burnout"/>
    <s v="No"/>
    <s v="Increase"/>
    <n v="1"/>
    <s v="Satisfied"/>
    <n v="5"/>
    <s v="Daily"/>
    <s v="Poor"/>
    <x v="1"/>
  </r>
  <r>
    <s v="EMP0362"/>
    <n v="51"/>
    <s v="Female"/>
    <s v="Sales"/>
    <s v="Consulting"/>
    <n v="10"/>
    <s v="Hybrid"/>
    <n v="39"/>
    <n v="2"/>
    <n v="1"/>
    <s v="Medium"/>
    <s v="None"/>
    <s v="Yes"/>
    <s v="Increase"/>
    <n v="5"/>
    <s v="Satisfied"/>
    <n v="5"/>
    <s v="None"/>
    <s v="Average"/>
    <x v="0"/>
  </r>
  <r>
    <s v="EMP0363"/>
    <n v="38"/>
    <s v="Non-binary"/>
    <s v="Designer"/>
    <s v="Manufacturing"/>
    <n v="11"/>
    <s v="Onsite"/>
    <n v="22"/>
    <n v="10"/>
    <n v="4"/>
    <s v="Medium"/>
    <s v="None"/>
    <s v="Yes"/>
    <s v="Increase"/>
    <n v="1"/>
    <s v="Satisfied"/>
    <n v="4"/>
    <s v="None"/>
    <s v="Average"/>
    <x v="3"/>
  </r>
  <r>
    <s v="EMP0364"/>
    <n v="40"/>
    <s v="Male"/>
    <s v="Project Manager"/>
    <s v="IT"/>
    <n v="9"/>
    <s v="Onsite"/>
    <n v="32"/>
    <n v="4"/>
    <n v="3"/>
    <s v="High"/>
    <s v="Anxiety"/>
    <s v="Yes"/>
    <s v="No Change"/>
    <n v="2"/>
    <s v="Unsatisfied"/>
    <n v="2"/>
    <s v="Weekly"/>
    <s v="Good"/>
    <x v="3"/>
  </r>
  <r>
    <s v="EMP0365"/>
    <n v="56"/>
    <s v="Non-binary"/>
    <s v="Project Manager"/>
    <s v="Consulting"/>
    <n v="23"/>
    <s v="Hybrid"/>
    <n v="28"/>
    <n v="9"/>
    <n v="1"/>
    <s v="Low"/>
    <s v="None"/>
    <s v="No"/>
    <s v="No Change"/>
    <n v="2"/>
    <s v="Neutral"/>
    <n v="2"/>
    <s v="Daily"/>
    <s v="Poor"/>
    <x v="5"/>
  </r>
  <r>
    <s v="EMP0366"/>
    <n v="33"/>
    <s v="Non-binary"/>
    <s v="Sales"/>
    <s v="IT"/>
    <n v="12"/>
    <s v="Hybrid"/>
    <n v="22"/>
    <n v="6"/>
    <n v="4"/>
    <s v="Medium"/>
    <s v="None"/>
    <s v="No"/>
    <s v="Decrease"/>
    <n v="2"/>
    <s v="Neutral"/>
    <n v="2"/>
    <s v="Weekly"/>
    <s v="Poor"/>
    <x v="3"/>
  </r>
  <r>
    <s v="EMP0367"/>
    <n v="45"/>
    <s v="Male"/>
    <s v="Marketing"/>
    <s v="Manufacturing"/>
    <n v="28"/>
    <s v="Onsite"/>
    <n v="53"/>
    <n v="2"/>
    <n v="5"/>
    <s v="Medium"/>
    <s v="Depression"/>
    <s v="No"/>
    <s v="Increase"/>
    <n v="3"/>
    <s v="Neutral"/>
    <n v="2"/>
    <s v="None"/>
    <s v="Poor"/>
    <x v="0"/>
  </r>
  <r>
    <s v="EMP0368"/>
    <n v="55"/>
    <s v="Non-binary"/>
    <s v="Sales"/>
    <s v="IT"/>
    <n v="32"/>
    <s v="Hybrid"/>
    <n v="33"/>
    <n v="11"/>
    <n v="2"/>
    <s v="Medium"/>
    <s v="Anxiety"/>
    <s v="No"/>
    <s v="Decrease"/>
    <n v="2"/>
    <s v="Neutral"/>
    <n v="1"/>
    <s v="Daily"/>
    <s v="Good"/>
    <x v="0"/>
  </r>
  <r>
    <s v="EMP0369"/>
    <n v="39"/>
    <s v="Female"/>
    <s v="Data Scientist"/>
    <s v="Manufacturing"/>
    <n v="33"/>
    <s v="Remote"/>
    <n v="34"/>
    <n v="5"/>
    <n v="1"/>
    <s v="High"/>
    <s v="Burnout"/>
    <s v="Yes"/>
    <s v="No Change"/>
    <n v="4"/>
    <s v="Satisfied"/>
    <n v="2"/>
    <s v="Daily"/>
    <s v="Good"/>
    <x v="3"/>
  </r>
  <r>
    <s v="EMP0370"/>
    <n v="58"/>
    <s v="Non-binary"/>
    <s v="Software Engineer"/>
    <s v="Education"/>
    <n v="2"/>
    <s v="Remote"/>
    <n v="50"/>
    <n v="0"/>
    <n v="4"/>
    <s v="Low"/>
    <s v="Burnout"/>
    <s v="No"/>
    <s v="No Change"/>
    <n v="1"/>
    <s v="Neutral"/>
    <n v="5"/>
    <s v="Daily"/>
    <s v="Good"/>
    <x v="5"/>
  </r>
  <r>
    <s v="EMP0371"/>
    <n v="41"/>
    <s v="Non-binary"/>
    <s v="Data Scientist"/>
    <s v="Healthcare"/>
    <n v="33"/>
    <s v="Onsite"/>
    <n v="28"/>
    <n v="1"/>
    <n v="1"/>
    <s v="Medium"/>
    <s v="None"/>
    <s v="Yes"/>
    <s v="Decrease"/>
    <n v="1"/>
    <s v="Satisfied"/>
    <n v="5"/>
    <s v="None"/>
    <s v="Average"/>
    <x v="4"/>
  </r>
  <r>
    <s v="EMP0372"/>
    <n v="57"/>
    <s v="Prefer not to say"/>
    <s v="Marketing"/>
    <s v="Healthcare"/>
    <n v="16"/>
    <s v="Onsite"/>
    <n v="51"/>
    <n v="7"/>
    <n v="4"/>
    <s v="Medium"/>
    <s v="None"/>
    <s v="No"/>
    <s v="Increase"/>
    <n v="2"/>
    <s v="Unsatisfied"/>
    <n v="4"/>
    <s v="Weekly"/>
    <s v="Good"/>
    <x v="0"/>
  </r>
  <r>
    <s v="EMP0373"/>
    <n v="31"/>
    <s v="Female"/>
    <s v="Software Engineer"/>
    <s v="Education"/>
    <n v="12"/>
    <s v="Remote"/>
    <n v="35"/>
    <n v="0"/>
    <n v="5"/>
    <s v="High"/>
    <s v="Depression"/>
    <s v="No"/>
    <s v="No Change"/>
    <n v="5"/>
    <s v="Neutral"/>
    <n v="4"/>
    <s v="None"/>
    <s v="Good"/>
    <x v="5"/>
  </r>
  <r>
    <s v="EMP0374"/>
    <n v="34"/>
    <s v="Prefer not to say"/>
    <s v="Sales"/>
    <s v="Healthcare"/>
    <n v="25"/>
    <s v="Remote"/>
    <n v="39"/>
    <n v="8"/>
    <n v="3"/>
    <s v="Medium"/>
    <s v="None"/>
    <s v="Yes"/>
    <s v="Increase"/>
    <n v="2"/>
    <s v="Unsatisfied"/>
    <n v="2"/>
    <s v="Weekly"/>
    <s v="Average"/>
    <x v="4"/>
  </r>
  <r>
    <s v="EMP0375"/>
    <n v="39"/>
    <s v="Prefer not to say"/>
    <s v="Software Engineer"/>
    <s v="Healthcare"/>
    <n v="8"/>
    <s v="Hybrid"/>
    <n v="58"/>
    <n v="14"/>
    <n v="1"/>
    <s v="High"/>
    <s v="None"/>
    <s v="Yes"/>
    <s v="Increase"/>
    <n v="1"/>
    <s v="Unsatisfied"/>
    <n v="3"/>
    <s v="Daily"/>
    <s v="Poor"/>
    <x v="4"/>
  </r>
  <r>
    <s v="EMP0376"/>
    <n v="29"/>
    <s v="Non-binary"/>
    <s v="Designer"/>
    <s v="IT"/>
    <n v="26"/>
    <s v="Hybrid"/>
    <n v="34"/>
    <n v="3"/>
    <n v="3"/>
    <s v="Low"/>
    <s v="Anxiety"/>
    <s v="No"/>
    <s v="Decrease"/>
    <n v="2"/>
    <s v="Neutral"/>
    <n v="2"/>
    <s v="Daily"/>
    <s v="Good"/>
    <x v="4"/>
  </r>
  <r>
    <s v="EMP0377"/>
    <n v="31"/>
    <s v="Prefer not to say"/>
    <s v="Designer"/>
    <s v="IT"/>
    <n v="7"/>
    <s v="Hybrid"/>
    <n v="48"/>
    <n v="4"/>
    <n v="1"/>
    <s v="Medium"/>
    <s v="None"/>
    <s v="No"/>
    <s v="Decrease"/>
    <n v="2"/>
    <s v="Neutral"/>
    <n v="4"/>
    <s v="None"/>
    <s v="Poor"/>
    <x v="3"/>
  </r>
  <r>
    <s v="EMP0378"/>
    <n v="30"/>
    <s v="Female"/>
    <s v="Designer"/>
    <s v="Healthcare"/>
    <n v="2"/>
    <s v="Remote"/>
    <n v="52"/>
    <n v="0"/>
    <n v="5"/>
    <s v="High"/>
    <s v="Burnout"/>
    <s v="No"/>
    <s v="No Change"/>
    <n v="3"/>
    <s v="Unsatisfied"/>
    <n v="5"/>
    <s v="Daily"/>
    <s v="Good"/>
    <x v="0"/>
  </r>
  <r>
    <s v="EMP0379"/>
    <n v="53"/>
    <s v="Prefer not to say"/>
    <s v="Designer"/>
    <s v="Healthcare"/>
    <n v="35"/>
    <s v="Remote"/>
    <n v="59"/>
    <n v="8"/>
    <n v="5"/>
    <s v="High"/>
    <s v="None"/>
    <s v="Yes"/>
    <s v="Increase"/>
    <n v="3"/>
    <s v="Neutral"/>
    <n v="1"/>
    <s v="Daily"/>
    <s v="Good"/>
    <x v="5"/>
  </r>
  <r>
    <s v="EMP0380"/>
    <n v="27"/>
    <s v="Male"/>
    <s v="Marketing"/>
    <s v="Consulting"/>
    <n v="15"/>
    <s v="Remote"/>
    <n v="32"/>
    <n v="14"/>
    <n v="2"/>
    <s v="High"/>
    <s v="Burnout"/>
    <s v="No"/>
    <s v="Decrease"/>
    <n v="5"/>
    <s v="Neutral"/>
    <n v="1"/>
    <s v="None"/>
    <s v="Poor"/>
    <x v="4"/>
  </r>
  <r>
    <s v="EMP0381"/>
    <n v="39"/>
    <s v="Male"/>
    <s v="Designer"/>
    <s v="Education"/>
    <n v="28"/>
    <s v="Remote"/>
    <n v="41"/>
    <n v="4"/>
    <n v="3"/>
    <s v="Medium"/>
    <s v="None"/>
    <s v="Yes"/>
    <s v="Increase"/>
    <n v="4"/>
    <s v="Unsatisfied"/>
    <n v="2"/>
    <s v="Daily"/>
    <s v="Average"/>
    <x v="5"/>
  </r>
  <r>
    <s v="EMP0382"/>
    <n v="59"/>
    <s v="Male"/>
    <s v="Project Manager"/>
    <s v="Education"/>
    <n v="18"/>
    <s v="Remote"/>
    <n v="34"/>
    <n v="14"/>
    <n v="2"/>
    <s v="Medium"/>
    <s v="Anxiety"/>
    <s v="No"/>
    <s v="No Change"/>
    <n v="5"/>
    <s v="Neutral"/>
    <n v="4"/>
    <s v="Weekly"/>
    <s v="Poor"/>
    <x v="3"/>
  </r>
  <r>
    <s v="EMP0383"/>
    <n v="58"/>
    <s v="Non-binary"/>
    <s v="HR"/>
    <s v="Consulting"/>
    <n v="10"/>
    <s v="Hybrid"/>
    <n v="41"/>
    <n v="8"/>
    <n v="3"/>
    <s v="Low"/>
    <s v="Burnout"/>
    <s v="No"/>
    <s v="Decrease"/>
    <n v="2"/>
    <s v="Neutral"/>
    <n v="2"/>
    <s v="Daily"/>
    <s v="Average"/>
    <x v="2"/>
  </r>
  <r>
    <s v="EMP0384"/>
    <n v="28"/>
    <s v="Prefer not to say"/>
    <s v="Sales"/>
    <s v="Education"/>
    <n v="5"/>
    <s v="Remote"/>
    <n v="55"/>
    <n v="9"/>
    <n v="3"/>
    <s v="Medium"/>
    <s v="Anxiety"/>
    <s v="Yes"/>
    <s v="No Change"/>
    <n v="1"/>
    <s v="Satisfied"/>
    <n v="4"/>
    <s v="None"/>
    <s v="Poor"/>
    <x v="0"/>
  </r>
  <r>
    <s v="EMP0385"/>
    <n v="56"/>
    <s v="Male"/>
    <s v="Designer"/>
    <s v="IT"/>
    <n v="27"/>
    <s v="Remote"/>
    <n v="50"/>
    <n v="8"/>
    <n v="2"/>
    <s v="High"/>
    <s v="Burnout"/>
    <s v="Yes"/>
    <s v="Increase"/>
    <n v="1"/>
    <s v="Neutral"/>
    <n v="4"/>
    <s v="None"/>
    <s v="Poor"/>
    <x v="1"/>
  </r>
  <r>
    <s v="EMP0386"/>
    <n v="31"/>
    <s v="Non-binary"/>
    <s v="Project Manager"/>
    <s v="Healthcare"/>
    <n v="4"/>
    <s v="Remote"/>
    <n v="25"/>
    <n v="9"/>
    <n v="1"/>
    <s v="High"/>
    <s v="Anxiety"/>
    <s v="No"/>
    <s v="Increase"/>
    <n v="5"/>
    <s v="Unsatisfied"/>
    <n v="2"/>
    <s v="Weekly"/>
    <s v="Average"/>
    <x v="4"/>
  </r>
  <r>
    <s v="EMP0387"/>
    <n v="28"/>
    <s v="Female"/>
    <s v="Sales"/>
    <s v="Consulting"/>
    <n v="32"/>
    <s v="Onsite"/>
    <n v="21"/>
    <n v="12"/>
    <n v="3"/>
    <s v="Medium"/>
    <s v="Depression"/>
    <s v="Yes"/>
    <s v="No Change"/>
    <n v="1"/>
    <s v="Neutral"/>
    <n v="5"/>
    <s v="None"/>
    <s v="Average"/>
    <x v="5"/>
  </r>
  <r>
    <s v="EMP0388"/>
    <n v="46"/>
    <s v="Female"/>
    <s v="Sales"/>
    <s v="Finance"/>
    <n v="20"/>
    <s v="Hybrid"/>
    <n v="44"/>
    <n v="11"/>
    <n v="5"/>
    <s v="High"/>
    <s v="Depression"/>
    <s v="No"/>
    <s v="Decrease"/>
    <n v="4"/>
    <s v="Neutral"/>
    <n v="3"/>
    <s v="Daily"/>
    <s v="Poor"/>
    <x v="5"/>
  </r>
  <r>
    <s v="EMP0389"/>
    <n v="32"/>
    <s v="Female"/>
    <s v="Sales"/>
    <s v="Consulting"/>
    <n v="18"/>
    <s v="Remote"/>
    <n v="28"/>
    <n v="0"/>
    <n v="5"/>
    <s v="High"/>
    <s v="Depression"/>
    <s v="Yes"/>
    <s v="No Change"/>
    <n v="2"/>
    <s v="Neutral"/>
    <n v="3"/>
    <s v="Weekly"/>
    <s v="Good"/>
    <x v="3"/>
  </r>
  <r>
    <s v="EMP0390"/>
    <n v="37"/>
    <s v="Male"/>
    <s v="Software Engineer"/>
    <s v="Retail"/>
    <n v="31"/>
    <s v="Onsite"/>
    <n v="54"/>
    <n v="8"/>
    <n v="5"/>
    <s v="Medium"/>
    <s v="Burnout"/>
    <s v="No"/>
    <s v="No Change"/>
    <n v="3"/>
    <s v="Satisfied"/>
    <n v="1"/>
    <s v="Weekly"/>
    <s v="Poor"/>
    <x v="0"/>
  </r>
  <r>
    <s v="EMP0391"/>
    <n v="50"/>
    <s v="Prefer not to say"/>
    <s v="Project Manager"/>
    <s v="Consulting"/>
    <n v="9"/>
    <s v="Hybrid"/>
    <n v="55"/>
    <n v="12"/>
    <n v="3"/>
    <s v="Medium"/>
    <s v="Burnout"/>
    <s v="No"/>
    <s v="Decrease"/>
    <n v="1"/>
    <s v="Satisfied"/>
    <n v="3"/>
    <s v="None"/>
    <s v="Average"/>
    <x v="2"/>
  </r>
  <r>
    <s v="EMP0392"/>
    <n v="55"/>
    <s v="Female"/>
    <s v="Marketing"/>
    <s v="Retail"/>
    <n v="29"/>
    <s v="Remote"/>
    <n v="26"/>
    <n v="10"/>
    <n v="5"/>
    <s v="Medium"/>
    <s v="None"/>
    <s v="No"/>
    <s v="Increase"/>
    <n v="5"/>
    <s v="Unsatisfied"/>
    <n v="1"/>
    <s v="Weekly"/>
    <s v="Good"/>
    <x v="3"/>
  </r>
  <r>
    <s v="EMP0393"/>
    <n v="45"/>
    <s v="Female"/>
    <s v="HR"/>
    <s v="Retail"/>
    <n v="17"/>
    <s v="Onsite"/>
    <n v="41"/>
    <n v="7"/>
    <n v="5"/>
    <s v="Low"/>
    <s v="Depression"/>
    <s v="No"/>
    <s v="No Change"/>
    <n v="4"/>
    <s v="Neutral"/>
    <n v="4"/>
    <s v="Daily"/>
    <s v="Average"/>
    <x v="5"/>
  </r>
  <r>
    <s v="EMP0394"/>
    <n v="50"/>
    <s v="Female"/>
    <s v="Sales"/>
    <s v="Healthcare"/>
    <n v="31"/>
    <s v="Onsite"/>
    <n v="50"/>
    <n v="4"/>
    <n v="4"/>
    <s v="Low"/>
    <s v="Anxiety"/>
    <s v="Yes"/>
    <s v="No Change"/>
    <n v="4"/>
    <s v="Satisfied"/>
    <n v="5"/>
    <s v="None"/>
    <s v="Poor"/>
    <x v="2"/>
  </r>
  <r>
    <s v="EMP0395"/>
    <n v="43"/>
    <s v="Prefer not to say"/>
    <s v="Project Manager"/>
    <s v="Finance"/>
    <n v="3"/>
    <s v="Hybrid"/>
    <n v="55"/>
    <n v="12"/>
    <n v="2"/>
    <s v="Medium"/>
    <s v="Anxiety"/>
    <s v="Yes"/>
    <s v="No Change"/>
    <n v="3"/>
    <s v="Neutral"/>
    <n v="5"/>
    <s v="Weekly"/>
    <s v="Average"/>
    <x v="4"/>
  </r>
  <r>
    <s v="EMP0396"/>
    <n v="39"/>
    <s v="Non-binary"/>
    <s v="Marketing"/>
    <s v="Healthcare"/>
    <n v="20"/>
    <s v="Hybrid"/>
    <n v="22"/>
    <n v="2"/>
    <n v="3"/>
    <s v="Medium"/>
    <s v="Anxiety"/>
    <s v="No"/>
    <s v="Increase"/>
    <n v="4"/>
    <s v="Satisfied"/>
    <n v="5"/>
    <s v="Weekly"/>
    <s v="Good"/>
    <x v="5"/>
  </r>
  <r>
    <s v="EMP0397"/>
    <n v="30"/>
    <s v="Female"/>
    <s v="Data Scientist"/>
    <s v="Consulting"/>
    <n v="9"/>
    <s v="Hybrid"/>
    <n v="33"/>
    <n v="11"/>
    <n v="5"/>
    <s v="Low"/>
    <s v="Burnout"/>
    <s v="No"/>
    <s v="No Change"/>
    <n v="4"/>
    <s v="Unsatisfied"/>
    <n v="1"/>
    <s v="Daily"/>
    <s v="Average"/>
    <x v="0"/>
  </r>
  <r>
    <s v="EMP0398"/>
    <n v="36"/>
    <s v="Male"/>
    <s v="Project Manager"/>
    <s v="Retail"/>
    <n v="4"/>
    <s v="Hybrid"/>
    <n v="21"/>
    <n v="4"/>
    <n v="1"/>
    <s v="High"/>
    <s v="Burnout"/>
    <s v="No"/>
    <s v="Increase"/>
    <n v="3"/>
    <s v="Neutral"/>
    <n v="1"/>
    <s v="None"/>
    <s v="Poor"/>
    <x v="0"/>
  </r>
  <r>
    <s v="EMP0399"/>
    <n v="58"/>
    <s v="Prefer not to say"/>
    <s v="Designer"/>
    <s v="Manufacturing"/>
    <n v="17"/>
    <s v="Hybrid"/>
    <n v="28"/>
    <n v="13"/>
    <n v="2"/>
    <s v="Medium"/>
    <s v="Burnout"/>
    <s v="No"/>
    <s v="No Change"/>
    <n v="2"/>
    <s v="Neutral"/>
    <n v="5"/>
    <s v="Daily"/>
    <s v="Good"/>
    <x v="0"/>
  </r>
  <r>
    <s v="EMP0400"/>
    <n v="53"/>
    <s v="Prefer not to say"/>
    <s v="Data Scientist"/>
    <s v="Healthcare"/>
    <n v="34"/>
    <s v="Remote"/>
    <n v="22"/>
    <n v="6"/>
    <n v="5"/>
    <s v="High"/>
    <s v="None"/>
    <s v="Yes"/>
    <s v="Decrease"/>
    <n v="1"/>
    <s v="Satisfied"/>
    <n v="3"/>
    <s v="Weekly"/>
    <s v="Good"/>
    <x v="5"/>
  </r>
  <r>
    <s v="EMP0401"/>
    <n v="56"/>
    <s v="Non-binary"/>
    <s v="HR"/>
    <s v="IT"/>
    <n v="13"/>
    <s v="Remote"/>
    <n v="58"/>
    <n v="14"/>
    <n v="4"/>
    <s v="High"/>
    <s v="Anxiety"/>
    <s v="Yes"/>
    <s v="No Change"/>
    <n v="4"/>
    <s v="Neutral"/>
    <n v="2"/>
    <s v="Daily"/>
    <s v="Poor"/>
    <x v="1"/>
  </r>
  <r>
    <s v="EMP0402"/>
    <n v="57"/>
    <s v="Male"/>
    <s v="Project Manager"/>
    <s v="Consulting"/>
    <n v="19"/>
    <s v="Remote"/>
    <n v="39"/>
    <n v="0"/>
    <n v="4"/>
    <s v="Low"/>
    <s v="Anxiety"/>
    <s v="No"/>
    <s v="Decrease"/>
    <n v="1"/>
    <s v="Satisfied"/>
    <n v="1"/>
    <s v="Daily"/>
    <s v="Average"/>
    <x v="3"/>
  </r>
  <r>
    <s v="EMP0403"/>
    <n v="58"/>
    <s v="Male"/>
    <s v="Data Scientist"/>
    <s v="Finance"/>
    <n v="8"/>
    <s v="Onsite"/>
    <n v="35"/>
    <n v="15"/>
    <n v="2"/>
    <s v="Low"/>
    <s v="Anxiety"/>
    <s v="No"/>
    <s v="Decrease"/>
    <n v="2"/>
    <s v="Neutral"/>
    <n v="2"/>
    <s v="Weekly"/>
    <s v="Poor"/>
    <x v="5"/>
  </r>
  <r>
    <s v="EMP0404"/>
    <n v="57"/>
    <s v="Female"/>
    <s v="Designer"/>
    <s v="Healthcare"/>
    <n v="22"/>
    <s v="Hybrid"/>
    <n v="56"/>
    <n v="3"/>
    <n v="3"/>
    <s v="High"/>
    <s v="Burnout"/>
    <s v="Yes"/>
    <s v="Increase"/>
    <n v="3"/>
    <s v="Unsatisfied"/>
    <n v="1"/>
    <s v="Weekly"/>
    <s v="Poor"/>
    <x v="0"/>
  </r>
  <r>
    <s v="EMP0405"/>
    <n v="46"/>
    <s v="Non-binary"/>
    <s v="Data Scientist"/>
    <s v="Consulting"/>
    <n v="14"/>
    <s v="Remote"/>
    <n v="29"/>
    <n v="13"/>
    <n v="4"/>
    <s v="Medium"/>
    <s v="Anxiety"/>
    <s v="No"/>
    <s v="Increase"/>
    <n v="2"/>
    <s v="Unsatisfied"/>
    <n v="1"/>
    <s v="Daily"/>
    <s v="Average"/>
    <x v="1"/>
  </r>
  <r>
    <s v="EMP0406"/>
    <n v="42"/>
    <s v="Female"/>
    <s v="HR"/>
    <s v="Manufacturing"/>
    <n v="33"/>
    <s v="Hybrid"/>
    <n v="24"/>
    <n v="0"/>
    <n v="4"/>
    <s v="High"/>
    <s v="None"/>
    <s v="No"/>
    <s v="No Change"/>
    <n v="2"/>
    <s v="Neutral"/>
    <n v="1"/>
    <s v="None"/>
    <s v="Good"/>
    <x v="0"/>
  </r>
  <r>
    <s v="EMP0407"/>
    <n v="24"/>
    <s v="Prefer not to say"/>
    <s v="Project Manager"/>
    <s v="Healthcare"/>
    <n v="30"/>
    <s v="Onsite"/>
    <n v="60"/>
    <n v="4"/>
    <n v="3"/>
    <s v="High"/>
    <s v="None"/>
    <s v="Yes"/>
    <s v="Decrease"/>
    <n v="3"/>
    <s v="Satisfied"/>
    <n v="3"/>
    <s v="None"/>
    <s v="Average"/>
    <x v="3"/>
  </r>
  <r>
    <s v="EMP0408"/>
    <n v="53"/>
    <s v="Female"/>
    <s v="HR"/>
    <s v="Retail"/>
    <n v="10"/>
    <s v="Remote"/>
    <n v="31"/>
    <n v="9"/>
    <n v="4"/>
    <s v="Low"/>
    <s v="Burnout"/>
    <s v="No"/>
    <s v="Decrease"/>
    <n v="2"/>
    <s v="Satisfied"/>
    <n v="1"/>
    <s v="Daily"/>
    <s v="Poor"/>
    <x v="4"/>
  </r>
  <r>
    <s v="EMP0409"/>
    <n v="24"/>
    <s v="Female"/>
    <s v="Data Scientist"/>
    <s v="Finance"/>
    <n v="35"/>
    <s v="Remote"/>
    <n v="50"/>
    <n v="10"/>
    <n v="1"/>
    <s v="Low"/>
    <s v="None"/>
    <s v="No"/>
    <s v="Decrease"/>
    <n v="5"/>
    <s v="Satisfied"/>
    <n v="5"/>
    <s v="Weekly"/>
    <s v="Poor"/>
    <x v="2"/>
  </r>
  <r>
    <s v="EMP0410"/>
    <n v="30"/>
    <s v="Non-binary"/>
    <s v="Project Manager"/>
    <s v="Consulting"/>
    <n v="20"/>
    <s v="Remote"/>
    <n v="27"/>
    <n v="14"/>
    <n v="2"/>
    <s v="Medium"/>
    <s v="Burnout"/>
    <s v="No"/>
    <s v="No Change"/>
    <n v="3"/>
    <s v="Unsatisfied"/>
    <n v="3"/>
    <s v="Weekly"/>
    <s v="Good"/>
    <x v="3"/>
  </r>
  <r>
    <s v="EMP0411"/>
    <n v="22"/>
    <s v="Prefer not to say"/>
    <s v="Software Engineer"/>
    <s v="Healthcare"/>
    <n v="6"/>
    <s v="Remote"/>
    <n v="43"/>
    <n v="3"/>
    <n v="2"/>
    <s v="Medium"/>
    <s v="None"/>
    <s v="No"/>
    <s v="No Change"/>
    <n v="4"/>
    <s v="Unsatisfied"/>
    <n v="4"/>
    <s v="Daily"/>
    <s v="Good"/>
    <x v="0"/>
  </r>
  <r>
    <s v="EMP0412"/>
    <n v="28"/>
    <s v="Non-binary"/>
    <s v="Designer"/>
    <s v="Retail"/>
    <n v="22"/>
    <s v="Hybrid"/>
    <n v="30"/>
    <n v="3"/>
    <n v="5"/>
    <s v="Medium"/>
    <s v="Anxiety"/>
    <s v="Yes"/>
    <s v="Decrease"/>
    <n v="5"/>
    <s v="Unsatisfied"/>
    <n v="2"/>
    <s v="Daily"/>
    <s v="Good"/>
    <x v="3"/>
  </r>
  <r>
    <s v="EMP0413"/>
    <n v="52"/>
    <s v="Non-binary"/>
    <s v="Sales"/>
    <s v="Education"/>
    <n v="25"/>
    <s v="Onsite"/>
    <n v="26"/>
    <n v="15"/>
    <n v="1"/>
    <s v="Medium"/>
    <s v="Burnout"/>
    <s v="Yes"/>
    <s v="No Change"/>
    <n v="2"/>
    <s v="Neutral"/>
    <n v="3"/>
    <s v="None"/>
    <s v="Average"/>
    <x v="0"/>
  </r>
  <r>
    <s v="EMP0414"/>
    <n v="47"/>
    <s v="Prefer not to say"/>
    <s v="Project Manager"/>
    <s v="Manufacturing"/>
    <n v="21"/>
    <s v="Onsite"/>
    <n v="47"/>
    <n v="7"/>
    <n v="1"/>
    <s v="Medium"/>
    <s v="Anxiety"/>
    <s v="No"/>
    <s v="Decrease"/>
    <n v="3"/>
    <s v="Satisfied"/>
    <n v="1"/>
    <s v="Weekly"/>
    <s v="Average"/>
    <x v="3"/>
  </r>
  <r>
    <s v="EMP0415"/>
    <n v="30"/>
    <s v="Male"/>
    <s v="Data Scientist"/>
    <s v="Manufacturing"/>
    <n v="14"/>
    <s v="Onsite"/>
    <n v="56"/>
    <n v="14"/>
    <n v="3"/>
    <s v="Medium"/>
    <s v="Burnout"/>
    <s v="No"/>
    <s v="Increase"/>
    <n v="4"/>
    <s v="Satisfied"/>
    <n v="5"/>
    <s v="Daily"/>
    <s v="Poor"/>
    <x v="4"/>
  </r>
  <r>
    <s v="EMP0416"/>
    <n v="52"/>
    <s v="Female"/>
    <s v="Sales"/>
    <s v="Healthcare"/>
    <n v="26"/>
    <s v="Hybrid"/>
    <n v="30"/>
    <n v="15"/>
    <n v="4"/>
    <s v="Low"/>
    <s v="Depression"/>
    <s v="No"/>
    <s v="Decrease"/>
    <n v="4"/>
    <s v="Satisfied"/>
    <n v="5"/>
    <s v="None"/>
    <s v="Poor"/>
    <x v="2"/>
  </r>
  <r>
    <s v="EMP0417"/>
    <n v="25"/>
    <s v="Prefer not to say"/>
    <s v="Sales"/>
    <s v="Healthcare"/>
    <n v="9"/>
    <s v="Hybrid"/>
    <n v="26"/>
    <n v="12"/>
    <n v="4"/>
    <s v="High"/>
    <s v="Depression"/>
    <s v="No"/>
    <s v="No Change"/>
    <n v="2"/>
    <s v="Unsatisfied"/>
    <n v="3"/>
    <s v="Daily"/>
    <s v="Good"/>
    <x v="1"/>
  </r>
  <r>
    <s v="EMP0418"/>
    <n v="50"/>
    <s v="Non-binary"/>
    <s v="HR"/>
    <s v="Consulting"/>
    <n v="22"/>
    <s v="Onsite"/>
    <n v="47"/>
    <n v="10"/>
    <n v="2"/>
    <s v="Medium"/>
    <s v="Burnout"/>
    <s v="No"/>
    <s v="Increase"/>
    <n v="2"/>
    <s v="Unsatisfied"/>
    <n v="5"/>
    <s v="Daily"/>
    <s v="Poor"/>
    <x v="4"/>
  </r>
  <r>
    <s v="EMP0419"/>
    <n v="60"/>
    <s v="Female"/>
    <s v="HR"/>
    <s v="Education"/>
    <n v="34"/>
    <s v="Remote"/>
    <n v="38"/>
    <n v="7"/>
    <n v="4"/>
    <s v="High"/>
    <s v="Depression"/>
    <s v="No"/>
    <s v="No Change"/>
    <n v="4"/>
    <s v="Neutral"/>
    <n v="4"/>
    <s v="Weekly"/>
    <s v="Good"/>
    <x v="1"/>
  </r>
  <r>
    <s v="EMP0420"/>
    <n v="48"/>
    <s v="Female"/>
    <s v="Marketing"/>
    <s v="IT"/>
    <n v="30"/>
    <s v="Hybrid"/>
    <n v="49"/>
    <n v="0"/>
    <n v="2"/>
    <s v="Medium"/>
    <s v="Anxiety"/>
    <s v="Yes"/>
    <s v="No Change"/>
    <n v="2"/>
    <s v="Neutral"/>
    <n v="1"/>
    <s v="Daily"/>
    <s v="Poor"/>
    <x v="5"/>
  </r>
  <r>
    <s v="EMP0421"/>
    <n v="28"/>
    <s v="Male"/>
    <s v="HR"/>
    <s v="IT"/>
    <n v="32"/>
    <s v="Remote"/>
    <n v="49"/>
    <n v="0"/>
    <n v="1"/>
    <s v="Medium"/>
    <s v="Burnout"/>
    <s v="Yes"/>
    <s v="Decrease"/>
    <n v="4"/>
    <s v="Satisfied"/>
    <n v="2"/>
    <s v="Weekly"/>
    <s v="Poor"/>
    <x v="1"/>
  </r>
  <r>
    <s v="EMP0422"/>
    <n v="23"/>
    <s v="Prefer not to say"/>
    <s v="Marketing"/>
    <s v="Finance"/>
    <n v="5"/>
    <s v="Remote"/>
    <n v="37"/>
    <n v="11"/>
    <n v="1"/>
    <s v="Medium"/>
    <s v="None"/>
    <s v="Yes"/>
    <s v="Increase"/>
    <n v="3"/>
    <s v="Satisfied"/>
    <n v="3"/>
    <s v="None"/>
    <s v="Good"/>
    <x v="4"/>
  </r>
  <r>
    <s v="EMP0423"/>
    <n v="26"/>
    <s v="Male"/>
    <s v="Project Manager"/>
    <s v="Education"/>
    <n v="21"/>
    <s v="Hybrid"/>
    <n v="24"/>
    <n v="13"/>
    <n v="2"/>
    <s v="High"/>
    <s v="None"/>
    <s v="No"/>
    <s v="Decrease"/>
    <n v="2"/>
    <s v="Unsatisfied"/>
    <n v="4"/>
    <s v="None"/>
    <s v="Average"/>
    <x v="0"/>
  </r>
  <r>
    <s v="EMP0424"/>
    <n v="27"/>
    <s v="Female"/>
    <s v="Marketing"/>
    <s v="Consulting"/>
    <n v="32"/>
    <s v="Hybrid"/>
    <n v="53"/>
    <n v="0"/>
    <n v="5"/>
    <s v="Medium"/>
    <s v="Depression"/>
    <s v="Yes"/>
    <s v="Increase"/>
    <n v="1"/>
    <s v="Neutral"/>
    <n v="1"/>
    <s v="Daily"/>
    <s v="Poor"/>
    <x v="2"/>
  </r>
  <r>
    <s v="EMP0425"/>
    <n v="52"/>
    <s v="Non-binary"/>
    <s v="Sales"/>
    <s v="Finance"/>
    <n v="30"/>
    <s v="Remote"/>
    <n v="33"/>
    <n v="14"/>
    <n v="2"/>
    <s v="Medium"/>
    <s v="Anxiety"/>
    <s v="Yes"/>
    <s v="Increase"/>
    <n v="2"/>
    <s v="Neutral"/>
    <n v="5"/>
    <s v="Weekly"/>
    <s v="Good"/>
    <x v="1"/>
  </r>
  <r>
    <s v="EMP0426"/>
    <n v="32"/>
    <s v="Prefer not to say"/>
    <s v="Software Engineer"/>
    <s v="Consulting"/>
    <n v="28"/>
    <s v="Onsite"/>
    <n v="41"/>
    <n v="13"/>
    <n v="1"/>
    <s v="Medium"/>
    <s v="Depression"/>
    <s v="Yes"/>
    <s v="Decrease"/>
    <n v="1"/>
    <s v="Neutral"/>
    <n v="1"/>
    <s v="Daily"/>
    <s v="Average"/>
    <x v="1"/>
  </r>
  <r>
    <s v="EMP0427"/>
    <n v="23"/>
    <s v="Prefer not to say"/>
    <s v="Sales"/>
    <s v="Finance"/>
    <n v="4"/>
    <s v="Remote"/>
    <n v="31"/>
    <n v="15"/>
    <n v="2"/>
    <s v="Low"/>
    <s v="Burnout"/>
    <s v="Yes"/>
    <s v="Increase"/>
    <n v="2"/>
    <s v="Neutral"/>
    <n v="3"/>
    <s v="Weekly"/>
    <s v="Average"/>
    <x v="0"/>
  </r>
  <r>
    <s v="EMP0428"/>
    <n v="41"/>
    <s v="Prefer not to say"/>
    <s v="Sales"/>
    <s v="IT"/>
    <n v="19"/>
    <s v="Onsite"/>
    <n v="29"/>
    <n v="4"/>
    <n v="4"/>
    <s v="Low"/>
    <s v="Anxiety"/>
    <s v="Yes"/>
    <s v="No Change"/>
    <n v="1"/>
    <s v="Satisfied"/>
    <n v="5"/>
    <s v="None"/>
    <s v="Average"/>
    <x v="4"/>
  </r>
  <r>
    <s v="EMP0429"/>
    <n v="33"/>
    <s v="Female"/>
    <s v="Project Manager"/>
    <s v="IT"/>
    <n v="25"/>
    <s v="Hybrid"/>
    <n v="33"/>
    <n v="7"/>
    <n v="1"/>
    <s v="High"/>
    <s v="Anxiety"/>
    <s v="Yes"/>
    <s v="No Change"/>
    <n v="3"/>
    <s v="Neutral"/>
    <n v="1"/>
    <s v="Daily"/>
    <s v="Average"/>
    <x v="2"/>
  </r>
  <r>
    <s v="EMP0430"/>
    <n v="37"/>
    <s v="Non-binary"/>
    <s v="Sales"/>
    <s v="Consulting"/>
    <n v="9"/>
    <s v="Remote"/>
    <n v="58"/>
    <n v="8"/>
    <n v="5"/>
    <s v="High"/>
    <s v="Anxiety"/>
    <s v="Yes"/>
    <s v="Increase"/>
    <n v="5"/>
    <s v="Satisfied"/>
    <n v="5"/>
    <s v="Daily"/>
    <s v="Poor"/>
    <x v="0"/>
  </r>
  <r>
    <s v="EMP0431"/>
    <n v="33"/>
    <s v="Male"/>
    <s v="Project Manager"/>
    <s v="Consulting"/>
    <n v="10"/>
    <s v="Hybrid"/>
    <n v="42"/>
    <n v="12"/>
    <n v="3"/>
    <s v="High"/>
    <s v="None"/>
    <s v="Yes"/>
    <s v="Increase"/>
    <n v="2"/>
    <s v="Unsatisfied"/>
    <n v="2"/>
    <s v="None"/>
    <s v="Average"/>
    <x v="4"/>
  </r>
  <r>
    <s v="EMP0432"/>
    <n v="28"/>
    <s v="Non-binary"/>
    <s v="Marketing"/>
    <s v="Finance"/>
    <n v="26"/>
    <s v="Hybrid"/>
    <n v="23"/>
    <n v="15"/>
    <n v="3"/>
    <s v="High"/>
    <s v="Depression"/>
    <s v="No"/>
    <s v="No Change"/>
    <n v="1"/>
    <s v="Unsatisfied"/>
    <n v="1"/>
    <s v="Daily"/>
    <s v="Poor"/>
    <x v="2"/>
  </r>
  <r>
    <s v="EMP0433"/>
    <n v="57"/>
    <s v="Non-binary"/>
    <s v="Project Manager"/>
    <s v="Consulting"/>
    <n v="26"/>
    <s v="Hybrid"/>
    <n v="28"/>
    <n v="4"/>
    <n v="5"/>
    <s v="High"/>
    <s v="Burnout"/>
    <s v="Yes"/>
    <s v="Decrease"/>
    <n v="1"/>
    <s v="Neutral"/>
    <n v="2"/>
    <s v="Weekly"/>
    <s v="Poor"/>
    <x v="3"/>
  </r>
  <r>
    <s v="EMP0434"/>
    <n v="45"/>
    <s v="Female"/>
    <s v="Designer"/>
    <s v="Finance"/>
    <n v="11"/>
    <s v="Hybrid"/>
    <n v="41"/>
    <n v="10"/>
    <n v="2"/>
    <s v="Low"/>
    <s v="Burnout"/>
    <s v="No"/>
    <s v="Decrease"/>
    <n v="3"/>
    <s v="Neutral"/>
    <n v="1"/>
    <s v="None"/>
    <s v="Poor"/>
    <x v="4"/>
  </r>
  <r>
    <s v="EMP0435"/>
    <n v="50"/>
    <s v="Female"/>
    <s v="Data Scientist"/>
    <s v="Consulting"/>
    <n v="25"/>
    <s v="Onsite"/>
    <n v="33"/>
    <n v="9"/>
    <n v="5"/>
    <s v="High"/>
    <s v="Anxiety"/>
    <s v="Yes"/>
    <s v="Decrease"/>
    <n v="3"/>
    <s v="Satisfied"/>
    <n v="2"/>
    <s v="Daily"/>
    <s v="Poor"/>
    <x v="4"/>
  </r>
  <r>
    <s v="EMP0436"/>
    <n v="53"/>
    <s v="Non-binary"/>
    <s v="Marketing"/>
    <s v="Healthcare"/>
    <n v="3"/>
    <s v="Hybrid"/>
    <n v="46"/>
    <n v="13"/>
    <n v="2"/>
    <s v="Medium"/>
    <s v="None"/>
    <s v="Yes"/>
    <s v="No Change"/>
    <n v="3"/>
    <s v="Satisfied"/>
    <n v="3"/>
    <s v="Daily"/>
    <s v="Good"/>
    <x v="4"/>
  </r>
  <r>
    <s v="EMP0437"/>
    <n v="58"/>
    <s v="Prefer not to say"/>
    <s v="HR"/>
    <s v="Healthcare"/>
    <n v="29"/>
    <s v="Remote"/>
    <n v="25"/>
    <n v="9"/>
    <n v="4"/>
    <s v="High"/>
    <s v="Depression"/>
    <s v="No"/>
    <s v="Increase"/>
    <n v="2"/>
    <s v="Unsatisfied"/>
    <n v="1"/>
    <s v="Weekly"/>
    <s v="Good"/>
    <x v="0"/>
  </r>
  <r>
    <s v="EMP0438"/>
    <n v="48"/>
    <s v="Prefer not to say"/>
    <s v="Project Manager"/>
    <s v="Education"/>
    <n v="7"/>
    <s v="Onsite"/>
    <n v="55"/>
    <n v="1"/>
    <n v="2"/>
    <s v="Medium"/>
    <s v="Depression"/>
    <s v="Yes"/>
    <s v="Decrease"/>
    <n v="5"/>
    <s v="Neutral"/>
    <n v="1"/>
    <s v="Weekly"/>
    <s v="Good"/>
    <x v="1"/>
  </r>
  <r>
    <s v="EMP0439"/>
    <n v="42"/>
    <s v="Prefer not to say"/>
    <s v="Sales"/>
    <s v="Manufacturing"/>
    <n v="28"/>
    <s v="Onsite"/>
    <n v="53"/>
    <n v="4"/>
    <n v="4"/>
    <s v="High"/>
    <s v="Burnout"/>
    <s v="Yes"/>
    <s v="Increase"/>
    <n v="2"/>
    <s v="Satisfied"/>
    <n v="3"/>
    <s v="Daily"/>
    <s v="Average"/>
    <x v="0"/>
  </r>
  <r>
    <s v="EMP0440"/>
    <n v="22"/>
    <s v="Non-binary"/>
    <s v="Software Engineer"/>
    <s v="Retail"/>
    <n v="7"/>
    <s v="Onsite"/>
    <n v="47"/>
    <n v="10"/>
    <n v="1"/>
    <s v="Medium"/>
    <s v="Burnout"/>
    <s v="No"/>
    <s v="Decrease"/>
    <n v="3"/>
    <s v="Neutral"/>
    <n v="1"/>
    <s v="None"/>
    <s v="Average"/>
    <x v="1"/>
  </r>
  <r>
    <s v="EMP0441"/>
    <n v="23"/>
    <s v="Female"/>
    <s v="Data Scientist"/>
    <s v="Retail"/>
    <n v="34"/>
    <s v="Hybrid"/>
    <n v="35"/>
    <n v="14"/>
    <n v="2"/>
    <s v="Low"/>
    <s v="Depression"/>
    <s v="No"/>
    <s v="Decrease"/>
    <n v="2"/>
    <s v="Satisfied"/>
    <n v="4"/>
    <s v="Daily"/>
    <s v="Good"/>
    <x v="3"/>
  </r>
  <r>
    <s v="EMP0442"/>
    <n v="59"/>
    <s v="Prefer not to say"/>
    <s v="HR"/>
    <s v="Finance"/>
    <n v="3"/>
    <s v="Hybrid"/>
    <n v="39"/>
    <n v="8"/>
    <n v="4"/>
    <s v="Low"/>
    <s v="Depression"/>
    <s v="Yes"/>
    <s v="No Change"/>
    <n v="1"/>
    <s v="Neutral"/>
    <n v="5"/>
    <s v="Weekly"/>
    <s v="Poor"/>
    <x v="2"/>
  </r>
  <r>
    <s v="EMP0443"/>
    <n v="50"/>
    <s v="Non-binary"/>
    <s v="Designer"/>
    <s v="Consulting"/>
    <n v="24"/>
    <s v="Hybrid"/>
    <n v="34"/>
    <n v="12"/>
    <n v="1"/>
    <s v="High"/>
    <s v="Depression"/>
    <s v="Yes"/>
    <s v="Decrease"/>
    <n v="4"/>
    <s v="Unsatisfied"/>
    <n v="5"/>
    <s v="None"/>
    <s v="Average"/>
    <x v="4"/>
  </r>
  <r>
    <s v="EMP0444"/>
    <n v="27"/>
    <s v="Female"/>
    <s v="HR"/>
    <s v="Retail"/>
    <n v="7"/>
    <s v="Hybrid"/>
    <n v="27"/>
    <n v="9"/>
    <n v="5"/>
    <s v="High"/>
    <s v="Burnout"/>
    <s v="No"/>
    <s v="Increase"/>
    <n v="5"/>
    <s v="Unsatisfied"/>
    <n v="1"/>
    <s v="Weekly"/>
    <s v="Poor"/>
    <x v="4"/>
  </r>
  <r>
    <s v="EMP0445"/>
    <n v="25"/>
    <s v="Prefer not to say"/>
    <s v="Software Engineer"/>
    <s v="Retail"/>
    <n v="18"/>
    <s v="Remote"/>
    <n v="22"/>
    <n v="4"/>
    <n v="3"/>
    <s v="Low"/>
    <s v="Anxiety"/>
    <s v="No"/>
    <s v="Increase"/>
    <n v="1"/>
    <s v="Neutral"/>
    <n v="4"/>
    <s v="None"/>
    <s v="Poor"/>
    <x v="5"/>
  </r>
  <r>
    <s v="EMP0446"/>
    <n v="52"/>
    <s v="Male"/>
    <s v="Designer"/>
    <s v="Healthcare"/>
    <n v="33"/>
    <s v="Onsite"/>
    <n v="48"/>
    <n v="1"/>
    <n v="2"/>
    <s v="Low"/>
    <s v="Depression"/>
    <s v="Yes"/>
    <s v="No Change"/>
    <n v="3"/>
    <s v="Unsatisfied"/>
    <n v="1"/>
    <s v="Daily"/>
    <s v="Good"/>
    <x v="5"/>
  </r>
  <r>
    <s v="EMP0447"/>
    <n v="37"/>
    <s v="Non-binary"/>
    <s v="Sales"/>
    <s v="Healthcare"/>
    <n v="28"/>
    <s v="Remote"/>
    <n v="52"/>
    <n v="3"/>
    <n v="5"/>
    <s v="Low"/>
    <s v="Burnout"/>
    <s v="No"/>
    <s v="Increase"/>
    <n v="1"/>
    <s v="Unsatisfied"/>
    <n v="3"/>
    <s v="Daily"/>
    <s v="Poor"/>
    <x v="2"/>
  </r>
  <r>
    <s v="EMP0448"/>
    <n v="22"/>
    <s v="Non-binary"/>
    <s v="Project Manager"/>
    <s v="Retail"/>
    <n v="2"/>
    <s v="Onsite"/>
    <n v="40"/>
    <n v="5"/>
    <n v="3"/>
    <s v="Medium"/>
    <s v="Burnout"/>
    <s v="No"/>
    <s v="Increase"/>
    <n v="4"/>
    <s v="Satisfied"/>
    <n v="2"/>
    <s v="Weekly"/>
    <s v="Poor"/>
    <x v="3"/>
  </r>
  <r>
    <s v="EMP0449"/>
    <n v="51"/>
    <s v="Male"/>
    <s v="HR"/>
    <s v="Finance"/>
    <n v="22"/>
    <s v="Hybrid"/>
    <n v="41"/>
    <n v="7"/>
    <n v="1"/>
    <s v="Low"/>
    <s v="Burnout"/>
    <s v="No"/>
    <s v="Decrease"/>
    <n v="4"/>
    <s v="Unsatisfied"/>
    <n v="5"/>
    <s v="None"/>
    <s v="Average"/>
    <x v="1"/>
  </r>
  <r>
    <s v="EMP0450"/>
    <n v="57"/>
    <s v="Male"/>
    <s v="Project Manager"/>
    <s v="IT"/>
    <n v="8"/>
    <s v="Hybrid"/>
    <n v="56"/>
    <n v="15"/>
    <n v="1"/>
    <s v="High"/>
    <s v="Burnout"/>
    <s v="Yes"/>
    <s v="Decrease"/>
    <n v="1"/>
    <s v="Unsatisfied"/>
    <n v="4"/>
    <s v="None"/>
    <s v="Poor"/>
    <x v="0"/>
  </r>
  <r>
    <s v="EMP0451"/>
    <n v="58"/>
    <s v="Prefer not to say"/>
    <s v="Data Scientist"/>
    <s v="Manufacturing"/>
    <n v="32"/>
    <s v="Onsite"/>
    <n v="57"/>
    <n v="9"/>
    <n v="5"/>
    <s v="Low"/>
    <s v="Anxiety"/>
    <s v="Yes"/>
    <s v="No Change"/>
    <n v="4"/>
    <s v="Satisfied"/>
    <n v="5"/>
    <s v="Weekly"/>
    <s v="Good"/>
    <x v="2"/>
  </r>
  <r>
    <s v="EMP0452"/>
    <n v="32"/>
    <s v="Prefer not to say"/>
    <s v="Data Scientist"/>
    <s v="Finance"/>
    <n v="21"/>
    <s v="Remote"/>
    <n v="36"/>
    <n v="5"/>
    <n v="3"/>
    <s v="High"/>
    <s v="Anxiety"/>
    <s v="No"/>
    <s v="No Change"/>
    <n v="4"/>
    <s v="Satisfied"/>
    <n v="5"/>
    <s v="Daily"/>
    <s v="Good"/>
    <x v="4"/>
  </r>
  <r>
    <s v="EMP0453"/>
    <n v="41"/>
    <s v="Female"/>
    <s v="Data Scientist"/>
    <s v="Finance"/>
    <n v="15"/>
    <s v="Hybrid"/>
    <n v="32"/>
    <n v="5"/>
    <n v="4"/>
    <s v="Low"/>
    <s v="Burnout"/>
    <s v="Yes"/>
    <s v="Increase"/>
    <n v="4"/>
    <s v="Unsatisfied"/>
    <n v="1"/>
    <s v="Daily"/>
    <s v="Average"/>
    <x v="4"/>
  </r>
  <r>
    <s v="EMP0454"/>
    <n v="36"/>
    <s v="Female"/>
    <s v="Marketing"/>
    <s v="Education"/>
    <n v="10"/>
    <s v="Remote"/>
    <n v="32"/>
    <n v="7"/>
    <n v="4"/>
    <s v="Medium"/>
    <s v="None"/>
    <s v="No"/>
    <s v="Decrease"/>
    <n v="5"/>
    <s v="Unsatisfied"/>
    <n v="3"/>
    <s v="Weekly"/>
    <s v="Good"/>
    <x v="1"/>
  </r>
  <r>
    <s v="EMP0455"/>
    <n v="51"/>
    <s v="Non-binary"/>
    <s v="Data Scientist"/>
    <s v="Manufacturing"/>
    <n v="2"/>
    <s v="Remote"/>
    <n v="58"/>
    <n v="14"/>
    <n v="3"/>
    <s v="Low"/>
    <s v="Depression"/>
    <s v="No"/>
    <s v="Decrease"/>
    <n v="4"/>
    <s v="Satisfied"/>
    <n v="4"/>
    <s v="None"/>
    <s v="Average"/>
    <x v="1"/>
  </r>
  <r>
    <s v="EMP0456"/>
    <n v="60"/>
    <s v="Female"/>
    <s v="Sales"/>
    <s v="Retail"/>
    <n v="10"/>
    <s v="Remote"/>
    <n v="59"/>
    <n v="15"/>
    <n v="4"/>
    <s v="Low"/>
    <s v="None"/>
    <s v="No"/>
    <s v="Increase"/>
    <n v="4"/>
    <s v="Satisfied"/>
    <n v="1"/>
    <s v="Daily"/>
    <s v="Poor"/>
    <x v="3"/>
  </r>
  <r>
    <s v="EMP0457"/>
    <n v="34"/>
    <s v="Female"/>
    <s v="HR"/>
    <s v="Healthcare"/>
    <n v="28"/>
    <s v="Onsite"/>
    <n v="22"/>
    <n v="3"/>
    <n v="3"/>
    <s v="Medium"/>
    <s v="None"/>
    <s v="Yes"/>
    <s v="No Change"/>
    <n v="2"/>
    <s v="Neutral"/>
    <n v="5"/>
    <s v="Weekly"/>
    <s v="Poor"/>
    <x v="5"/>
  </r>
  <r>
    <s v="EMP0458"/>
    <n v="33"/>
    <s v="Female"/>
    <s v="Sales"/>
    <s v="Manufacturing"/>
    <n v="27"/>
    <s v="Remote"/>
    <n v="49"/>
    <n v="10"/>
    <n v="2"/>
    <s v="Medium"/>
    <s v="Anxiety"/>
    <s v="Yes"/>
    <s v="No Change"/>
    <n v="2"/>
    <s v="Unsatisfied"/>
    <n v="3"/>
    <s v="None"/>
    <s v="Average"/>
    <x v="4"/>
  </r>
  <r>
    <s v="EMP0459"/>
    <n v="53"/>
    <s v="Prefer not to say"/>
    <s v="Marketing"/>
    <s v="Consulting"/>
    <n v="1"/>
    <s v="Onsite"/>
    <n v="42"/>
    <n v="14"/>
    <n v="3"/>
    <s v="High"/>
    <s v="Depression"/>
    <s v="No"/>
    <s v="No Change"/>
    <n v="1"/>
    <s v="Satisfied"/>
    <n v="3"/>
    <s v="Daily"/>
    <s v="Poor"/>
    <x v="1"/>
  </r>
  <r>
    <s v="EMP0460"/>
    <n v="53"/>
    <s v="Female"/>
    <s v="Sales"/>
    <s v="Retail"/>
    <n v="7"/>
    <s v="Onsite"/>
    <n v="20"/>
    <n v="5"/>
    <n v="5"/>
    <s v="Low"/>
    <s v="Depression"/>
    <s v="Yes"/>
    <s v="Increase"/>
    <n v="2"/>
    <s v="Unsatisfied"/>
    <n v="3"/>
    <s v="None"/>
    <s v="Average"/>
    <x v="5"/>
  </r>
  <r>
    <s v="EMP0461"/>
    <n v="40"/>
    <s v="Female"/>
    <s v="Project Manager"/>
    <s v="IT"/>
    <n v="12"/>
    <s v="Remote"/>
    <n v="22"/>
    <n v="5"/>
    <n v="2"/>
    <s v="Medium"/>
    <s v="Burnout"/>
    <s v="No"/>
    <s v="Decrease"/>
    <n v="2"/>
    <s v="Satisfied"/>
    <n v="2"/>
    <s v="None"/>
    <s v="Poor"/>
    <x v="0"/>
  </r>
  <r>
    <s v="EMP0462"/>
    <n v="36"/>
    <s v="Non-binary"/>
    <s v="Designer"/>
    <s v="Manufacturing"/>
    <n v="28"/>
    <s v="Hybrid"/>
    <n v="48"/>
    <n v="1"/>
    <n v="5"/>
    <s v="Medium"/>
    <s v="Burnout"/>
    <s v="No"/>
    <s v="Decrease"/>
    <n v="2"/>
    <s v="Neutral"/>
    <n v="2"/>
    <s v="None"/>
    <s v="Good"/>
    <x v="0"/>
  </r>
  <r>
    <s v="EMP0463"/>
    <n v="54"/>
    <s v="Prefer not to say"/>
    <s v="Designer"/>
    <s v="Healthcare"/>
    <n v="27"/>
    <s v="Remote"/>
    <n v="20"/>
    <n v="1"/>
    <n v="1"/>
    <s v="High"/>
    <s v="Burnout"/>
    <s v="No"/>
    <s v="Decrease"/>
    <n v="1"/>
    <s v="Satisfied"/>
    <n v="3"/>
    <s v="None"/>
    <s v="Average"/>
    <x v="0"/>
  </r>
  <r>
    <s v="EMP0464"/>
    <n v="41"/>
    <s v="Prefer not to say"/>
    <s v="HR"/>
    <s v="IT"/>
    <n v="19"/>
    <s v="Hybrid"/>
    <n v="24"/>
    <n v="8"/>
    <n v="3"/>
    <s v="Low"/>
    <s v="Depression"/>
    <s v="No"/>
    <s v="No Change"/>
    <n v="3"/>
    <s v="Satisfied"/>
    <n v="5"/>
    <s v="Daily"/>
    <s v="Poor"/>
    <x v="2"/>
  </r>
  <r>
    <s v="EMP0465"/>
    <n v="55"/>
    <s v="Female"/>
    <s v="Sales"/>
    <s v="Consulting"/>
    <n v="15"/>
    <s v="Hybrid"/>
    <n v="22"/>
    <n v="9"/>
    <n v="4"/>
    <s v="High"/>
    <s v="Anxiety"/>
    <s v="Yes"/>
    <s v="No Change"/>
    <n v="1"/>
    <s v="Unsatisfied"/>
    <n v="2"/>
    <s v="None"/>
    <s v="Poor"/>
    <x v="0"/>
  </r>
  <r>
    <s v="EMP0466"/>
    <n v="34"/>
    <s v="Prefer not to say"/>
    <s v="Marketing"/>
    <s v="Finance"/>
    <n v="19"/>
    <s v="Onsite"/>
    <n v="58"/>
    <n v="4"/>
    <n v="1"/>
    <s v="High"/>
    <s v="None"/>
    <s v="No"/>
    <s v="Decrease"/>
    <n v="5"/>
    <s v="Unsatisfied"/>
    <n v="2"/>
    <s v="None"/>
    <s v="Average"/>
    <x v="0"/>
  </r>
  <r>
    <s v="EMP0467"/>
    <n v="43"/>
    <s v="Prefer not to say"/>
    <s v="Project Manager"/>
    <s v="IT"/>
    <n v="17"/>
    <s v="Hybrid"/>
    <n v="58"/>
    <n v="2"/>
    <n v="2"/>
    <s v="Medium"/>
    <s v="Anxiety"/>
    <s v="Yes"/>
    <s v="Increase"/>
    <n v="2"/>
    <s v="Neutral"/>
    <n v="2"/>
    <s v="None"/>
    <s v="Average"/>
    <x v="0"/>
  </r>
  <r>
    <s v="EMP0468"/>
    <n v="37"/>
    <s v="Non-binary"/>
    <s v="Project Manager"/>
    <s v="IT"/>
    <n v="26"/>
    <s v="Hybrid"/>
    <n v="27"/>
    <n v="9"/>
    <n v="1"/>
    <s v="Medium"/>
    <s v="Anxiety"/>
    <s v="Yes"/>
    <s v="Decrease"/>
    <n v="5"/>
    <s v="Satisfied"/>
    <n v="1"/>
    <s v="Weekly"/>
    <s v="Poor"/>
    <x v="4"/>
  </r>
  <r>
    <s v="EMP0469"/>
    <n v="37"/>
    <s v="Prefer not to say"/>
    <s v="HR"/>
    <s v="Education"/>
    <n v="14"/>
    <s v="Hybrid"/>
    <n v="40"/>
    <n v="13"/>
    <n v="1"/>
    <s v="Low"/>
    <s v="Burnout"/>
    <s v="Yes"/>
    <s v="Decrease"/>
    <n v="4"/>
    <s v="Satisfied"/>
    <n v="1"/>
    <s v="Weekly"/>
    <s v="Average"/>
    <x v="1"/>
  </r>
  <r>
    <s v="EMP0470"/>
    <n v="57"/>
    <s v="Female"/>
    <s v="Sales"/>
    <s v="Finance"/>
    <n v="1"/>
    <s v="Hybrid"/>
    <n v="24"/>
    <n v="14"/>
    <n v="4"/>
    <s v="Low"/>
    <s v="Depression"/>
    <s v="Yes"/>
    <s v="No Change"/>
    <n v="1"/>
    <s v="Unsatisfied"/>
    <n v="3"/>
    <s v="Daily"/>
    <s v="Poor"/>
    <x v="5"/>
  </r>
  <r>
    <s v="EMP0471"/>
    <n v="33"/>
    <s v="Female"/>
    <s v="Sales"/>
    <s v="IT"/>
    <n v="26"/>
    <s v="Onsite"/>
    <n v="43"/>
    <n v="7"/>
    <n v="2"/>
    <s v="Low"/>
    <s v="Depression"/>
    <s v="No"/>
    <s v="No Change"/>
    <n v="1"/>
    <s v="Neutral"/>
    <n v="2"/>
    <s v="Daily"/>
    <s v="Good"/>
    <x v="0"/>
  </r>
  <r>
    <s v="EMP0472"/>
    <n v="51"/>
    <s v="Female"/>
    <s v="HR"/>
    <s v="Manufacturing"/>
    <n v="14"/>
    <s v="Remote"/>
    <n v="50"/>
    <n v="9"/>
    <n v="2"/>
    <s v="High"/>
    <s v="None"/>
    <s v="No"/>
    <s v="Decrease"/>
    <n v="3"/>
    <s v="Neutral"/>
    <n v="2"/>
    <s v="Daily"/>
    <s v="Average"/>
    <x v="5"/>
  </r>
  <r>
    <s v="EMP0473"/>
    <n v="50"/>
    <s v="Male"/>
    <s v="Designer"/>
    <s v="Manufacturing"/>
    <n v="17"/>
    <s v="Remote"/>
    <n v="30"/>
    <n v="14"/>
    <n v="3"/>
    <s v="Medium"/>
    <s v="None"/>
    <s v="Yes"/>
    <s v="Decrease"/>
    <n v="5"/>
    <s v="Satisfied"/>
    <n v="1"/>
    <s v="Weekly"/>
    <s v="Average"/>
    <x v="0"/>
  </r>
  <r>
    <s v="EMP0474"/>
    <n v="35"/>
    <s v="Female"/>
    <s v="Sales"/>
    <s v="Consulting"/>
    <n v="26"/>
    <s v="Hybrid"/>
    <n v="35"/>
    <n v="15"/>
    <n v="2"/>
    <s v="Medium"/>
    <s v="Depression"/>
    <s v="No"/>
    <s v="Decrease"/>
    <n v="1"/>
    <s v="Unsatisfied"/>
    <n v="2"/>
    <s v="None"/>
    <s v="Poor"/>
    <x v="1"/>
  </r>
  <r>
    <s v="EMP0475"/>
    <n v="40"/>
    <s v="Non-binary"/>
    <s v="Marketing"/>
    <s v="Education"/>
    <n v="33"/>
    <s v="Remote"/>
    <n v="37"/>
    <n v="13"/>
    <n v="2"/>
    <s v="Low"/>
    <s v="Depression"/>
    <s v="Yes"/>
    <s v="Increase"/>
    <n v="4"/>
    <s v="Satisfied"/>
    <n v="5"/>
    <s v="None"/>
    <s v="Poor"/>
    <x v="5"/>
  </r>
  <r>
    <s v="EMP0476"/>
    <n v="53"/>
    <s v="Non-binary"/>
    <s v="Project Manager"/>
    <s v="Retail"/>
    <n v="7"/>
    <s v="Onsite"/>
    <n v="51"/>
    <n v="9"/>
    <n v="3"/>
    <s v="Low"/>
    <s v="Depression"/>
    <s v="Yes"/>
    <s v="No Change"/>
    <n v="3"/>
    <s v="Satisfied"/>
    <n v="5"/>
    <s v="Weekly"/>
    <s v="Poor"/>
    <x v="3"/>
  </r>
  <r>
    <s v="EMP0477"/>
    <n v="32"/>
    <s v="Male"/>
    <s v="Marketing"/>
    <s v="Manufacturing"/>
    <n v="5"/>
    <s v="Onsite"/>
    <n v="54"/>
    <n v="11"/>
    <n v="2"/>
    <s v="Low"/>
    <s v="Anxiety"/>
    <s v="No"/>
    <s v="Increase"/>
    <n v="4"/>
    <s v="Unsatisfied"/>
    <n v="4"/>
    <s v="Daily"/>
    <s v="Average"/>
    <x v="5"/>
  </r>
  <r>
    <s v="EMP0478"/>
    <n v="56"/>
    <s v="Female"/>
    <s v="Designer"/>
    <s v="Retail"/>
    <n v="25"/>
    <s v="Remote"/>
    <n v="58"/>
    <n v="15"/>
    <n v="4"/>
    <s v="High"/>
    <s v="Burnout"/>
    <s v="No"/>
    <s v="Decrease"/>
    <n v="3"/>
    <s v="Satisfied"/>
    <n v="2"/>
    <s v="None"/>
    <s v="Good"/>
    <x v="5"/>
  </r>
  <r>
    <s v="EMP0479"/>
    <n v="55"/>
    <s v="Female"/>
    <s v="Sales"/>
    <s v="Finance"/>
    <n v="3"/>
    <s v="Onsite"/>
    <n v="36"/>
    <n v="1"/>
    <n v="1"/>
    <s v="Low"/>
    <s v="Depression"/>
    <s v="Yes"/>
    <s v="Decrease"/>
    <n v="2"/>
    <s v="Unsatisfied"/>
    <n v="5"/>
    <s v="None"/>
    <s v="Good"/>
    <x v="3"/>
  </r>
  <r>
    <s v="EMP0480"/>
    <n v="49"/>
    <s v="Non-binary"/>
    <s v="Project Manager"/>
    <s v="Retail"/>
    <n v="2"/>
    <s v="Onsite"/>
    <n v="53"/>
    <n v="10"/>
    <n v="4"/>
    <s v="Low"/>
    <s v="Burnout"/>
    <s v="Yes"/>
    <s v="No Change"/>
    <n v="1"/>
    <s v="Unsatisfied"/>
    <n v="1"/>
    <s v="Weekly"/>
    <s v="Poor"/>
    <x v="5"/>
  </r>
  <r>
    <s v="EMP0481"/>
    <n v="23"/>
    <s v="Female"/>
    <s v="Software Engineer"/>
    <s v="Retail"/>
    <n v="13"/>
    <s v="Hybrid"/>
    <n v="56"/>
    <n v="12"/>
    <n v="2"/>
    <s v="High"/>
    <s v="Burnout"/>
    <s v="No"/>
    <s v="Decrease"/>
    <n v="3"/>
    <s v="Neutral"/>
    <n v="5"/>
    <s v="Daily"/>
    <s v="Average"/>
    <x v="2"/>
  </r>
  <r>
    <s v="EMP0482"/>
    <n v="38"/>
    <s v="Male"/>
    <s v="Sales"/>
    <s v="Retail"/>
    <n v="8"/>
    <s v="Hybrid"/>
    <n v="27"/>
    <n v="4"/>
    <n v="2"/>
    <s v="Medium"/>
    <s v="Anxiety"/>
    <s v="Yes"/>
    <s v="Decrease"/>
    <n v="3"/>
    <s v="Unsatisfied"/>
    <n v="1"/>
    <s v="Weekly"/>
    <s v="Poor"/>
    <x v="5"/>
  </r>
  <r>
    <s v="EMP0483"/>
    <n v="23"/>
    <s v="Male"/>
    <s v="Marketing"/>
    <s v="Education"/>
    <n v="16"/>
    <s v="Remote"/>
    <n v="20"/>
    <n v="11"/>
    <n v="3"/>
    <s v="Medium"/>
    <s v="Burnout"/>
    <s v="Yes"/>
    <s v="Decrease"/>
    <n v="2"/>
    <s v="Neutral"/>
    <n v="3"/>
    <s v="Weekly"/>
    <s v="Poor"/>
    <x v="5"/>
  </r>
  <r>
    <s v="EMP0484"/>
    <n v="29"/>
    <s v="Female"/>
    <s v="Project Manager"/>
    <s v="Education"/>
    <n v="21"/>
    <s v="Remote"/>
    <n v="25"/>
    <n v="14"/>
    <n v="2"/>
    <s v="Low"/>
    <s v="Burnout"/>
    <s v="No"/>
    <s v="Increase"/>
    <n v="1"/>
    <s v="Satisfied"/>
    <n v="3"/>
    <s v="Weekly"/>
    <s v="Average"/>
    <x v="5"/>
  </r>
  <r>
    <s v="EMP0485"/>
    <n v="24"/>
    <s v="Female"/>
    <s v="Data Scientist"/>
    <s v="Consulting"/>
    <n v="20"/>
    <s v="Remote"/>
    <n v="33"/>
    <n v="14"/>
    <n v="1"/>
    <s v="Low"/>
    <s v="Anxiety"/>
    <s v="No"/>
    <s v="Increase"/>
    <n v="1"/>
    <s v="Satisfied"/>
    <n v="5"/>
    <s v="None"/>
    <s v="Average"/>
    <x v="0"/>
  </r>
  <r>
    <s v="EMP0486"/>
    <n v="58"/>
    <s v="Male"/>
    <s v="Software Engineer"/>
    <s v="Finance"/>
    <n v="12"/>
    <s v="Onsite"/>
    <n v="35"/>
    <n v="5"/>
    <n v="5"/>
    <s v="Low"/>
    <s v="Burnout"/>
    <s v="No"/>
    <s v="No Change"/>
    <n v="2"/>
    <s v="Neutral"/>
    <n v="2"/>
    <s v="Weekly"/>
    <s v="Poor"/>
    <x v="3"/>
  </r>
  <r>
    <s v="EMP0487"/>
    <n v="42"/>
    <s v="Male"/>
    <s v="Project Manager"/>
    <s v="Manufacturing"/>
    <n v="1"/>
    <s v="Hybrid"/>
    <n v="34"/>
    <n v="4"/>
    <n v="1"/>
    <s v="Low"/>
    <s v="Anxiety"/>
    <s v="No"/>
    <s v="Increase"/>
    <n v="5"/>
    <s v="Neutral"/>
    <n v="4"/>
    <s v="Weekly"/>
    <s v="Good"/>
    <x v="5"/>
  </r>
  <r>
    <s v="EMP0488"/>
    <n v="42"/>
    <s v="Male"/>
    <s v="Designer"/>
    <s v="Healthcare"/>
    <n v="32"/>
    <s v="Onsite"/>
    <n v="21"/>
    <n v="5"/>
    <n v="1"/>
    <s v="Low"/>
    <s v="Anxiety"/>
    <s v="No"/>
    <s v="No Change"/>
    <n v="1"/>
    <s v="Neutral"/>
    <n v="4"/>
    <s v="None"/>
    <s v="Poor"/>
    <x v="3"/>
  </r>
  <r>
    <s v="EMP0489"/>
    <n v="39"/>
    <s v="Non-binary"/>
    <s v="Sales"/>
    <s v="Healthcare"/>
    <n v="22"/>
    <s v="Remote"/>
    <n v="21"/>
    <n v="2"/>
    <n v="3"/>
    <s v="Low"/>
    <s v="Burnout"/>
    <s v="Yes"/>
    <s v="Increase"/>
    <n v="4"/>
    <s v="Unsatisfied"/>
    <n v="1"/>
    <s v="Daily"/>
    <s v="Poor"/>
    <x v="1"/>
  </r>
  <r>
    <s v="EMP0490"/>
    <n v="45"/>
    <s v="Male"/>
    <s v="Designer"/>
    <s v="Healthcare"/>
    <n v="23"/>
    <s v="Onsite"/>
    <n v="29"/>
    <n v="8"/>
    <n v="5"/>
    <s v="Medium"/>
    <s v="Depression"/>
    <s v="Yes"/>
    <s v="Increase"/>
    <n v="2"/>
    <s v="Unsatisfied"/>
    <n v="3"/>
    <s v="None"/>
    <s v="Good"/>
    <x v="4"/>
  </r>
  <r>
    <s v="EMP0491"/>
    <n v="53"/>
    <s v="Non-binary"/>
    <s v="Project Manager"/>
    <s v="IT"/>
    <n v="27"/>
    <s v="Onsite"/>
    <n v="33"/>
    <n v="5"/>
    <n v="2"/>
    <s v="High"/>
    <s v="None"/>
    <s v="No"/>
    <s v="No Change"/>
    <n v="4"/>
    <s v="Satisfied"/>
    <n v="5"/>
    <s v="None"/>
    <s v="Good"/>
    <x v="4"/>
  </r>
  <r>
    <s v="EMP0492"/>
    <n v="43"/>
    <s v="Prefer not to say"/>
    <s v="Sales"/>
    <s v="Finance"/>
    <n v="10"/>
    <s v="Hybrid"/>
    <n v="42"/>
    <n v="11"/>
    <n v="4"/>
    <s v="High"/>
    <s v="None"/>
    <s v="Yes"/>
    <s v="Increase"/>
    <n v="2"/>
    <s v="Neutral"/>
    <n v="3"/>
    <s v="Weekly"/>
    <s v="Poor"/>
    <x v="2"/>
  </r>
  <r>
    <s v="EMP0493"/>
    <n v="24"/>
    <s v="Prefer not to say"/>
    <s v="Designer"/>
    <s v="Education"/>
    <n v="23"/>
    <s v="Onsite"/>
    <n v="38"/>
    <n v="7"/>
    <n v="1"/>
    <s v="Medium"/>
    <s v="Anxiety"/>
    <s v="Yes"/>
    <s v="No Change"/>
    <n v="2"/>
    <s v="Neutral"/>
    <n v="3"/>
    <s v="Weekly"/>
    <s v="Average"/>
    <x v="3"/>
  </r>
  <r>
    <s v="EMP0494"/>
    <n v="44"/>
    <s v="Male"/>
    <s v="Marketing"/>
    <s v="Finance"/>
    <n v="24"/>
    <s v="Remote"/>
    <n v="40"/>
    <n v="4"/>
    <n v="1"/>
    <s v="High"/>
    <s v="Burnout"/>
    <s v="Yes"/>
    <s v="Decrease"/>
    <n v="2"/>
    <s v="Unsatisfied"/>
    <n v="5"/>
    <s v="None"/>
    <s v="Average"/>
    <x v="0"/>
  </r>
  <r>
    <s v="EMP0495"/>
    <n v="39"/>
    <s v="Prefer not to say"/>
    <s v="Software Engineer"/>
    <s v="Education"/>
    <n v="16"/>
    <s v="Remote"/>
    <n v="24"/>
    <n v="4"/>
    <n v="4"/>
    <s v="Medium"/>
    <s v="Anxiety"/>
    <s v="No"/>
    <s v="Decrease"/>
    <n v="5"/>
    <s v="Neutral"/>
    <n v="5"/>
    <s v="Daily"/>
    <s v="Good"/>
    <x v="2"/>
  </r>
  <r>
    <s v="EMP0496"/>
    <n v="40"/>
    <s v="Prefer not to say"/>
    <s v="HR"/>
    <s v="Retail"/>
    <n v="19"/>
    <s v="Hybrid"/>
    <n v="28"/>
    <n v="4"/>
    <n v="2"/>
    <s v="Low"/>
    <s v="None"/>
    <s v="Yes"/>
    <s v="No Change"/>
    <n v="1"/>
    <s v="Neutral"/>
    <n v="2"/>
    <s v="None"/>
    <s v="Average"/>
    <x v="0"/>
  </r>
  <r>
    <s v="EMP0497"/>
    <n v="41"/>
    <s v="Non-binary"/>
    <s v="Designer"/>
    <s v="Education"/>
    <n v="14"/>
    <s v="Hybrid"/>
    <n v="57"/>
    <n v="7"/>
    <n v="4"/>
    <s v="Medium"/>
    <s v="Anxiety"/>
    <s v="Yes"/>
    <s v="No Change"/>
    <n v="2"/>
    <s v="Unsatisfied"/>
    <n v="3"/>
    <s v="Weekly"/>
    <s v="Good"/>
    <x v="2"/>
  </r>
  <r>
    <s v="EMP0498"/>
    <n v="23"/>
    <s v="Male"/>
    <s v="Data Scientist"/>
    <s v="Finance"/>
    <n v="23"/>
    <s v="Remote"/>
    <n v="41"/>
    <n v="13"/>
    <n v="4"/>
    <s v="Low"/>
    <s v="Burnout"/>
    <s v="Yes"/>
    <s v="No Change"/>
    <n v="2"/>
    <s v="Neutral"/>
    <n v="2"/>
    <s v="Daily"/>
    <s v="Good"/>
    <x v="2"/>
  </r>
  <r>
    <s v="EMP0499"/>
    <n v="53"/>
    <s v="Female"/>
    <s v="Software Engineer"/>
    <s v="Retail"/>
    <n v="14"/>
    <s v="Onsite"/>
    <n v="40"/>
    <n v="13"/>
    <n v="4"/>
    <s v="Low"/>
    <s v="Burnout"/>
    <s v="No"/>
    <s v="Increase"/>
    <n v="5"/>
    <s v="Unsatisfied"/>
    <n v="5"/>
    <s v="Daily"/>
    <s v="Poor"/>
    <x v="2"/>
  </r>
  <r>
    <s v="EMP0500"/>
    <n v="52"/>
    <s v="Non-binary"/>
    <s v="Project Manager"/>
    <s v="Retail"/>
    <n v="10"/>
    <s v="Onsite"/>
    <n v="47"/>
    <n v="3"/>
    <n v="3"/>
    <s v="Medium"/>
    <s v="Depression"/>
    <s v="Yes"/>
    <s v="Decrease"/>
    <n v="2"/>
    <s v="Neutral"/>
    <n v="3"/>
    <s v="Daily"/>
    <s v="Average"/>
    <x v="1"/>
  </r>
  <r>
    <s v="EMP0501"/>
    <n v="58"/>
    <s v="Female"/>
    <s v="Data Scientist"/>
    <s v="Consulting"/>
    <n v="7"/>
    <s v="Onsite"/>
    <n v="53"/>
    <n v="2"/>
    <n v="5"/>
    <s v="Low"/>
    <s v="Burnout"/>
    <s v="No"/>
    <s v="Decrease"/>
    <n v="4"/>
    <s v="Unsatisfied"/>
    <n v="1"/>
    <s v="None"/>
    <s v="Good"/>
    <x v="0"/>
  </r>
  <r>
    <s v="EMP0502"/>
    <n v="56"/>
    <s v="Prefer not to say"/>
    <s v="Data Scientist"/>
    <s v="Retail"/>
    <n v="25"/>
    <s v="Hybrid"/>
    <n v="27"/>
    <n v="13"/>
    <n v="1"/>
    <s v="High"/>
    <s v="None"/>
    <s v="No"/>
    <s v="No Change"/>
    <n v="4"/>
    <s v="Unsatisfied"/>
    <n v="5"/>
    <s v="Weekly"/>
    <s v="Average"/>
    <x v="4"/>
  </r>
  <r>
    <s v="EMP0503"/>
    <n v="34"/>
    <s v="Female"/>
    <s v="Software Engineer"/>
    <s v="Consulting"/>
    <n v="21"/>
    <s v="Hybrid"/>
    <n v="33"/>
    <n v="13"/>
    <n v="3"/>
    <s v="High"/>
    <s v="Burnout"/>
    <s v="No"/>
    <s v="Increase"/>
    <n v="3"/>
    <s v="Unsatisfied"/>
    <n v="2"/>
    <s v="None"/>
    <s v="Average"/>
    <x v="5"/>
  </r>
  <r>
    <s v="EMP0504"/>
    <n v="36"/>
    <s v="Non-binary"/>
    <s v="Sales"/>
    <s v="Healthcare"/>
    <n v="22"/>
    <s v="Hybrid"/>
    <n v="50"/>
    <n v="3"/>
    <n v="3"/>
    <s v="Low"/>
    <s v="Anxiety"/>
    <s v="No"/>
    <s v="Decrease"/>
    <n v="3"/>
    <s v="Satisfied"/>
    <n v="5"/>
    <s v="Daily"/>
    <s v="Average"/>
    <x v="0"/>
  </r>
  <r>
    <s v="EMP0505"/>
    <n v="50"/>
    <s v="Male"/>
    <s v="Software Engineer"/>
    <s v="Retail"/>
    <n v="29"/>
    <s v="Remote"/>
    <n v="40"/>
    <n v="5"/>
    <n v="3"/>
    <s v="Low"/>
    <s v="Depression"/>
    <s v="No"/>
    <s v="No Change"/>
    <n v="1"/>
    <s v="Neutral"/>
    <n v="4"/>
    <s v="Daily"/>
    <s v="Average"/>
    <x v="3"/>
  </r>
  <r>
    <s v="EMP0506"/>
    <n v="41"/>
    <s v="Male"/>
    <s v="Software Engineer"/>
    <s v="Education"/>
    <n v="14"/>
    <s v="Remote"/>
    <n v="56"/>
    <n v="8"/>
    <n v="4"/>
    <s v="Medium"/>
    <s v="Anxiety"/>
    <s v="No"/>
    <s v="No Change"/>
    <n v="2"/>
    <s v="Satisfied"/>
    <n v="4"/>
    <s v="Daily"/>
    <s v="Average"/>
    <x v="1"/>
  </r>
  <r>
    <s v="EMP0507"/>
    <n v="27"/>
    <s v="Female"/>
    <s v="Sales"/>
    <s v="Healthcare"/>
    <n v="17"/>
    <s v="Remote"/>
    <n v="29"/>
    <n v="15"/>
    <n v="1"/>
    <s v="Low"/>
    <s v="Burnout"/>
    <s v="Yes"/>
    <s v="Decrease"/>
    <n v="5"/>
    <s v="Satisfied"/>
    <n v="5"/>
    <s v="None"/>
    <s v="Poor"/>
    <x v="2"/>
  </r>
  <r>
    <s v="EMP0508"/>
    <n v="40"/>
    <s v="Non-binary"/>
    <s v="Designer"/>
    <s v="Consulting"/>
    <n v="18"/>
    <s v="Remote"/>
    <n v="27"/>
    <n v="1"/>
    <n v="1"/>
    <s v="Medium"/>
    <s v="Depression"/>
    <s v="No"/>
    <s v="Increase"/>
    <n v="2"/>
    <s v="Unsatisfied"/>
    <n v="2"/>
    <s v="None"/>
    <s v="Average"/>
    <x v="0"/>
  </r>
  <r>
    <s v="EMP0509"/>
    <n v="33"/>
    <s v="Male"/>
    <s v="HR"/>
    <s v="Education"/>
    <n v="27"/>
    <s v="Onsite"/>
    <n v="55"/>
    <n v="11"/>
    <n v="1"/>
    <s v="Medium"/>
    <s v="Anxiety"/>
    <s v="Yes"/>
    <s v="No Change"/>
    <n v="2"/>
    <s v="Neutral"/>
    <n v="5"/>
    <s v="Daily"/>
    <s v="Good"/>
    <x v="5"/>
  </r>
  <r>
    <s v="EMP0510"/>
    <n v="45"/>
    <s v="Prefer not to say"/>
    <s v="Sales"/>
    <s v="Finance"/>
    <n v="10"/>
    <s v="Remote"/>
    <n v="28"/>
    <n v="14"/>
    <n v="2"/>
    <s v="Medium"/>
    <s v="Burnout"/>
    <s v="No"/>
    <s v="Increase"/>
    <n v="4"/>
    <s v="Neutral"/>
    <n v="1"/>
    <s v="Weekly"/>
    <s v="Poor"/>
    <x v="4"/>
  </r>
  <r>
    <s v="EMP0511"/>
    <n v="39"/>
    <s v="Prefer not to say"/>
    <s v="HR"/>
    <s v="Manufacturing"/>
    <n v="5"/>
    <s v="Remote"/>
    <n v="59"/>
    <n v="12"/>
    <n v="4"/>
    <s v="Low"/>
    <s v="Anxiety"/>
    <s v="Yes"/>
    <s v="Decrease"/>
    <n v="3"/>
    <s v="Satisfied"/>
    <n v="4"/>
    <s v="Weekly"/>
    <s v="Poor"/>
    <x v="4"/>
  </r>
  <r>
    <s v="EMP0512"/>
    <n v="34"/>
    <s v="Male"/>
    <s v="Designer"/>
    <s v="Education"/>
    <n v="23"/>
    <s v="Hybrid"/>
    <n v="40"/>
    <n v="1"/>
    <n v="2"/>
    <s v="High"/>
    <s v="Anxiety"/>
    <s v="Yes"/>
    <s v="Decrease"/>
    <n v="4"/>
    <s v="Satisfied"/>
    <n v="5"/>
    <s v="Daily"/>
    <s v="Average"/>
    <x v="1"/>
  </r>
  <r>
    <s v="EMP0513"/>
    <n v="40"/>
    <s v="Female"/>
    <s v="Marketing"/>
    <s v="IT"/>
    <n v="27"/>
    <s v="Onsite"/>
    <n v="38"/>
    <n v="13"/>
    <n v="3"/>
    <s v="Low"/>
    <s v="Burnout"/>
    <s v="Yes"/>
    <s v="Increase"/>
    <n v="4"/>
    <s v="Neutral"/>
    <n v="5"/>
    <s v="Daily"/>
    <s v="Average"/>
    <x v="4"/>
  </r>
  <r>
    <s v="EMP0514"/>
    <n v="49"/>
    <s v="Female"/>
    <s v="Data Scientist"/>
    <s v="Education"/>
    <n v="6"/>
    <s v="Remote"/>
    <n v="37"/>
    <n v="13"/>
    <n v="4"/>
    <s v="Medium"/>
    <s v="None"/>
    <s v="Yes"/>
    <s v="Increase"/>
    <n v="1"/>
    <s v="Unsatisfied"/>
    <n v="3"/>
    <s v="None"/>
    <s v="Good"/>
    <x v="2"/>
  </r>
  <r>
    <s v="EMP0515"/>
    <n v="35"/>
    <s v="Female"/>
    <s v="Project Manager"/>
    <s v="IT"/>
    <n v="32"/>
    <s v="Remote"/>
    <n v="36"/>
    <n v="0"/>
    <n v="1"/>
    <s v="Medium"/>
    <s v="Depression"/>
    <s v="Yes"/>
    <s v="Decrease"/>
    <n v="4"/>
    <s v="Unsatisfied"/>
    <n v="5"/>
    <s v="None"/>
    <s v="Average"/>
    <x v="5"/>
  </r>
  <r>
    <s v="EMP0516"/>
    <n v="43"/>
    <s v="Non-binary"/>
    <s v="Designer"/>
    <s v="Finance"/>
    <n v="20"/>
    <s v="Remote"/>
    <n v="55"/>
    <n v="11"/>
    <n v="1"/>
    <s v="Low"/>
    <s v="Anxiety"/>
    <s v="No"/>
    <s v="Increase"/>
    <n v="1"/>
    <s v="Neutral"/>
    <n v="5"/>
    <s v="None"/>
    <s v="Poor"/>
    <x v="1"/>
  </r>
  <r>
    <s v="EMP0517"/>
    <n v="59"/>
    <s v="Female"/>
    <s v="HR"/>
    <s v="IT"/>
    <n v="32"/>
    <s v="Remote"/>
    <n v="47"/>
    <n v="10"/>
    <n v="2"/>
    <s v="Low"/>
    <s v="Depression"/>
    <s v="Yes"/>
    <s v="Increase"/>
    <n v="3"/>
    <s v="Neutral"/>
    <n v="3"/>
    <s v="Daily"/>
    <s v="Good"/>
    <x v="0"/>
  </r>
  <r>
    <s v="EMP0518"/>
    <n v="60"/>
    <s v="Prefer not to say"/>
    <s v="Data Scientist"/>
    <s v="Healthcare"/>
    <n v="8"/>
    <s v="Onsite"/>
    <n v="51"/>
    <n v="14"/>
    <n v="4"/>
    <s v="Medium"/>
    <s v="Depression"/>
    <s v="No"/>
    <s v="No Change"/>
    <n v="4"/>
    <s v="Neutral"/>
    <n v="5"/>
    <s v="Weekly"/>
    <s v="Good"/>
    <x v="1"/>
  </r>
  <r>
    <s v="EMP0519"/>
    <n v="42"/>
    <s v="Female"/>
    <s v="Project Manager"/>
    <s v="Retail"/>
    <n v="29"/>
    <s v="Hybrid"/>
    <n v="42"/>
    <n v="14"/>
    <n v="5"/>
    <s v="Low"/>
    <s v="None"/>
    <s v="Yes"/>
    <s v="No Change"/>
    <n v="3"/>
    <s v="Satisfied"/>
    <n v="4"/>
    <s v="Weekly"/>
    <s v="Poor"/>
    <x v="4"/>
  </r>
  <r>
    <s v="EMP0520"/>
    <n v="42"/>
    <s v="Prefer not to say"/>
    <s v="Designer"/>
    <s v="Consulting"/>
    <n v="22"/>
    <s v="Hybrid"/>
    <n v="45"/>
    <n v="6"/>
    <n v="3"/>
    <s v="High"/>
    <s v="Anxiety"/>
    <s v="Yes"/>
    <s v="Decrease"/>
    <n v="4"/>
    <s v="Neutral"/>
    <n v="4"/>
    <s v="Daily"/>
    <s v="Average"/>
    <x v="1"/>
  </r>
  <r>
    <s v="EMP0521"/>
    <n v="37"/>
    <s v="Male"/>
    <s v="HR"/>
    <s v="Finance"/>
    <n v="8"/>
    <s v="Hybrid"/>
    <n v="46"/>
    <n v="4"/>
    <n v="5"/>
    <s v="Low"/>
    <s v="Burnout"/>
    <s v="Yes"/>
    <s v="Decrease"/>
    <n v="5"/>
    <s v="Unsatisfied"/>
    <n v="3"/>
    <s v="Daily"/>
    <s v="Poor"/>
    <x v="3"/>
  </r>
  <r>
    <s v="EMP0522"/>
    <n v="60"/>
    <s v="Female"/>
    <s v="Data Scientist"/>
    <s v="Finance"/>
    <n v="33"/>
    <s v="Hybrid"/>
    <n v="60"/>
    <n v="0"/>
    <n v="1"/>
    <s v="Medium"/>
    <s v="Burnout"/>
    <s v="Yes"/>
    <s v="Increase"/>
    <n v="3"/>
    <s v="Neutral"/>
    <n v="4"/>
    <s v="Daily"/>
    <s v="Average"/>
    <x v="4"/>
  </r>
  <r>
    <s v="EMP0523"/>
    <n v="33"/>
    <s v="Non-binary"/>
    <s v="Software Engineer"/>
    <s v="Retail"/>
    <n v="6"/>
    <s v="Onsite"/>
    <n v="45"/>
    <n v="2"/>
    <n v="3"/>
    <s v="Medium"/>
    <s v="Anxiety"/>
    <s v="No"/>
    <s v="Increase"/>
    <n v="4"/>
    <s v="Unsatisfied"/>
    <n v="5"/>
    <s v="Daily"/>
    <s v="Good"/>
    <x v="0"/>
  </r>
  <r>
    <s v="EMP0524"/>
    <n v="60"/>
    <s v="Male"/>
    <s v="Project Manager"/>
    <s v="Consulting"/>
    <n v="6"/>
    <s v="Hybrid"/>
    <n v="33"/>
    <n v="11"/>
    <n v="2"/>
    <s v="Medium"/>
    <s v="Anxiety"/>
    <s v="Yes"/>
    <s v="Decrease"/>
    <n v="4"/>
    <s v="Satisfied"/>
    <n v="3"/>
    <s v="Weekly"/>
    <s v="Poor"/>
    <x v="4"/>
  </r>
  <r>
    <s v="EMP0525"/>
    <n v="58"/>
    <s v="Female"/>
    <s v="Designer"/>
    <s v="Retail"/>
    <n v="9"/>
    <s v="Onsite"/>
    <n v="44"/>
    <n v="2"/>
    <n v="2"/>
    <s v="Medium"/>
    <s v="Depression"/>
    <s v="No"/>
    <s v="Increase"/>
    <n v="3"/>
    <s v="Unsatisfied"/>
    <n v="4"/>
    <s v="None"/>
    <s v="Average"/>
    <x v="4"/>
  </r>
  <r>
    <s v="EMP0526"/>
    <n v="25"/>
    <s v="Male"/>
    <s v="Software Engineer"/>
    <s v="Finance"/>
    <n v="10"/>
    <s v="Remote"/>
    <n v="24"/>
    <n v="0"/>
    <n v="2"/>
    <s v="Low"/>
    <s v="Burnout"/>
    <s v="Yes"/>
    <s v="No Change"/>
    <n v="1"/>
    <s v="Unsatisfied"/>
    <n v="1"/>
    <s v="Weekly"/>
    <s v="Poor"/>
    <x v="3"/>
  </r>
  <r>
    <s v="EMP0527"/>
    <n v="30"/>
    <s v="Prefer not to say"/>
    <s v="Project Manager"/>
    <s v="Consulting"/>
    <n v="26"/>
    <s v="Hybrid"/>
    <n v="28"/>
    <n v="4"/>
    <n v="3"/>
    <s v="High"/>
    <s v="Anxiety"/>
    <s v="Yes"/>
    <s v="Increase"/>
    <n v="1"/>
    <s v="Unsatisfied"/>
    <n v="5"/>
    <s v="Weekly"/>
    <s v="Good"/>
    <x v="2"/>
  </r>
  <r>
    <s v="EMP0528"/>
    <n v="28"/>
    <s v="Female"/>
    <s v="Software Engineer"/>
    <s v="Healthcare"/>
    <n v="14"/>
    <s v="Hybrid"/>
    <n v="56"/>
    <n v="1"/>
    <n v="3"/>
    <s v="Medium"/>
    <s v="Depression"/>
    <s v="No"/>
    <s v="Increase"/>
    <n v="3"/>
    <s v="Unsatisfied"/>
    <n v="3"/>
    <s v="Weekly"/>
    <s v="Good"/>
    <x v="5"/>
  </r>
  <r>
    <s v="EMP0529"/>
    <n v="28"/>
    <s v="Non-binary"/>
    <s v="Project Manager"/>
    <s v="IT"/>
    <n v="5"/>
    <s v="Onsite"/>
    <n v="22"/>
    <n v="5"/>
    <n v="2"/>
    <s v="Medium"/>
    <s v="Anxiety"/>
    <s v="Yes"/>
    <s v="No Change"/>
    <n v="4"/>
    <s v="Satisfied"/>
    <n v="1"/>
    <s v="Daily"/>
    <s v="Poor"/>
    <x v="2"/>
  </r>
  <r>
    <s v="EMP0530"/>
    <n v="23"/>
    <s v="Prefer not to say"/>
    <s v="Marketing"/>
    <s v="Retail"/>
    <n v="15"/>
    <s v="Onsite"/>
    <n v="34"/>
    <n v="4"/>
    <n v="3"/>
    <s v="High"/>
    <s v="None"/>
    <s v="No"/>
    <s v="Increase"/>
    <n v="1"/>
    <s v="Satisfied"/>
    <n v="5"/>
    <s v="Weekly"/>
    <s v="Average"/>
    <x v="0"/>
  </r>
  <r>
    <s v="EMP0531"/>
    <n v="36"/>
    <s v="Female"/>
    <s v="Software Engineer"/>
    <s v="Retail"/>
    <n v="14"/>
    <s v="Onsite"/>
    <n v="34"/>
    <n v="1"/>
    <n v="3"/>
    <s v="High"/>
    <s v="Anxiety"/>
    <s v="No"/>
    <s v="No Change"/>
    <n v="4"/>
    <s v="Unsatisfied"/>
    <n v="3"/>
    <s v="Daily"/>
    <s v="Good"/>
    <x v="4"/>
  </r>
  <r>
    <s v="EMP0532"/>
    <n v="50"/>
    <s v="Male"/>
    <s v="Designer"/>
    <s v="Retail"/>
    <n v="16"/>
    <s v="Hybrid"/>
    <n v="55"/>
    <n v="8"/>
    <n v="1"/>
    <s v="High"/>
    <s v="Anxiety"/>
    <s v="Yes"/>
    <s v="Decrease"/>
    <n v="1"/>
    <s v="Unsatisfied"/>
    <n v="5"/>
    <s v="Daily"/>
    <s v="Poor"/>
    <x v="3"/>
  </r>
  <r>
    <s v="EMP0533"/>
    <n v="57"/>
    <s v="Non-binary"/>
    <s v="Designer"/>
    <s v="IT"/>
    <n v="35"/>
    <s v="Onsite"/>
    <n v="20"/>
    <n v="15"/>
    <n v="3"/>
    <s v="Medium"/>
    <s v="None"/>
    <s v="No"/>
    <s v="No Change"/>
    <n v="1"/>
    <s v="Satisfied"/>
    <n v="5"/>
    <s v="None"/>
    <s v="Poor"/>
    <x v="3"/>
  </r>
  <r>
    <s v="EMP0534"/>
    <n v="44"/>
    <s v="Male"/>
    <s v="Sales"/>
    <s v="Healthcare"/>
    <n v="25"/>
    <s v="Onsite"/>
    <n v="53"/>
    <n v="7"/>
    <n v="3"/>
    <s v="Low"/>
    <s v="Depression"/>
    <s v="No"/>
    <s v="Increase"/>
    <n v="4"/>
    <s v="Unsatisfied"/>
    <n v="1"/>
    <s v="None"/>
    <s v="Average"/>
    <x v="5"/>
  </r>
  <r>
    <s v="EMP0535"/>
    <n v="24"/>
    <s v="Non-binary"/>
    <s v="Marketing"/>
    <s v="Healthcare"/>
    <n v="2"/>
    <s v="Hybrid"/>
    <n v="31"/>
    <n v="3"/>
    <n v="5"/>
    <s v="High"/>
    <s v="None"/>
    <s v="Yes"/>
    <s v="Decrease"/>
    <n v="3"/>
    <s v="Unsatisfied"/>
    <n v="5"/>
    <s v="Daily"/>
    <s v="Average"/>
    <x v="5"/>
  </r>
  <r>
    <s v="EMP0536"/>
    <n v="39"/>
    <s v="Prefer not to say"/>
    <s v="Software Engineer"/>
    <s v="Education"/>
    <n v="32"/>
    <s v="Hybrid"/>
    <n v="51"/>
    <n v="10"/>
    <n v="1"/>
    <s v="High"/>
    <s v="Depression"/>
    <s v="Yes"/>
    <s v="Increase"/>
    <n v="4"/>
    <s v="Neutral"/>
    <n v="4"/>
    <s v="Weekly"/>
    <s v="Poor"/>
    <x v="3"/>
  </r>
  <r>
    <s v="EMP0537"/>
    <n v="57"/>
    <s v="Male"/>
    <s v="Marketing"/>
    <s v="IT"/>
    <n v="28"/>
    <s v="Hybrid"/>
    <n v="33"/>
    <n v="3"/>
    <n v="5"/>
    <s v="Medium"/>
    <s v="Depression"/>
    <s v="Yes"/>
    <s v="No Change"/>
    <n v="1"/>
    <s v="Neutral"/>
    <n v="1"/>
    <s v="Daily"/>
    <s v="Average"/>
    <x v="0"/>
  </r>
  <r>
    <s v="EMP0538"/>
    <n v="45"/>
    <s v="Prefer not to say"/>
    <s v="HR"/>
    <s v="Retail"/>
    <n v="12"/>
    <s v="Hybrid"/>
    <n v="46"/>
    <n v="0"/>
    <n v="3"/>
    <s v="Medium"/>
    <s v="None"/>
    <s v="Yes"/>
    <s v="No Change"/>
    <n v="2"/>
    <s v="Unsatisfied"/>
    <n v="3"/>
    <s v="Daily"/>
    <s v="Poor"/>
    <x v="2"/>
  </r>
  <r>
    <s v="EMP0539"/>
    <n v="35"/>
    <s v="Female"/>
    <s v="Marketing"/>
    <s v="Retail"/>
    <n v="14"/>
    <s v="Onsite"/>
    <n v="32"/>
    <n v="4"/>
    <n v="3"/>
    <s v="Low"/>
    <s v="Anxiety"/>
    <s v="No"/>
    <s v="No Change"/>
    <n v="4"/>
    <s v="Satisfied"/>
    <n v="3"/>
    <s v="None"/>
    <s v="Good"/>
    <x v="2"/>
  </r>
  <r>
    <s v="EMP0540"/>
    <n v="59"/>
    <s v="Prefer not to say"/>
    <s v="Project Manager"/>
    <s v="Healthcare"/>
    <n v="27"/>
    <s v="Remote"/>
    <n v="25"/>
    <n v="11"/>
    <n v="4"/>
    <s v="High"/>
    <s v="Depression"/>
    <s v="No"/>
    <s v="No Change"/>
    <n v="1"/>
    <s v="Neutral"/>
    <n v="1"/>
    <s v="Daily"/>
    <s v="Average"/>
    <x v="2"/>
  </r>
  <r>
    <s v="EMP0541"/>
    <n v="58"/>
    <s v="Prefer not to say"/>
    <s v="Marketing"/>
    <s v="Retail"/>
    <n v="1"/>
    <s v="Hybrid"/>
    <n v="43"/>
    <n v="14"/>
    <n v="2"/>
    <s v="High"/>
    <s v="Burnout"/>
    <s v="No"/>
    <s v="No Change"/>
    <n v="4"/>
    <s v="Neutral"/>
    <n v="4"/>
    <s v="Daily"/>
    <s v="Poor"/>
    <x v="4"/>
  </r>
  <r>
    <s v="EMP0542"/>
    <n v="48"/>
    <s v="Male"/>
    <s v="Data Scientist"/>
    <s v="Education"/>
    <n v="30"/>
    <s v="Remote"/>
    <n v="42"/>
    <n v="1"/>
    <n v="4"/>
    <s v="Medium"/>
    <s v="Depression"/>
    <s v="No"/>
    <s v="Increase"/>
    <n v="5"/>
    <s v="Unsatisfied"/>
    <n v="3"/>
    <s v="Weekly"/>
    <s v="Average"/>
    <x v="4"/>
  </r>
  <r>
    <s v="EMP0543"/>
    <n v="55"/>
    <s v="Prefer not to say"/>
    <s v="Data Scientist"/>
    <s v="Healthcare"/>
    <n v="8"/>
    <s v="Remote"/>
    <n v="49"/>
    <n v="10"/>
    <n v="5"/>
    <s v="Medium"/>
    <s v="Depression"/>
    <s v="No"/>
    <s v="No Change"/>
    <n v="2"/>
    <s v="Satisfied"/>
    <n v="5"/>
    <s v="Weekly"/>
    <s v="Good"/>
    <x v="3"/>
  </r>
  <r>
    <s v="EMP0544"/>
    <n v="60"/>
    <s v="Male"/>
    <s v="Designer"/>
    <s v="IT"/>
    <n v="11"/>
    <s v="Hybrid"/>
    <n v="50"/>
    <n v="2"/>
    <n v="3"/>
    <s v="Medium"/>
    <s v="None"/>
    <s v="No"/>
    <s v="Decrease"/>
    <n v="2"/>
    <s v="Unsatisfied"/>
    <n v="5"/>
    <s v="None"/>
    <s v="Average"/>
    <x v="0"/>
  </r>
  <r>
    <s v="EMP0545"/>
    <n v="60"/>
    <s v="Prefer not to say"/>
    <s v="Software Engineer"/>
    <s v="Finance"/>
    <n v="20"/>
    <s v="Onsite"/>
    <n v="44"/>
    <n v="6"/>
    <n v="1"/>
    <s v="Low"/>
    <s v="None"/>
    <s v="Yes"/>
    <s v="Decrease"/>
    <n v="3"/>
    <s v="Unsatisfied"/>
    <n v="3"/>
    <s v="Daily"/>
    <s v="Poor"/>
    <x v="0"/>
  </r>
  <r>
    <s v="EMP0546"/>
    <n v="23"/>
    <s v="Non-binary"/>
    <s v="HR"/>
    <s v="IT"/>
    <n v="23"/>
    <s v="Remote"/>
    <n v="32"/>
    <n v="6"/>
    <n v="4"/>
    <s v="Low"/>
    <s v="Anxiety"/>
    <s v="Yes"/>
    <s v="No Change"/>
    <n v="5"/>
    <s v="Unsatisfied"/>
    <n v="2"/>
    <s v="Weekly"/>
    <s v="Good"/>
    <x v="3"/>
  </r>
  <r>
    <s v="EMP0547"/>
    <n v="28"/>
    <s v="Male"/>
    <s v="Designer"/>
    <s v="Education"/>
    <n v="32"/>
    <s v="Hybrid"/>
    <n v="51"/>
    <n v="3"/>
    <n v="3"/>
    <s v="Medium"/>
    <s v="Burnout"/>
    <s v="Yes"/>
    <s v="No Change"/>
    <n v="3"/>
    <s v="Satisfied"/>
    <n v="5"/>
    <s v="None"/>
    <s v="Poor"/>
    <x v="2"/>
  </r>
  <r>
    <s v="EMP0548"/>
    <n v="49"/>
    <s v="Female"/>
    <s v="Marketing"/>
    <s v="IT"/>
    <n v="5"/>
    <s v="Hybrid"/>
    <n v="51"/>
    <n v="6"/>
    <n v="3"/>
    <s v="Medium"/>
    <s v="Depression"/>
    <s v="Yes"/>
    <s v="No Change"/>
    <n v="4"/>
    <s v="Unsatisfied"/>
    <n v="5"/>
    <s v="Weekly"/>
    <s v="Average"/>
    <x v="4"/>
  </r>
  <r>
    <s v="EMP0549"/>
    <n v="45"/>
    <s v="Male"/>
    <s v="Designer"/>
    <s v="Retail"/>
    <n v="18"/>
    <s v="Remote"/>
    <n v="55"/>
    <n v="8"/>
    <n v="4"/>
    <s v="Medium"/>
    <s v="Burnout"/>
    <s v="Yes"/>
    <s v="No Change"/>
    <n v="2"/>
    <s v="Unsatisfied"/>
    <n v="4"/>
    <s v="None"/>
    <s v="Average"/>
    <x v="0"/>
  </r>
  <r>
    <s v="EMP0550"/>
    <n v="22"/>
    <s v="Male"/>
    <s v="Project Manager"/>
    <s v="Retail"/>
    <n v="35"/>
    <s v="Onsite"/>
    <n v="26"/>
    <n v="12"/>
    <n v="3"/>
    <s v="High"/>
    <s v="Burnout"/>
    <s v="Yes"/>
    <s v="Decrease"/>
    <n v="5"/>
    <s v="Neutral"/>
    <n v="3"/>
    <s v="Daily"/>
    <s v="Poor"/>
    <x v="3"/>
  </r>
  <r>
    <s v="EMP0551"/>
    <n v="24"/>
    <s v="Female"/>
    <s v="Designer"/>
    <s v="Manufacturing"/>
    <n v="20"/>
    <s v="Onsite"/>
    <n v="58"/>
    <n v="12"/>
    <n v="2"/>
    <s v="High"/>
    <s v="Anxiety"/>
    <s v="Yes"/>
    <s v="No Change"/>
    <n v="4"/>
    <s v="Unsatisfied"/>
    <n v="1"/>
    <s v="Daily"/>
    <s v="Good"/>
    <x v="4"/>
  </r>
  <r>
    <s v="EMP0552"/>
    <n v="39"/>
    <s v="Male"/>
    <s v="Sales"/>
    <s v="Healthcare"/>
    <n v="28"/>
    <s v="Hybrid"/>
    <n v="44"/>
    <n v="6"/>
    <n v="3"/>
    <s v="High"/>
    <s v="Depression"/>
    <s v="No"/>
    <s v="Decrease"/>
    <n v="5"/>
    <s v="Satisfied"/>
    <n v="1"/>
    <s v="Weekly"/>
    <s v="Poor"/>
    <x v="4"/>
  </r>
  <r>
    <s v="EMP0553"/>
    <n v="27"/>
    <s v="Non-binary"/>
    <s v="HR"/>
    <s v="Manufacturing"/>
    <n v="29"/>
    <s v="Onsite"/>
    <n v="39"/>
    <n v="11"/>
    <n v="4"/>
    <s v="High"/>
    <s v="Depression"/>
    <s v="Yes"/>
    <s v="Decrease"/>
    <n v="2"/>
    <s v="Satisfied"/>
    <n v="1"/>
    <s v="Daily"/>
    <s v="Poor"/>
    <x v="3"/>
  </r>
  <r>
    <s v="EMP0554"/>
    <n v="38"/>
    <s v="Male"/>
    <s v="Project Manager"/>
    <s v="IT"/>
    <n v="26"/>
    <s v="Hybrid"/>
    <n v="39"/>
    <n v="0"/>
    <n v="4"/>
    <s v="High"/>
    <s v="Anxiety"/>
    <s v="No"/>
    <s v="Increase"/>
    <n v="1"/>
    <s v="Neutral"/>
    <n v="3"/>
    <s v="Weekly"/>
    <s v="Good"/>
    <x v="2"/>
  </r>
  <r>
    <s v="EMP0555"/>
    <n v="50"/>
    <s v="Female"/>
    <s v="Project Manager"/>
    <s v="Healthcare"/>
    <n v="18"/>
    <s v="Remote"/>
    <n v="45"/>
    <n v="1"/>
    <n v="5"/>
    <s v="Low"/>
    <s v="None"/>
    <s v="Yes"/>
    <s v="Decrease"/>
    <n v="5"/>
    <s v="Unsatisfied"/>
    <n v="2"/>
    <s v="Weekly"/>
    <s v="Good"/>
    <x v="5"/>
  </r>
  <r>
    <s v="EMP0556"/>
    <n v="46"/>
    <s v="Non-binary"/>
    <s v="HR"/>
    <s v="IT"/>
    <n v="4"/>
    <s v="Remote"/>
    <n v="57"/>
    <n v="13"/>
    <n v="4"/>
    <s v="High"/>
    <s v="Depression"/>
    <s v="No"/>
    <s v="Decrease"/>
    <n v="1"/>
    <s v="Satisfied"/>
    <n v="5"/>
    <s v="Daily"/>
    <s v="Poor"/>
    <x v="2"/>
  </r>
  <r>
    <s v="EMP0557"/>
    <n v="46"/>
    <s v="Prefer not to say"/>
    <s v="Designer"/>
    <s v="Education"/>
    <n v="4"/>
    <s v="Onsite"/>
    <n v="48"/>
    <n v="4"/>
    <n v="1"/>
    <s v="Low"/>
    <s v="Anxiety"/>
    <s v="Yes"/>
    <s v="Increase"/>
    <n v="1"/>
    <s v="Neutral"/>
    <n v="3"/>
    <s v="None"/>
    <s v="Good"/>
    <x v="1"/>
  </r>
  <r>
    <s v="EMP0558"/>
    <n v="28"/>
    <s v="Prefer not to say"/>
    <s v="Sales"/>
    <s v="Manufacturing"/>
    <n v="10"/>
    <s v="Hybrid"/>
    <n v="30"/>
    <n v="2"/>
    <n v="3"/>
    <s v="Low"/>
    <s v="Anxiety"/>
    <s v="Yes"/>
    <s v="Decrease"/>
    <n v="5"/>
    <s v="Unsatisfied"/>
    <n v="3"/>
    <s v="None"/>
    <s v="Poor"/>
    <x v="0"/>
  </r>
  <r>
    <s v="EMP0559"/>
    <n v="53"/>
    <s v="Prefer not to say"/>
    <s v="HR"/>
    <s v="Manufacturing"/>
    <n v="2"/>
    <s v="Remote"/>
    <n v="27"/>
    <n v="11"/>
    <n v="3"/>
    <s v="Medium"/>
    <s v="Burnout"/>
    <s v="No"/>
    <s v="No Change"/>
    <n v="4"/>
    <s v="Satisfied"/>
    <n v="4"/>
    <s v="Weekly"/>
    <s v="Poor"/>
    <x v="4"/>
  </r>
  <r>
    <s v="EMP0560"/>
    <n v="34"/>
    <s v="Female"/>
    <s v="Software Engineer"/>
    <s v="Education"/>
    <n v="2"/>
    <s v="Hybrid"/>
    <n v="25"/>
    <n v="9"/>
    <n v="5"/>
    <s v="Medium"/>
    <s v="Depression"/>
    <s v="Yes"/>
    <s v="Decrease"/>
    <n v="2"/>
    <s v="Neutral"/>
    <n v="1"/>
    <s v="Weekly"/>
    <s v="Average"/>
    <x v="2"/>
  </r>
  <r>
    <s v="EMP0561"/>
    <n v="35"/>
    <s v="Female"/>
    <s v="Project Manager"/>
    <s v="Finance"/>
    <n v="8"/>
    <s v="Hybrid"/>
    <n v="25"/>
    <n v="14"/>
    <n v="5"/>
    <s v="High"/>
    <s v="Anxiety"/>
    <s v="Yes"/>
    <s v="No Change"/>
    <n v="3"/>
    <s v="Unsatisfied"/>
    <n v="4"/>
    <s v="Daily"/>
    <s v="Poor"/>
    <x v="1"/>
  </r>
  <r>
    <s v="EMP0562"/>
    <n v="48"/>
    <s v="Prefer not to say"/>
    <s v="HR"/>
    <s v="Retail"/>
    <n v="34"/>
    <s v="Onsite"/>
    <n v="39"/>
    <n v="9"/>
    <n v="2"/>
    <s v="Medium"/>
    <s v="Anxiety"/>
    <s v="Yes"/>
    <s v="Decrease"/>
    <n v="2"/>
    <s v="Satisfied"/>
    <n v="4"/>
    <s v="Weekly"/>
    <s v="Good"/>
    <x v="2"/>
  </r>
  <r>
    <s v="EMP0563"/>
    <n v="25"/>
    <s v="Male"/>
    <s v="Sales"/>
    <s v="Manufacturing"/>
    <n v="31"/>
    <s v="Hybrid"/>
    <n v="31"/>
    <n v="6"/>
    <n v="5"/>
    <s v="Low"/>
    <s v="Depression"/>
    <s v="No"/>
    <s v="Increase"/>
    <n v="5"/>
    <s v="Unsatisfied"/>
    <n v="5"/>
    <s v="Weekly"/>
    <s v="Good"/>
    <x v="1"/>
  </r>
  <r>
    <s v="EMP0564"/>
    <n v="54"/>
    <s v="Prefer not to say"/>
    <s v="Software Engineer"/>
    <s v="Education"/>
    <n v="8"/>
    <s v="Remote"/>
    <n v="23"/>
    <n v="6"/>
    <n v="2"/>
    <s v="High"/>
    <s v="Anxiety"/>
    <s v="Yes"/>
    <s v="Decrease"/>
    <n v="4"/>
    <s v="Neutral"/>
    <n v="1"/>
    <s v="Weekly"/>
    <s v="Poor"/>
    <x v="3"/>
  </r>
  <r>
    <s v="EMP0565"/>
    <n v="37"/>
    <s v="Male"/>
    <s v="Sales"/>
    <s v="IT"/>
    <n v="25"/>
    <s v="Hybrid"/>
    <n v="39"/>
    <n v="9"/>
    <n v="4"/>
    <s v="Low"/>
    <s v="Anxiety"/>
    <s v="No"/>
    <s v="No Change"/>
    <n v="4"/>
    <s v="Satisfied"/>
    <n v="1"/>
    <s v="None"/>
    <s v="Poor"/>
    <x v="4"/>
  </r>
  <r>
    <s v="EMP0566"/>
    <n v="33"/>
    <s v="Male"/>
    <s v="Project Manager"/>
    <s v="Retail"/>
    <n v="18"/>
    <s v="Onsite"/>
    <n v="39"/>
    <n v="10"/>
    <n v="2"/>
    <s v="High"/>
    <s v="Depression"/>
    <s v="No"/>
    <s v="Decrease"/>
    <n v="4"/>
    <s v="Satisfied"/>
    <n v="5"/>
    <s v="Daily"/>
    <s v="Good"/>
    <x v="5"/>
  </r>
  <r>
    <s v="EMP0567"/>
    <n v="24"/>
    <s v="Female"/>
    <s v="Sales"/>
    <s v="Education"/>
    <n v="3"/>
    <s v="Remote"/>
    <n v="27"/>
    <n v="11"/>
    <n v="1"/>
    <s v="Medium"/>
    <s v="Depression"/>
    <s v="Yes"/>
    <s v="No Change"/>
    <n v="4"/>
    <s v="Satisfied"/>
    <n v="1"/>
    <s v="None"/>
    <s v="Poor"/>
    <x v="3"/>
  </r>
  <r>
    <s v="EMP0568"/>
    <n v="52"/>
    <s v="Prefer not to say"/>
    <s v="HR"/>
    <s v="Finance"/>
    <n v="35"/>
    <s v="Hybrid"/>
    <n v="45"/>
    <n v="12"/>
    <n v="5"/>
    <s v="High"/>
    <s v="Burnout"/>
    <s v="Yes"/>
    <s v="Decrease"/>
    <n v="2"/>
    <s v="Satisfied"/>
    <n v="4"/>
    <s v="None"/>
    <s v="Average"/>
    <x v="2"/>
  </r>
  <r>
    <s v="EMP0569"/>
    <n v="22"/>
    <s v="Male"/>
    <s v="Project Manager"/>
    <s v="Retail"/>
    <n v="26"/>
    <s v="Hybrid"/>
    <n v="23"/>
    <n v="0"/>
    <n v="5"/>
    <s v="High"/>
    <s v="Depression"/>
    <s v="Yes"/>
    <s v="Increase"/>
    <n v="4"/>
    <s v="Neutral"/>
    <n v="4"/>
    <s v="None"/>
    <s v="Good"/>
    <x v="4"/>
  </r>
  <r>
    <s v="EMP0570"/>
    <n v="48"/>
    <s v="Prefer not to say"/>
    <s v="Software Engineer"/>
    <s v="Retail"/>
    <n v="25"/>
    <s v="Remote"/>
    <n v="39"/>
    <n v="3"/>
    <n v="1"/>
    <s v="High"/>
    <s v="Anxiety"/>
    <s v="Yes"/>
    <s v="Increase"/>
    <n v="2"/>
    <s v="Unsatisfied"/>
    <n v="2"/>
    <s v="Daily"/>
    <s v="Good"/>
    <x v="1"/>
  </r>
  <r>
    <s v="EMP0571"/>
    <n v="48"/>
    <s v="Male"/>
    <s v="Designer"/>
    <s v="Manufacturing"/>
    <n v="4"/>
    <s v="Onsite"/>
    <n v="27"/>
    <n v="6"/>
    <n v="2"/>
    <s v="High"/>
    <s v="Anxiety"/>
    <s v="Yes"/>
    <s v="No Change"/>
    <n v="2"/>
    <s v="Satisfied"/>
    <n v="2"/>
    <s v="Weekly"/>
    <s v="Average"/>
    <x v="3"/>
  </r>
  <r>
    <s v="EMP0572"/>
    <n v="47"/>
    <s v="Female"/>
    <s v="Sales"/>
    <s v="Healthcare"/>
    <n v="17"/>
    <s v="Remote"/>
    <n v="27"/>
    <n v="8"/>
    <n v="3"/>
    <s v="Medium"/>
    <s v="Anxiety"/>
    <s v="No"/>
    <s v="Decrease"/>
    <n v="2"/>
    <s v="Satisfied"/>
    <n v="3"/>
    <s v="Daily"/>
    <s v="Good"/>
    <x v="5"/>
  </r>
  <r>
    <s v="EMP0573"/>
    <n v="51"/>
    <s v="Male"/>
    <s v="Software Engineer"/>
    <s v="Education"/>
    <n v="11"/>
    <s v="Onsite"/>
    <n v="33"/>
    <n v="5"/>
    <n v="1"/>
    <s v="Medium"/>
    <s v="Anxiety"/>
    <s v="Yes"/>
    <s v="Decrease"/>
    <n v="2"/>
    <s v="Unsatisfied"/>
    <n v="4"/>
    <s v="None"/>
    <s v="Good"/>
    <x v="3"/>
  </r>
  <r>
    <s v="EMP0574"/>
    <n v="52"/>
    <s v="Male"/>
    <s v="Marketing"/>
    <s v="Healthcare"/>
    <n v="19"/>
    <s v="Hybrid"/>
    <n v="44"/>
    <n v="8"/>
    <n v="2"/>
    <s v="Medium"/>
    <s v="Burnout"/>
    <s v="No"/>
    <s v="Decrease"/>
    <n v="4"/>
    <s v="Neutral"/>
    <n v="1"/>
    <s v="None"/>
    <s v="Poor"/>
    <x v="2"/>
  </r>
  <r>
    <s v="EMP0575"/>
    <n v="41"/>
    <s v="Female"/>
    <s v="Software Engineer"/>
    <s v="Consulting"/>
    <n v="8"/>
    <s v="Remote"/>
    <n v="45"/>
    <n v="0"/>
    <n v="4"/>
    <s v="Medium"/>
    <s v="Anxiety"/>
    <s v="Yes"/>
    <s v="Increase"/>
    <n v="4"/>
    <s v="Satisfied"/>
    <n v="3"/>
    <s v="None"/>
    <s v="Good"/>
    <x v="4"/>
  </r>
  <r>
    <s v="EMP0576"/>
    <n v="28"/>
    <s v="Male"/>
    <s v="Project Manager"/>
    <s v="Retail"/>
    <n v="23"/>
    <s v="Hybrid"/>
    <n v="46"/>
    <n v="6"/>
    <n v="2"/>
    <s v="Medium"/>
    <s v="Anxiety"/>
    <s v="Yes"/>
    <s v="Decrease"/>
    <n v="4"/>
    <s v="Satisfied"/>
    <n v="4"/>
    <s v="None"/>
    <s v="Average"/>
    <x v="4"/>
  </r>
  <r>
    <s v="EMP0577"/>
    <n v="44"/>
    <s v="Prefer not to say"/>
    <s v="Designer"/>
    <s v="Retail"/>
    <n v="2"/>
    <s v="Hybrid"/>
    <n v="40"/>
    <n v="0"/>
    <n v="3"/>
    <s v="High"/>
    <s v="None"/>
    <s v="Yes"/>
    <s v="Increase"/>
    <n v="1"/>
    <s v="Unsatisfied"/>
    <n v="5"/>
    <s v="None"/>
    <s v="Good"/>
    <x v="3"/>
  </r>
  <r>
    <s v="EMP0578"/>
    <n v="50"/>
    <s v="Non-binary"/>
    <s v="Sales"/>
    <s v="Finance"/>
    <n v="12"/>
    <s v="Remote"/>
    <n v="25"/>
    <n v="10"/>
    <n v="4"/>
    <s v="High"/>
    <s v="Anxiety"/>
    <s v="No"/>
    <s v="Increase"/>
    <n v="2"/>
    <s v="Satisfied"/>
    <n v="4"/>
    <s v="Weekly"/>
    <s v="Average"/>
    <x v="0"/>
  </r>
  <r>
    <s v="EMP0579"/>
    <n v="43"/>
    <s v="Prefer not to say"/>
    <s v="Project Manager"/>
    <s v="Healthcare"/>
    <n v="35"/>
    <s v="Hybrid"/>
    <n v="29"/>
    <n v="4"/>
    <n v="3"/>
    <s v="Low"/>
    <s v="Anxiety"/>
    <s v="No"/>
    <s v="Increase"/>
    <n v="4"/>
    <s v="Unsatisfied"/>
    <n v="1"/>
    <s v="None"/>
    <s v="Poor"/>
    <x v="0"/>
  </r>
  <r>
    <s v="EMP0580"/>
    <n v="43"/>
    <s v="Male"/>
    <s v="HR"/>
    <s v="IT"/>
    <n v="18"/>
    <s v="Remote"/>
    <n v="22"/>
    <n v="13"/>
    <n v="4"/>
    <s v="Low"/>
    <s v="Anxiety"/>
    <s v="No"/>
    <s v="Decrease"/>
    <n v="4"/>
    <s v="Neutral"/>
    <n v="4"/>
    <s v="Weekly"/>
    <s v="Poor"/>
    <x v="2"/>
  </r>
  <r>
    <s v="EMP0581"/>
    <n v="29"/>
    <s v="Prefer not to say"/>
    <s v="Marketing"/>
    <s v="Manufacturing"/>
    <n v="15"/>
    <s v="Onsite"/>
    <n v="27"/>
    <n v="3"/>
    <n v="5"/>
    <s v="High"/>
    <s v="Anxiety"/>
    <s v="Yes"/>
    <s v="No Change"/>
    <n v="5"/>
    <s v="Satisfied"/>
    <n v="5"/>
    <s v="Daily"/>
    <s v="Average"/>
    <x v="4"/>
  </r>
  <r>
    <s v="EMP0582"/>
    <n v="30"/>
    <s v="Prefer not to say"/>
    <s v="Marketing"/>
    <s v="Manufacturing"/>
    <n v="23"/>
    <s v="Hybrid"/>
    <n v="59"/>
    <n v="2"/>
    <n v="5"/>
    <s v="Medium"/>
    <s v="Burnout"/>
    <s v="Yes"/>
    <s v="Decrease"/>
    <n v="4"/>
    <s v="Unsatisfied"/>
    <n v="3"/>
    <s v="Daily"/>
    <s v="Average"/>
    <x v="0"/>
  </r>
  <r>
    <s v="EMP0583"/>
    <n v="50"/>
    <s v="Prefer not to say"/>
    <s v="HR"/>
    <s v="Finance"/>
    <n v="26"/>
    <s v="Remote"/>
    <n v="57"/>
    <n v="10"/>
    <n v="1"/>
    <s v="Medium"/>
    <s v="Anxiety"/>
    <s v="Yes"/>
    <s v="Decrease"/>
    <n v="2"/>
    <s v="Unsatisfied"/>
    <n v="4"/>
    <s v="Weekly"/>
    <s v="Average"/>
    <x v="4"/>
  </r>
  <r>
    <s v="EMP0584"/>
    <n v="60"/>
    <s v="Male"/>
    <s v="HR"/>
    <s v="Retail"/>
    <n v="2"/>
    <s v="Hybrid"/>
    <n v="34"/>
    <n v="0"/>
    <n v="1"/>
    <s v="Medium"/>
    <s v="Depression"/>
    <s v="No"/>
    <s v="Decrease"/>
    <n v="4"/>
    <s v="Neutral"/>
    <n v="1"/>
    <s v="None"/>
    <s v="Poor"/>
    <x v="3"/>
  </r>
  <r>
    <s v="EMP0585"/>
    <n v="31"/>
    <s v="Prefer not to say"/>
    <s v="Data Scientist"/>
    <s v="Retail"/>
    <n v="6"/>
    <s v="Hybrid"/>
    <n v="20"/>
    <n v="2"/>
    <n v="1"/>
    <s v="Low"/>
    <s v="Depression"/>
    <s v="No"/>
    <s v="No Change"/>
    <n v="5"/>
    <s v="Neutral"/>
    <n v="4"/>
    <s v="None"/>
    <s v="Poor"/>
    <x v="2"/>
  </r>
  <r>
    <s v="EMP0586"/>
    <n v="43"/>
    <s v="Female"/>
    <s v="Sales"/>
    <s v="Education"/>
    <n v="13"/>
    <s v="Onsite"/>
    <n v="20"/>
    <n v="5"/>
    <n v="3"/>
    <s v="Low"/>
    <s v="Burnout"/>
    <s v="No"/>
    <s v="No Change"/>
    <n v="3"/>
    <s v="Neutral"/>
    <n v="1"/>
    <s v="Daily"/>
    <s v="Good"/>
    <x v="0"/>
  </r>
  <r>
    <s v="EMP0587"/>
    <n v="58"/>
    <s v="Female"/>
    <s v="Sales"/>
    <s v="Education"/>
    <n v="18"/>
    <s v="Remote"/>
    <n v="57"/>
    <n v="14"/>
    <n v="5"/>
    <s v="Low"/>
    <s v="None"/>
    <s v="Yes"/>
    <s v="Increase"/>
    <n v="4"/>
    <s v="Unsatisfied"/>
    <n v="2"/>
    <s v="Daily"/>
    <s v="Poor"/>
    <x v="5"/>
  </r>
  <r>
    <s v="EMP0588"/>
    <n v="56"/>
    <s v="Prefer not to say"/>
    <s v="Software Engineer"/>
    <s v="Education"/>
    <n v="27"/>
    <s v="Hybrid"/>
    <n v="53"/>
    <n v="2"/>
    <n v="3"/>
    <s v="Low"/>
    <s v="Anxiety"/>
    <s v="No"/>
    <s v="Increase"/>
    <n v="1"/>
    <s v="Satisfied"/>
    <n v="2"/>
    <s v="Daily"/>
    <s v="Average"/>
    <x v="3"/>
  </r>
  <r>
    <s v="EMP0589"/>
    <n v="40"/>
    <s v="Non-binary"/>
    <s v="Designer"/>
    <s v="Finance"/>
    <n v="21"/>
    <s v="Remote"/>
    <n v="24"/>
    <n v="8"/>
    <n v="5"/>
    <s v="Medium"/>
    <s v="Burnout"/>
    <s v="No"/>
    <s v="Decrease"/>
    <n v="4"/>
    <s v="Satisfied"/>
    <n v="5"/>
    <s v="Weekly"/>
    <s v="Good"/>
    <x v="3"/>
  </r>
  <r>
    <s v="EMP0590"/>
    <n v="57"/>
    <s v="Female"/>
    <s v="Designer"/>
    <s v="Healthcare"/>
    <n v="17"/>
    <s v="Hybrid"/>
    <n v="40"/>
    <n v="15"/>
    <n v="4"/>
    <s v="Low"/>
    <s v="Depression"/>
    <s v="No"/>
    <s v="Decrease"/>
    <n v="1"/>
    <s v="Satisfied"/>
    <n v="2"/>
    <s v="Weekly"/>
    <s v="Average"/>
    <x v="1"/>
  </r>
  <r>
    <s v="EMP0591"/>
    <n v="31"/>
    <s v="Male"/>
    <s v="Project Manager"/>
    <s v="Healthcare"/>
    <n v="6"/>
    <s v="Hybrid"/>
    <n v="49"/>
    <n v="11"/>
    <n v="5"/>
    <s v="Low"/>
    <s v="Depression"/>
    <s v="No"/>
    <s v="Decrease"/>
    <n v="4"/>
    <s v="Unsatisfied"/>
    <n v="4"/>
    <s v="Daily"/>
    <s v="Average"/>
    <x v="2"/>
  </r>
  <r>
    <s v="EMP0592"/>
    <n v="35"/>
    <s v="Female"/>
    <s v="Marketing"/>
    <s v="Retail"/>
    <n v="8"/>
    <s v="Remote"/>
    <n v="44"/>
    <n v="14"/>
    <n v="3"/>
    <s v="Medium"/>
    <s v="None"/>
    <s v="Yes"/>
    <s v="Increase"/>
    <n v="1"/>
    <s v="Neutral"/>
    <n v="5"/>
    <s v="Weekly"/>
    <s v="Average"/>
    <x v="3"/>
  </r>
  <r>
    <s v="EMP0593"/>
    <n v="32"/>
    <s v="Prefer not to say"/>
    <s v="Sales"/>
    <s v="IT"/>
    <n v="10"/>
    <s v="Remote"/>
    <n v="53"/>
    <n v="13"/>
    <n v="2"/>
    <s v="Medium"/>
    <s v="Anxiety"/>
    <s v="Yes"/>
    <s v="No Change"/>
    <n v="3"/>
    <s v="Unsatisfied"/>
    <n v="3"/>
    <s v="Daily"/>
    <s v="Good"/>
    <x v="5"/>
  </r>
  <r>
    <s v="EMP0594"/>
    <n v="31"/>
    <s v="Prefer not to say"/>
    <s v="Project Manager"/>
    <s v="Healthcare"/>
    <n v="30"/>
    <s v="Remote"/>
    <n v="28"/>
    <n v="0"/>
    <n v="5"/>
    <s v="High"/>
    <s v="Anxiety"/>
    <s v="Yes"/>
    <s v="Decrease"/>
    <n v="3"/>
    <s v="Neutral"/>
    <n v="3"/>
    <s v="None"/>
    <s v="Good"/>
    <x v="4"/>
  </r>
  <r>
    <s v="EMP0595"/>
    <n v="53"/>
    <s v="Prefer not to say"/>
    <s v="Sales"/>
    <s v="Manufacturing"/>
    <n v="3"/>
    <s v="Hybrid"/>
    <n v="53"/>
    <n v="7"/>
    <n v="1"/>
    <s v="High"/>
    <s v="Burnout"/>
    <s v="No"/>
    <s v="No Change"/>
    <n v="4"/>
    <s v="Unsatisfied"/>
    <n v="3"/>
    <s v="Daily"/>
    <s v="Poor"/>
    <x v="0"/>
  </r>
  <r>
    <s v="EMP0596"/>
    <n v="42"/>
    <s v="Prefer not to say"/>
    <s v="Designer"/>
    <s v="Consulting"/>
    <n v="22"/>
    <s v="Hybrid"/>
    <n v="54"/>
    <n v="9"/>
    <n v="2"/>
    <s v="Medium"/>
    <s v="Depression"/>
    <s v="Yes"/>
    <s v="No Change"/>
    <n v="1"/>
    <s v="Unsatisfied"/>
    <n v="1"/>
    <s v="None"/>
    <s v="Good"/>
    <x v="4"/>
  </r>
  <r>
    <s v="EMP0597"/>
    <n v="35"/>
    <s v="Male"/>
    <s v="Designer"/>
    <s v="IT"/>
    <n v="35"/>
    <s v="Remote"/>
    <n v="23"/>
    <n v="10"/>
    <n v="5"/>
    <s v="Low"/>
    <s v="Anxiety"/>
    <s v="No"/>
    <s v="Decrease"/>
    <n v="1"/>
    <s v="Unsatisfied"/>
    <n v="5"/>
    <s v="Weekly"/>
    <s v="Good"/>
    <x v="0"/>
  </r>
  <r>
    <s v="EMP0598"/>
    <n v="58"/>
    <s v="Female"/>
    <s v="HR"/>
    <s v="Finance"/>
    <n v="19"/>
    <s v="Remote"/>
    <n v="45"/>
    <n v="12"/>
    <n v="4"/>
    <s v="High"/>
    <s v="Depression"/>
    <s v="No"/>
    <s v="Increase"/>
    <n v="5"/>
    <s v="Unsatisfied"/>
    <n v="4"/>
    <s v="Daily"/>
    <s v="Poor"/>
    <x v="3"/>
  </r>
  <r>
    <s v="EMP0599"/>
    <n v="26"/>
    <s v="Female"/>
    <s v="Marketing"/>
    <s v="Finance"/>
    <n v="12"/>
    <s v="Remote"/>
    <n v="59"/>
    <n v="5"/>
    <n v="5"/>
    <s v="Medium"/>
    <s v="Depression"/>
    <s v="Yes"/>
    <s v="Decrease"/>
    <n v="2"/>
    <s v="Neutral"/>
    <n v="3"/>
    <s v="Daily"/>
    <s v="Good"/>
    <x v="3"/>
  </r>
  <r>
    <s v="EMP0600"/>
    <n v="45"/>
    <s v="Non-binary"/>
    <s v="Software Engineer"/>
    <s v="Retail"/>
    <n v="31"/>
    <s v="Hybrid"/>
    <n v="20"/>
    <n v="1"/>
    <n v="1"/>
    <s v="Low"/>
    <s v="None"/>
    <s v="Yes"/>
    <s v="Decrease"/>
    <n v="4"/>
    <s v="Neutral"/>
    <n v="5"/>
    <s v="Weekly"/>
    <s v="Poor"/>
    <x v="4"/>
  </r>
  <r>
    <s v="EMP0601"/>
    <n v="36"/>
    <s v="Male"/>
    <s v="Designer"/>
    <s v="IT"/>
    <n v="22"/>
    <s v="Hybrid"/>
    <n v="26"/>
    <n v="11"/>
    <n v="1"/>
    <s v="Low"/>
    <s v="None"/>
    <s v="Yes"/>
    <s v="Decrease"/>
    <n v="3"/>
    <s v="Neutral"/>
    <n v="1"/>
    <s v="Daily"/>
    <s v="Good"/>
    <x v="5"/>
  </r>
  <r>
    <s v="EMP0602"/>
    <n v="25"/>
    <s v="Non-binary"/>
    <s v="Marketing"/>
    <s v="Retail"/>
    <n v="34"/>
    <s v="Onsite"/>
    <n v="47"/>
    <n v="6"/>
    <n v="3"/>
    <s v="High"/>
    <s v="None"/>
    <s v="No"/>
    <s v="Decrease"/>
    <n v="4"/>
    <s v="Neutral"/>
    <n v="1"/>
    <s v="None"/>
    <s v="Poor"/>
    <x v="1"/>
  </r>
  <r>
    <s v="EMP0603"/>
    <n v="55"/>
    <s v="Prefer not to say"/>
    <s v="Project Manager"/>
    <s v="Healthcare"/>
    <n v="11"/>
    <s v="Onsite"/>
    <n v="37"/>
    <n v="3"/>
    <n v="1"/>
    <s v="Medium"/>
    <s v="Depression"/>
    <s v="No"/>
    <s v="Decrease"/>
    <n v="1"/>
    <s v="Satisfied"/>
    <n v="1"/>
    <s v="Weekly"/>
    <s v="Poor"/>
    <x v="1"/>
  </r>
  <r>
    <s v="EMP0604"/>
    <n v="47"/>
    <s v="Female"/>
    <s v="Data Scientist"/>
    <s v="Retail"/>
    <n v="1"/>
    <s v="Hybrid"/>
    <n v="25"/>
    <n v="10"/>
    <n v="3"/>
    <s v="High"/>
    <s v="Depression"/>
    <s v="Yes"/>
    <s v="Decrease"/>
    <n v="3"/>
    <s v="Satisfied"/>
    <n v="3"/>
    <s v="Weekly"/>
    <s v="Average"/>
    <x v="1"/>
  </r>
  <r>
    <s v="EMP0605"/>
    <n v="46"/>
    <s v="Female"/>
    <s v="Sales"/>
    <s v="Retail"/>
    <n v="35"/>
    <s v="Hybrid"/>
    <n v="38"/>
    <n v="11"/>
    <n v="4"/>
    <s v="High"/>
    <s v="None"/>
    <s v="No"/>
    <s v="Decrease"/>
    <n v="2"/>
    <s v="Satisfied"/>
    <n v="3"/>
    <s v="Weekly"/>
    <s v="Average"/>
    <x v="1"/>
  </r>
  <r>
    <s v="EMP0606"/>
    <n v="39"/>
    <s v="Prefer not to say"/>
    <s v="Sales"/>
    <s v="Education"/>
    <n v="9"/>
    <s v="Remote"/>
    <n v="23"/>
    <n v="0"/>
    <n v="1"/>
    <s v="High"/>
    <s v="Depression"/>
    <s v="Yes"/>
    <s v="No Change"/>
    <n v="5"/>
    <s v="Unsatisfied"/>
    <n v="4"/>
    <s v="Daily"/>
    <s v="Average"/>
    <x v="5"/>
  </r>
  <r>
    <s v="EMP0607"/>
    <n v="27"/>
    <s v="Male"/>
    <s v="Designer"/>
    <s v="Retail"/>
    <n v="21"/>
    <s v="Hybrid"/>
    <n v="49"/>
    <n v="13"/>
    <n v="5"/>
    <s v="Low"/>
    <s v="Anxiety"/>
    <s v="Yes"/>
    <s v="Decrease"/>
    <n v="3"/>
    <s v="Satisfied"/>
    <n v="4"/>
    <s v="None"/>
    <s v="Average"/>
    <x v="3"/>
  </r>
  <r>
    <s v="EMP0608"/>
    <n v="35"/>
    <s v="Prefer not to say"/>
    <s v="Sales"/>
    <s v="Healthcare"/>
    <n v="13"/>
    <s v="Onsite"/>
    <n v="44"/>
    <n v="6"/>
    <n v="3"/>
    <s v="High"/>
    <s v="Depression"/>
    <s v="No"/>
    <s v="Increase"/>
    <n v="2"/>
    <s v="Neutral"/>
    <n v="2"/>
    <s v="None"/>
    <s v="Average"/>
    <x v="2"/>
  </r>
  <r>
    <s v="EMP0609"/>
    <n v="60"/>
    <s v="Female"/>
    <s v="Marketing"/>
    <s v="Education"/>
    <n v="10"/>
    <s v="Hybrid"/>
    <n v="34"/>
    <n v="13"/>
    <n v="3"/>
    <s v="High"/>
    <s v="None"/>
    <s v="Yes"/>
    <s v="Increase"/>
    <n v="2"/>
    <s v="Unsatisfied"/>
    <n v="1"/>
    <s v="Weekly"/>
    <s v="Good"/>
    <x v="2"/>
  </r>
  <r>
    <s v="EMP0610"/>
    <n v="33"/>
    <s v="Female"/>
    <s v="Software Engineer"/>
    <s v="Finance"/>
    <n v="13"/>
    <s v="Hybrid"/>
    <n v="36"/>
    <n v="2"/>
    <n v="5"/>
    <s v="Medium"/>
    <s v="Burnout"/>
    <s v="Yes"/>
    <s v="No Change"/>
    <n v="2"/>
    <s v="Satisfied"/>
    <n v="5"/>
    <s v="Weekly"/>
    <s v="Good"/>
    <x v="2"/>
  </r>
  <r>
    <s v="EMP0611"/>
    <n v="45"/>
    <s v="Prefer not to say"/>
    <s v="Marketing"/>
    <s v="Healthcare"/>
    <n v="30"/>
    <s v="Hybrid"/>
    <n v="44"/>
    <n v="15"/>
    <n v="4"/>
    <s v="High"/>
    <s v="Burnout"/>
    <s v="Yes"/>
    <s v="Decrease"/>
    <n v="2"/>
    <s v="Unsatisfied"/>
    <n v="3"/>
    <s v="Weekly"/>
    <s v="Poor"/>
    <x v="3"/>
  </r>
  <r>
    <s v="EMP0612"/>
    <n v="26"/>
    <s v="Male"/>
    <s v="HR"/>
    <s v="IT"/>
    <n v="6"/>
    <s v="Hybrid"/>
    <n v="27"/>
    <n v="10"/>
    <n v="3"/>
    <s v="Medium"/>
    <s v="Depression"/>
    <s v="No"/>
    <s v="Decrease"/>
    <n v="4"/>
    <s v="Neutral"/>
    <n v="1"/>
    <s v="Daily"/>
    <s v="Poor"/>
    <x v="1"/>
  </r>
  <r>
    <s v="EMP0613"/>
    <n v="25"/>
    <s v="Male"/>
    <s v="Marketing"/>
    <s v="Consulting"/>
    <n v="35"/>
    <s v="Remote"/>
    <n v="54"/>
    <n v="15"/>
    <n v="4"/>
    <s v="Medium"/>
    <s v="Depression"/>
    <s v="No"/>
    <s v="Decrease"/>
    <n v="3"/>
    <s v="Satisfied"/>
    <n v="3"/>
    <s v="None"/>
    <s v="Average"/>
    <x v="1"/>
  </r>
  <r>
    <s v="EMP0614"/>
    <n v="57"/>
    <s v="Female"/>
    <s v="Sales"/>
    <s v="Finance"/>
    <n v="8"/>
    <s v="Hybrid"/>
    <n v="46"/>
    <n v="9"/>
    <n v="2"/>
    <s v="High"/>
    <s v="Anxiety"/>
    <s v="Yes"/>
    <s v="No Change"/>
    <n v="2"/>
    <s v="Unsatisfied"/>
    <n v="4"/>
    <s v="None"/>
    <s v="Poor"/>
    <x v="4"/>
  </r>
  <r>
    <s v="EMP0615"/>
    <n v="38"/>
    <s v="Prefer not to say"/>
    <s v="Sales"/>
    <s v="Finance"/>
    <n v="20"/>
    <s v="Remote"/>
    <n v="60"/>
    <n v="11"/>
    <n v="4"/>
    <s v="Medium"/>
    <s v="Depression"/>
    <s v="No"/>
    <s v="No Change"/>
    <n v="3"/>
    <s v="Unsatisfied"/>
    <n v="3"/>
    <s v="Daily"/>
    <s v="Good"/>
    <x v="1"/>
  </r>
  <r>
    <s v="EMP0616"/>
    <n v="50"/>
    <s v="Non-binary"/>
    <s v="Sales"/>
    <s v="Retail"/>
    <n v="30"/>
    <s v="Hybrid"/>
    <n v="27"/>
    <n v="15"/>
    <n v="3"/>
    <s v="Medium"/>
    <s v="None"/>
    <s v="No"/>
    <s v="No Change"/>
    <n v="5"/>
    <s v="Unsatisfied"/>
    <n v="4"/>
    <s v="None"/>
    <s v="Poor"/>
    <x v="0"/>
  </r>
  <r>
    <s v="EMP0617"/>
    <n v="38"/>
    <s v="Male"/>
    <s v="Marketing"/>
    <s v="Healthcare"/>
    <n v="34"/>
    <s v="Onsite"/>
    <n v="45"/>
    <n v="7"/>
    <n v="1"/>
    <s v="Medium"/>
    <s v="Burnout"/>
    <s v="No"/>
    <s v="No Change"/>
    <n v="5"/>
    <s v="Satisfied"/>
    <n v="2"/>
    <s v="None"/>
    <s v="Poor"/>
    <x v="1"/>
  </r>
  <r>
    <s v="EMP0618"/>
    <n v="56"/>
    <s v="Male"/>
    <s v="Sales"/>
    <s v="Education"/>
    <n v="10"/>
    <s v="Remote"/>
    <n v="36"/>
    <n v="13"/>
    <n v="4"/>
    <s v="High"/>
    <s v="Burnout"/>
    <s v="No"/>
    <s v="Decrease"/>
    <n v="4"/>
    <s v="Unsatisfied"/>
    <n v="4"/>
    <s v="Weekly"/>
    <s v="Average"/>
    <x v="4"/>
  </r>
  <r>
    <s v="EMP0619"/>
    <n v="54"/>
    <s v="Non-binary"/>
    <s v="Software Engineer"/>
    <s v="Retail"/>
    <n v="26"/>
    <s v="Onsite"/>
    <n v="42"/>
    <n v="14"/>
    <n v="2"/>
    <s v="Low"/>
    <s v="None"/>
    <s v="No"/>
    <s v="Decrease"/>
    <n v="1"/>
    <s v="Satisfied"/>
    <n v="4"/>
    <s v="Daily"/>
    <s v="Average"/>
    <x v="3"/>
  </r>
  <r>
    <s v="EMP0620"/>
    <n v="27"/>
    <s v="Prefer not to say"/>
    <s v="HR"/>
    <s v="Consulting"/>
    <n v="14"/>
    <s v="Onsite"/>
    <n v="27"/>
    <n v="1"/>
    <n v="5"/>
    <s v="High"/>
    <s v="Burnout"/>
    <s v="No"/>
    <s v="Decrease"/>
    <n v="4"/>
    <s v="Unsatisfied"/>
    <n v="4"/>
    <s v="Weekly"/>
    <s v="Poor"/>
    <x v="2"/>
  </r>
  <r>
    <s v="EMP0621"/>
    <n v="29"/>
    <s v="Non-binary"/>
    <s v="Software Engineer"/>
    <s v="Education"/>
    <n v="21"/>
    <s v="Hybrid"/>
    <n v="28"/>
    <n v="5"/>
    <n v="3"/>
    <s v="High"/>
    <s v="None"/>
    <s v="No"/>
    <s v="Decrease"/>
    <n v="3"/>
    <s v="Neutral"/>
    <n v="3"/>
    <s v="None"/>
    <s v="Poor"/>
    <x v="5"/>
  </r>
  <r>
    <s v="EMP0622"/>
    <n v="34"/>
    <s v="Non-binary"/>
    <s v="Project Manager"/>
    <s v="IT"/>
    <n v="30"/>
    <s v="Remote"/>
    <n v="56"/>
    <n v="15"/>
    <n v="5"/>
    <s v="Low"/>
    <s v="Depression"/>
    <s v="Yes"/>
    <s v="Increase"/>
    <n v="1"/>
    <s v="Unsatisfied"/>
    <n v="1"/>
    <s v="Weekly"/>
    <s v="Poor"/>
    <x v="4"/>
  </r>
  <r>
    <s v="EMP0623"/>
    <n v="25"/>
    <s v="Prefer not to say"/>
    <s v="Designer"/>
    <s v="IT"/>
    <n v="11"/>
    <s v="Hybrid"/>
    <n v="22"/>
    <n v="11"/>
    <n v="5"/>
    <s v="Medium"/>
    <s v="Anxiety"/>
    <s v="No"/>
    <s v="No Change"/>
    <n v="5"/>
    <s v="Neutral"/>
    <n v="5"/>
    <s v="None"/>
    <s v="Poor"/>
    <x v="3"/>
  </r>
  <r>
    <s v="EMP0624"/>
    <n v="35"/>
    <s v="Male"/>
    <s v="Designer"/>
    <s v="Manufacturing"/>
    <n v="23"/>
    <s v="Hybrid"/>
    <n v="23"/>
    <n v="5"/>
    <n v="5"/>
    <s v="High"/>
    <s v="Depression"/>
    <s v="Yes"/>
    <s v="No Change"/>
    <n v="4"/>
    <s v="Unsatisfied"/>
    <n v="1"/>
    <s v="None"/>
    <s v="Good"/>
    <x v="3"/>
  </r>
  <r>
    <s v="EMP0625"/>
    <n v="48"/>
    <s v="Female"/>
    <s v="HR"/>
    <s v="Manufacturing"/>
    <n v="1"/>
    <s v="Remote"/>
    <n v="53"/>
    <n v="2"/>
    <n v="4"/>
    <s v="High"/>
    <s v="Anxiety"/>
    <s v="Yes"/>
    <s v="No Change"/>
    <n v="3"/>
    <s v="Satisfied"/>
    <n v="2"/>
    <s v="Weekly"/>
    <s v="Poor"/>
    <x v="0"/>
  </r>
  <r>
    <s v="EMP0626"/>
    <n v="28"/>
    <s v="Female"/>
    <s v="Project Manager"/>
    <s v="Finance"/>
    <n v="20"/>
    <s v="Remote"/>
    <n v="38"/>
    <n v="6"/>
    <n v="1"/>
    <s v="Low"/>
    <s v="Anxiety"/>
    <s v="No"/>
    <s v="Decrease"/>
    <n v="3"/>
    <s v="Unsatisfied"/>
    <n v="1"/>
    <s v="None"/>
    <s v="Poor"/>
    <x v="4"/>
  </r>
  <r>
    <s v="EMP0627"/>
    <n v="23"/>
    <s v="Non-binary"/>
    <s v="Software Engineer"/>
    <s v="Finance"/>
    <n v="1"/>
    <s v="Onsite"/>
    <n v="47"/>
    <n v="8"/>
    <n v="2"/>
    <s v="Medium"/>
    <s v="Depression"/>
    <s v="Yes"/>
    <s v="Decrease"/>
    <n v="3"/>
    <s v="Satisfied"/>
    <n v="3"/>
    <s v="None"/>
    <s v="Good"/>
    <x v="1"/>
  </r>
  <r>
    <s v="EMP0628"/>
    <n v="34"/>
    <s v="Non-binary"/>
    <s v="Marketing"/>
    <s v="Consulting"/>
    <n v="31"/>
    <s v="Remote"/>
    <n v="51"/>
    <n v="14"/>
    <n v="1"/>
    <s v="Low"/>
    <s v="Anxiety"/>
    <s v="Yes"/>
    <s v="Increase"/>
    <n v="1"/>
    <s v="Unsatisfied"/>
    <n v="1"/>
    <s v="Daily"/>
    <s v="Good"/>
    <x v="5"/>
  </r>
  <r>
    <s v="EMP0629"/>
    <n v="53"/>
    <s v="Prefer not to say"/>
    <s v="Data Scientist"/>
    <s v="Retail"/>
    <n v="28"/>
    <s v="Hybrid"/>
    <n v="48"/>
    <n v="6"/>
    <n v="1"/>
    <s v="High"/>
    <s v="Depression"/>
    <s v="Yes"/>
    <s v="No Change"/>
    <n v="1"/>
    <s v="Satisfied"/>
    <n v="3"/>
    <s v="Daily"/>
    <s v="Average"/>
    <x v="4"/>
  </r>
  <r>
    <s v="EMP0630"/>
    <n v="52"/>
    <s v="Prefer not to say"/>
    <s v="Designer"/>
    <s v="Healthcare"/>
    <n v="11"/>
    <s v="Hybrid"/>
    <n v="28"/>
    <n v="13"/>
    <n v="4"/>
    <s v="Low"/>
    <s v="Anxiety"/>
    <s v="Yes"/>
    <s v="Increase"/>
    <n v="5"/>
    <s v="Unsatisfied"/>
    <n v="4"/>
    <s v="None"/>
    <s v="Average"/>
    <x v="2"/>
  </r>
  <r>
    <s v="EMP0631"/>
    <n v="29"/>
    <s v="Male"/>
    <s v="Project Manager"/>
    <s v="Healthcare"/>
    <n v="18"/>
    <s v="Onsite"/>
    <n v="49"/>
    <n v="14"/>
    <n v="5"/>
    <s v="Low"/>
    <s v="Burnout"/>
    <s v="No"/>
    <s v="Decrease"/>
    <n v="2"/>
    <s v="Satisfied"/>
    <n v="4"/>
    <s v="Weekly"/>
    <s v="Poor"/>
    <x v="1"/>
  </r>
  <r>
    <s v="EMP0632"/>
    <n v="53"/>
    <s v="Female"/>
    <s v="Designer"/>
    <s v="Finance"/>
    <n v="13"/>
    <s v="Hybrid"/>
    <n v="56"/>
    <n v="1"/>
    <n v="2"/>
    <s v="Medium"/>
    <s v="Depression"/>
    <s v="Yes"/>
    <s v="Decrease"/>
    <n v="1"/>
    <s v="Unsatisfied"/>
    <n v="4"/>
    <s v="None"/>
    <s v="Average"/>
    <x v="2"/>
  </r>
  <r>
    <s v="EMP0633"/>
    <n v="42"/>
    <s v="Male"/>
    <s v="Sales"/>
    <s v="Finance"/>
    <n v="7"/>
    <s v="Remote"/>
    <n v="38"/>
    <n v="1"/>
    <n v="3"/>
    <s v="High"/>
    <s v="Anxiety"/>
    <s v="Yes"/>
    <s v="Increase"/>
    <n v="4"/>
    <s v="Unsatisfied"/>
    <n v="3"/>
    <s v="None"/>
    <s v="Poor"/>
    <x v="2"/>
  </r>
  <r>
    <s v="EMP0634"/>
    <n v="35"/>
    <s v="Male"/>
    <s v="Marketing"/>
    <s v="Healthcare"/>
    <n v="26"/>
    <s v="Onsite"/>
    <n v="46"/>
    <n v="0"/>
    <n v="3"/>
    <s v="Low"/>
    <s v="None"/>
    <s v="No"/>
    <s v="No Change"/>
    <n v="1"/>
    <s v="Neutral"/>
    <n v="1"/>
    <s v="Weekly"/>
    <s v="Good"/>
    <x v="4"/>
  </r>
  <r>
    <s v="EMP0635"/>
    <n v="42"/>
    <s v="Non-binary"/>
    <s v="Project Manager"/>
    <s v="Healthcare"/>
    <n v="7"/>
    <s v="Hybrid"/>
    <n v="32"/>
    <n v="3"/>
    <n v="1"/>
    <s v="High"/>
    <s v="Depression"/>
    <s v="No"/>
    <s v="Increase"/>
    <n v="4"/>
    <s v="Unsatisfied"/>
    <n v="3"/>
    <s v="Daily"/>
    <s v="Average"/>
    <x v="1"/>
  </r>
  <r>
    <s v="EMP0636"/>
    <n v="45"/>
    <s v="Male"/>
    <s v="Software Engineer"/>
    <s v="Retail"/>
    <n v="16"/>
    <s v="Onsite"/>
    <n v="52"/>
    <n v="1"/>
    <n v="2"/>
    <s v="High"/>
    <s v="Depression"/>
    <s v="No"/>
    <s v="Increase"/>
    <n v="1"/>
    <s v="Neutral"/>
    <n v="2"/>
    <s v="Daily"/>
    <s v="Average"/>
    <x v="5"/>
  </r>
  <r>
    <s v="EMP0637"/>
    <n v="24"/>
    <s v="Male"/>
    <s v="Sales"/>
    <s v="Finance"/>
    <n v="16"/>
    <s v="Hybrid"/>
    <n v="48"/>
    <n v="13"/>
    <n v="1"/>
    <s v="Low"/>
    <s v="Burnout"/>
    <s v="Yes"/>
    <s v="Increase"/>
    <n v="2"/>
    <s v="Unsatisfied"/>
    <n v="3"/>
    <s v="None"/>
    <s v="Good"/>
    <x v="1"/>
  </r>
  <r>
    <s v="EMP0638"/>
    <n v="40"/>
    <s v="Female"/>
    <s v="Software Engineer"/>
    <s v="Manufacturing"/>
    <n v="19"/>
    <s v="Remote"/>
    <n v="38"/>
    <n v="0"/>
    <n v="3"/>
    <s v="High"/>
    <s v="Burnout"/>
    <s v="No"/>
    <s v="Increase"/>
    <n v="5"/>
    <s v="Unsatisfied"/>
    <n v="4"/>
    <s v="Weekly"/>
    <s v="Good"/>
    <x v="0"/>
  </r>
  <r>
    <s v="EMP0639"/>
    <n v="52"/>
    <s v="Non-binary"/>
    <s v="Software Engineer"/>
    <s v="Finance"/>
    <n v="16"/>
    <s v="Hybrid"/>
    <n v="25"/>
    <n v="2"/>
    <n v="3"/>
    <s v="High"/>
    <s v="None"/>
    <s v="Yes"/>
    <s v="Decrease"/>
    <n v="3"/>
    <s v="Satisfied"/>
    <n v="1"/>
    <s v="Daily"/>
    <s v="Good"/>
    <x v="5"/>
  </r>
  <r>
    <s v="EMP0640"/>
    <n v="55"/>
    <s v="Male"/>
    <s v="Sales"/>
    <s v="Manufacturing"/>
    <n v="20"/>
    <s v="Hybrid"/>
    <n v="27"/>
    <n v="10"/>
    <n v="5"/>
    <s v="Low"/>
    <s v="Depression"/>
    <s v="Yes"/>
    <s v="No Change"/>
    <n v="2"/>
    <s v="Satisfied"/>
    <n v="2"/>
    <s v="None"/>
    <s v="Poor"/>
    <x v="2"/>
  </r>
  <r>
    <s v="EMP0641"/>
    <n v="38"/>
    <s v="Non-binary"/>
    <s v="Data Scientist"/>
    <s v="Finance"/>
    <n v="31"/>
    <s v="Hybrid"/>
    <n v="28"/>
    <n v="3"/>
    <n v="2"/>
    <s v="High"/>
    <s v="Anxiety"/>
    <s v="No"/>
    <s v="No Change"/>
    <n v="1"/>
    <s v="Unsatisfied"/>
    <n v="5"/>
    <s v="None"/>
    <s v="Poor"/>
    <x v="2"/>
  </r>
  <r>
    <s v="EMP0642"/>
    <n v="50"/>
    <s v="Male"/>
    <s v="Designer"/>
    <s v="Retail"/>
    <n v="15"/>
    <s v="Onsite"/>
    <n v="36"/>
    <n v="6"/>
    <n v="5"/>
    <s v="Low"/>
    <s v="Burnout"/>
    <s v="Yes"/>
    <s v="Decrease"/>
    <n v="2"/>
    <s v="Satisfied"/>
    <n v="1"/>
    <s v="Daily"/>
    <s v="Poor"/>
    <x v="2"/>
  </r>
  <r>
    <s v="EMP0643"/>
    <n v="36"/>
    <s v="Male"/>
    <s v="Marketing"/>
    <s v="Retail"/>
    <n v="31"/>
    <s v="Onsite"/>
    <n v="53"/>
    <n v="3"/>
    <n v="1"/>
    <s v="Medium"/>
    <s v="Burnout"/>
    <s v="Yes"/>
    <s v="Increase"/>
    <n v="4"/>
    <s v="Neutral"/>
    <n v="4"/>
    <s v="None"/>
    <s v="Poor"/>
    <x v="4"/>
  </r>
  <r>
    <s v="EMP0644"/>
    <n v="36"/>
    <s v="Female"/>
    <s v="Project Manager"/>
    <s v="Education"/>
    <n v="20"/>
    <s v="Onsite"/>
    <n v="54"/>
    <n v="15"/>
    <n v="3"/>
    <s v="Medium"/>
    <s v="Burnout"/>
    <s v="Yes"/>
    <s v="No Change"/>
    <n v="4"/>
    <s v="Satisfied"/>
    <n v="2"/>
    <s v="None"/>
    <s v="Good"/>
    <x v="0"/>
  </r>
  <r>
    <s v="EMP0645"/>
    <n v="34"/>
    <s v="Male"/>
    <s v="Sales"/>
    <s v="IT"/>
    <n v="26"/>
    <s v="Hybrid"/>
    <n v="39"/>
    <n v="3"/>
    <n v="3"/>
    <s v="Medium"/>
    <s v="None"/>
    <s v="Yes"/>
    <s v="Decrease"/>
    <n v="3"/>
    <s v="Satisfied"/>
    <n v="5"/>
    <s v="Weekly"/>
    <s v="Average"/>
    <x v="4"/>
  </r>
  <r>
    <s v="EMP0646"/>
    <n v="55"/>
    <s v="Male"/>
    <s v="Designer"/>
    <s v="Consulting"/>
    <n v="16"/>
    <s v="Onsite"/>
    <n v="47"/>
    <n v="8"/>
    <n v="1"/>
    <s v="Medium"/>
    <s v="None"/>
    <s v="Yes"/>
    <s v="No Change"/>
    <n v="3"/>
    <s v="Unsatisfied"/>
    <n v="5"/>
    <s v="None"/>
    <s v="Average"/>
    <x v="3"/>
  </r>
  <r>
    <s v="EMP0647"/>
    <n v="37"/>
    <s v="Prefer not to say"/>
    <s v="HR"/>
    <s v="Consulting"/>
    <n v="14"/>
    <s v="Hybrid"/>
    <n v="60"/>
    <n v="1"/>
    <n v="3"/>
    <s v="High"/>
    <s v="Burnout"/>
    <s v="Yes"/>
    <s v="No Change"/>
    <n v="4"/>
    <s v="Satisfied"/>
    <n v="4"/>
    <s v="None"/>
    <s v="Good"/>
    <x v="2"/>
  </r>
  <r>
    <s v="EMP0648"/>
    <n v="39"/>
    <s v="Female"/>
    <s v="Designer"/>
    <s v="Finance"/>
    <n v="29"/>
    <s v="Onsite"/>
    <n v="37"/>
    <n v="1"/>
    <n v="3"/>
    <s v="Low"/>
    <s v="Burnout"/>
    <s v="No"/>
    <s v="Decrease"/>
    <n v="3"/>
    <s v="Satisfied"/>
    <n v="4"/>
    <s v="Weekly"/>
    <s v="Good"/>
    <x v="2"/>
  </r>
  <r>
    <s v="EMP0649"/>
    <n v="41"/>
    <s v="Female"/>
    <s v="Marketing"/>
    <s v="IT"/>
    <n v="13"/>
    <s v="Remote"/>
    <n v="33"/>
    <n v="10"/>
    <n v="3"/>
    <s v="Low"/>
    <s v="Depression"/>
    <s v="No"/>
    <s v="Decrease"/>
    <n v="4"/>
    <s v="Satisfied"/>
    <n v="5"/>
    <s v="Weekly"/>
    <s v="Good"/>
    <x v="1"/>
  </r>
  <r>
    <s v="EMP0650"/>
    <n v="58"/>
    <s v="Male"/>
    <s v="Sales"/>
    <s v="Consulting"/>
    <n v="31"/>
    <s v="Onsite"/>
    <n v="27"/>
    <n v="13"/>
    <n v="5"/>
    <s v="Low"/>
    <s v="Anxiety"/>
    <s v="No"/>
    <s v="Increase"/>
    <n v="4"/>
    <s v="Satisfied"/>
    <n v="3"/>
    <s v="Weekly"/>
    <s v="Good"/>
    <x v="1"/>
  </r>
  <r>
    <s v="EMP0651"/>
    <n v="25"/>
    <s v="Female"/>
    <s v="Software Engineer"/>
    <s v="Consulting"/>
    <n v="1"/>
    <s v="Remote"/>
    <n v="39"/>
    <n v="6"/>
    <n v="4"/>
    <s v="Low"/>
    <s v="Anxiety"/>
    <s v="Yes"/>
    <s v="Decrease"/>
    <n v="2"/>
    <s v="Unsatisfied"/>
    <n v="5"/>
    <s v="Daily"/>
    <s v="Average"/>
    <x v="5"/>
  </r>
  <r>
    <s v="EMP0652"/>
    <n v="26"/>
    <s v="Male"/>
    <s v="HR"/>
    <s v="Retail"/>
    <n v="9"/>
    <s v="Onsite"/>
    <n v="45"/>
    <n v="0"/>
    <n v="2"/>
    <s v="Medium"/>
    <s v="Burnout"/>
    <s v="Yes"/>
    <s v="Decrease"/>
    <n v="4"/>
    <s v="Satisfied"/>
    <n v="5"/>
    <s v="Weekly"/>
    <s v="Poor"/>
    <x v="4"/>
  </r>
  <r>
    <s v="EMP0653"/>
    <n v="23"/>
    <s v="Male"/>
    <s v="Project Manager"/>
    <s v="Education"/>
    <n v="21"/>
    <s v="Remote"/>
    <n v="57"/>
    <n v="5"/>
    <n v="1"/>
    <s v="Low"/>
    <s v="Anxiety"/>
    <s v="No"/>
    <s v="No Change"/>
    <n v="4"/>
    <s v="Unsatisfied"/>
    <n v="4"/>
    <s v="Daily"/>
    <s v="Average"/>
    <x v="2"/>
  </r>
  <r>
    <s v="EMP0654"/>
    <n v="45"/>
    <s v="Male"/>
    <s v="Data Scientist"/>
    <s v="IT"/>
    <n v="5"/>
    <s v="Remote"/>
    <n v="27"/>
    <n v="9"/>
    <n v="3"/>
    <s v="High"/>
    <s v="Burnout"/>
    <s v="Yes"/>
    <s v="No Change"/>
    <n v="2"/>
    <s v="Neutral"/>
    <n v="5"/>
    <s v="Daily"/>
    <s v="Good"/>
    <x v="0"/>
  </r>
  <r>
    <s v="EMP0655"/>
    <n v="55"/>
    <s v="Male"/>
    <s v="Software Engineer"/>
    <s v="Retail"/>
    <n v="1"/>
    <s v="Hybrid"/>
    <n v="44"/>
    <n v="5"/>
    <n v="2"/>
    <s v="High"/>
    <s v="Anxiety"/>
    <s v="Yes"/>
    <s v="Increase"/>
    <n v="2"/>
    <s v="Satisfied"/>
    <n v="1"/>
    <s v="Weekly"/>
    <s v="Poor"/>
    <x v="1"/>
  </r>
  <r>
    <s v="EMP0656"/>
    <n v="23"/>
    <s v="Male"/>
    <s v="Designer"/>
    <s v="Education"/>
    <n v="1"/>
    <s v="Remote"/>
    <n v="25"/>
    <n v="3"/>
    <n v="5"/>
    <s v="High"/>
    <s v="None"/>
    <s v="Yes"/>
    <s v="Decrease"/>
    <n v="5"/>
    <s v="Neutral"/>
    <n v="4"/>
    <s v="None"/>
    <s v="Average"/>
    <x v="2"/>
  </r>
  <r>
    <s v="EMP0657"/>
    <n v="27"/>
    <s v="Female"/>
    <s v="Software Engineer"/>
    <s v="Education"/>
    <n v="14"/>
    <s v="Hybrid"/>
    <n v="46"/>
    <n v="5"/>
    <n v="1"/>
    <s v="Medium"/>
    <s v="Burnout"/>
    <s v="No"/>
    <s v="Decrease"/>
    <n v="3"/>
    <s v="Unsatisfied"/>
    <n v="4"/>
    <s v="Daily"/>
    <s v="Good"/>
    <x v="4"/>
  </r>
  <r>
    <s v="EMP0658"/>
    <n v="33"/>
    <s v="Male"/>
    <s v="Marketing"/>
    <s v="Consulting"/>
    <n v="12"/>
    <s v="Remote"/>
    <n v="51"/>
    <n v="12"/>
    <n v="1"/>
    <s v="Low"/>
    <s v="Burnout"/>
    <s v="Yes"/>
    <s v="Increase"/>
    <n v="5"/>
    <s v="Neutral"/>
    <n v="2"/>
    <s v="None"/>
    <s v="Poor"/>
    <x v="4"/>
  </r>
  <r>
    <s v="EMP0659"/>
    <n v="54"/>
    <s v="Non-binary"/>
    <s v="HR"/>
    <s v="Retail"/>
    <n v="32"/>
    <s v="Remote"/>
    <n v="55"/>
    <n v="5"/>
    <n v="5"/>
    <s v="Low"/>
    <s v="None"/>
    <s v="Yes"/>
    <s v="No Change"/>
    <n v="4"/>
    <s v="Satisfied"/>
    <n v="4"/>
    <s v="Weekly"/>
    <s v="Good"/>
    <x v="0"/>
  </r>
  <r>
    <s v="EMP0660"/>
    <n v="47"/>
    <s v="Non-binary"/>
    <s v="Software Engineer"/>
    <s v="Retail"/>
    <n v="9"/>
    <s v="Onsite"/>
    <n v="54"/>
    <n v="14"/>
    <n v="4"/>
    <s v="High"/>
    <s v="Burnout"/>
    <s v="Yes"/>
    <s v="Decrease"/>
    <n v="5"/>
    <s v="Neutral"/>
    <n v="3"/>
    <s v="Daily"/>
    <s v="Good"/>
    <x v="0"/>
  </r>
  <r>
    <s v="EMP0661"/>
    <n v="48"/>
    <s v="Prefer not to say"/>
    <s v="Software Engineer"/>
    <s v="IT"/>
    <n v="3"/>
    <s v="Onsite"/>
    <n v="34"/>
    <n v="11"/>
    <n v="3"/>
    <s v="High"/>
    <s v="Burnout"/>
    <s v="Yes"/>
    <s v="Increase"/>
    <n v="4"/>
    <s v="Satisfied"/>
    <n v="3"/>
    <s v="None"/>
    <s v="Poor"/>
    <x v="5"/>
  </r>
  <r>
    <s v="EMP0662"/>
    <n v="35"/>
    <s v="Female"/>
    <s v="Designer"/>
    <s v="Retail"/>
    <n v="2"/>
    <s v="Hybrid"/>
    <n v="32"/>
    <n v="9"/>
    <n v="1"/>
    <s v="Low"/>
    <s v="None"/>
    <s v="Yes"/>
    <s v="Decrease"/>
    <n v="2"/>
    <s v="Satisfied"/>
    <n v="1"/>
    <s v="None"/>
    <s v="Average"/>
    <x v="1"/>
  </r>
  <r>
    <s v="EMP0663"/>
    <n v="43"/>
    <s v="Male"/>
    <s v="Software Engineer"/>
    <s v="Retail"/>
    <n v="32"/>
    <s v="Remote"/>
    <n v="23"/>
    <n v="10"/>
    <n v="5"/>
    <s v="Low"/>
    <s v="Burnout"/>
    <s v="No"/>
    <s v="Increase"/>
    <n v="4"/>
    <s v="Satisfied"/>
    <n v="5"/>
    <s v="Daily"/>
    <s v="Good"/>
    <x v="3"/>
  </r>
  <r>
    <s v="EMP0664"/>
    <n v="43"/>
    <s v="Female"/>
    <s v="Sales"/>
    <s v="Retail"/>
    <n v="23"/>
    <s v="Remote"/>
    <n v="22"/>
    <n v="8"/>
    <n v="1"/>
    <s v="High"/>
    <s v="Burnout"/>
    <s v="No"/>
    <s v="No Change"/>
    <n v="1"/>
    <s v="Unsatisfied"/>
    <n v="5"/>
    <s v="Daily"/>
    <s v="Good"/>
    <x v="5"/>
  </r>
  <r>
    <s v="EMP0665"/>
    <n v="46"/>
    <s v="Prefer not to say"/>
    <s v="Marketing"/>
    <s v="Consulting"/>
    <n v="25"/>
    <s v="Onsite"/>
    <n v="36"/>
    <n v="2"/>
    <n v="1"/>
    <s v="High"/>
    <s v="Anxiety"/>
    <s v="Yes"/>
    <s v="Decrease"/>
    <n v="2"/>
    <s v="Unsatisfied"/>
    <n v="3"/>
    <s v="Daily"/>
    <s v="Poor"/>
    <x v="3"/>
  </r>
  <r>
    <s v="EMP0666"/>
    <n v="38"/>
    <s v="Non-binary"/>
    <s v="Project Manager"/>
    <s v="Retail"/>
    <n v="29"/>
    <s v="Onsite"/>
    <n v="50"/>
    <n v="3"/>
    <n v="5"/>
    <s v="Low"/>
    <s v="Depression"/>
    <s v="No"/>
    <s v="No Change"/>
    <n v="4"/>
    <s v="Neutral"/>
    <n v="1"/>
    <s v="Weekly"/>
    <s v="Poor"/>
    <x v="4"/>
  </r>
  <r>
    <s v="EMP0667"/>
    <n v="22"/>
    <s v="Female"/>
    <s v="HR"/>
    <s v="Retail"/>
    <n v="11"/>
    <s v="Hybrid"/>
    <n v="36"/>
    <n v="13"/>
    <n v="5"/>
    <s v="High"/>
    <s v="Anxiety"/>
    <s v="Yes"/>
    <s v="Increase"/>
    <n v="4"/>
    <s v="Neutral"/>
    <n v="2"/>
    <s v="Weekly"/>
    <s v="Good"/>
    <x v="1"/>
  </r>
  <r>
    <s v="EMP0668"/>
    <n v="41"/>
    <s v="Non-binary"/>
    <s v="Data Scientist"/>
    <s v="Finance"/>
    <n v="33"/>
    <s v="Remote"/>
    <n v="39"/>
    <n v="13"/>
    <n v="4"/>
    <s v="Medium"/>
    <s v="Burnout"/>
    <s v="No"/>
    <s v="No Change"/>
    <n v="5"/>
    <s v="Neutral"/>
    <n v="3"/>
    <s v="Weekly"/>
    <s v="Good"/>
    <x v="2"/>
  </r>
  <r>
    <s v="EMP0669"/>
    <n v="50"/>
    <s v="Male"/>
    <s v="Sales"/>
    <s v="Education"/>
    <n v="31"/>
    <s v="Hybrid"/>
    <n v="32"/>
    <n v="15"/>
    <n v="5"/>
    <s v="Medium"/>
    <s v="None"/>
    <s v="Yes"/>
    <s v="No Change"/>
    <n v="4"/>
    <s v="Unsatisfied"/>
    <n v="4"/>
    <s v="Weekly"/>
    <s v="Good"/>
    <x v="4"/>
  </r>
  <r>
    <s v="EMP0670"/>
    <n v="50"/>
    <s v="Prefer not to say"/>
    <s v="Marketing"/>
    <s v="Manufacturing"/>
    <n v="12"/>
    <s v="Hybrid"/>
    <n v="53"/>
    <n v="10"/>
    <n v="2"/>
    <s v="Low"/>
    <s v="None"/>
    <s v="No"/>
    <s v="No Change"/>
    <n v="2"/>
    <s v="Neutral"/>
    <n v="2"/>
    <s v="Daily"/>
    <s v="Good"/>
    <x v="5"/>
  </r>
  <r>
    <s v="EMP0671"/>
    <n v="42"/>
    <s v="Prefer not to say"/>
    <s v="Software Engineer"/>
    <s v="Education"/>
    <n v="5"/>
    <s v="Remote"/>
    <n v="57"/>
    <n v="12"/>
    <n v="5"/>
    <s v="Medium"/>
    <s v="Depression"/>
    <s v="Yes"/>
    <s v="Decrease"/>
    <n v="1"/>
    <s v="Unsatisfied"/>
    <n v="4"/>
    <s v="Weekly"/>
    <s v="Good"/>
    <x v="0"/>
  </r>
  <r>
    <s v="EMP0672"/>
    <n v="22"/>
    <s v="Non-binary"/>
    <s v="Designer"/>
    <s v="Retail"/>
    <n v="27"/>
    <s v="Remote"/>
    <n v="25"/>
    <n v="12"/>
    <n v="4"/>
    <s v="High"/>
    <s v="Burnout"/>
    <s v="Yes"/>
    <s v="Increase"/>
    <n v="4"/>
    <s v="Satisfied"/>
    <n v="2"/>
    <s v="Weekly"/>
    <s v="Poor"/>
    <x v="0"/>
  </r>
  <r>
    <s v="EMP0673"/>
    <n v="60"/>
    <s v="Female"/>
    <s v="Sales"/>
    <s v="IT"/>
    <n v="6"/>
    <s v="Onsite"/>
    <n v="25"/>
    <n v="6"/>
    <n v="3"/>
    <s v="Medium"/>
    <s v="Depression"/>
    <s v="Yes"/>
    <s v="Increase"/>
    <n v="2"/>
    <s v="Unsatisfied"/>
    <n v="1"/>
    <s v="None"/>
    <s v="Poor"/>
    <x v="1"/>
  </r>
  <r>
    <s v="EMP0674"/>
    <n v="58"/>
    <s v="Prefer not to say"/>
    <s v="Sales"/>
    <s v="Manufacturing"/>
    <n v="2"/>
    <s v="Remote"/>
    <n v="25"/>
    <n v="7"/>
    <n v="2"/>
    <s v="Low"/>
    <s v="None"/>
    <s v="No"/>
    <s v="Decrease"/>
    <n v="4"/>
    <s v="Neutral"/>
    <n v="2"/>
    <s v="Weekly"/>
    <s v="Poor"/>
    <x v="1"/>
  </r>
  <r>
    <s v="EMP0675"/>
    <n v="32"/>
    <s v="Non-binary"/>
    <s v="HR"/>
    <s v="IT"/>
    <n v="33"/>
    <s v="Remote"/>
    <n v="52"/>
    <n v="3"/>
    <n v="4"/>
    <s v="High"/>
    <s v="Depression"/>
    <s v="No"/>
    <s v="Increase"/>
    <n v="3"/>
    <s v="Satisfied"/>
    <n v="2"/>
    <s v="Daily"/>
    <s v="Poor"/>
    <x v="0"/>
  </r>
  <r>
    <s v="EMP0676"/>
    <n v="32"/>
    <s v="Male"/>
    <s v="Sales"/>
    <s v="Manufacturing"/>
    <n v="6"/>
    <s v="Hybrid"/>
    <n v="44"/>
    <n v="15"/>
    <n v="2"/>
    <s v="Medium"/>
    <s v="Anxiety"/>
    <s v="Yes"/>
    <s v="No Change"/>
    <n v="4"/>
    <s v="Unsatisfied"/>
    <n v="2"/>
    <s v="Daily"/>
    <s v="Average"/>
    <x v="4"/>
  </r>
  <r>
    <s v="EMP0677"/>
    <n v="44"/>
    <s v="Female"/>
    <s v="Sales"/>
    <s v="Healthcare"/>
    <n v="20"/>
    <s v="Remote"/>
    <n v="27"/>
    <n v="7"/>
    <n v="1"/>
    <s v="High"/>
    <s v="Depression"/>
    <s v="No"/>
    <s v="Decrease"/>
    <n v="5"/>
    <s v="Neutral"/>
    <n v="5"/>
    <s v="Daily"/>
    <s v="Average"/>
    <x v="2"/>
  </r>
  <r>
    <s v="EMP0678"/>
    <n v="42"/>
    <s v="Prefer not to say"/>
    <s v="Software Engineer"/>
    <s v="Retail"/>
    <n v="30"/>
    <s v="Remote"/>
    <n v="37"/>
    <n v="15"/>
    <n v="2"/>
    <s v="Medium"/>
    <s v="Depression"/>
    <s v="Yes"/>
    <s v="Increase"/>
    <n v="2"/>
    <s v="Neutral"/>
    <n v="3"/>
    <s v="Weekly"/>
    <s v="Poor"/>
    <x v="5"/>
  </r>
  <r>
    <s v="EMP0679"/>
    <n v="25"/>
    <s v="Prefer not to say"/>
    <s v="HR"/>
    <s v="IT"/>
    <n v="33"/>
    <s v="Onsite"/>
    <n v="39"/>
    <n v="15"/>
    <n v="3"/>
    <s v="Medium"/>
    <s v="None"/>
    <s v="Yes"/>
    <s v="Increase"/>
    <n v="2"/>
    <s v="Satisfied"/>
    <n v="3"/>
    <s v="None"/>
    <s v="Average"/>
    <x v="3"/>
  </r>
  <r>
    <s v="EMP0680"/>
    <n v="43"/>
    <s v="Male"/>
    <s v="Data Scientist"/>
    <s v="Consulting"/>
    <n v="32"/>
    <s v="Hybrid"/>
    <n v="40"/>
    <n v="7"/>
    <n v="4"/>
    <s v="Medium"/>
    <s v="Depression"/>
    <s v="No"/>
    <s v="No Change"/>
    <n v="5"/>
    <s v="Unsatisfied"/>
    <n v="1"/>
    <s v="Weekly"/>
    <s v="Average"/>
    <x v="0"/>
  </r>
  <r>
    <s v="EMP0681"/>
    <n v="39"/>
    <s v="Male"/>
    <s v="Project Manager"/>
    <s v="Finance"/>
    <n v="1"/>
    <s v="Hybrid"/>
    <n v="60"/>
    <n v="5"/>
    <n v="5"/>
    <s v="High"/>
    <s v="Depression"/>
    <s v="No"/>
    <s v="No Change"/>
    <n v="4"/>
    <s v="Satisfied"/>
    <n v="3"/>
    <s v="Daily"/>
    <s v="Poor"/>
    <x v="4"/>
  </r>
  <r>
    <s v="EMP0682"/>
    <n v="53"/>
    <s v="Prefer not to say"/>
    <s v="Data Scientist"/>
    <s v="IT"/>
    <n v="10"/>
    <s v="Onsite"/>
    <n v="53"/>
    <n v="15"/>
    <n v="4"/>
    <s v="Medium"/>
    <s v="Burnout"/>
    <s v="Yes"/>
    <s v="Increase"/>
    <n v="3"/>
    <s v="Neutral"/>
    <n v="4"/>
    <s v="Daily"/>
    <s v="Average"/>
    <x v="4"/>
  </r>
  <r>
    <s v="EMP0683"/>
    <n v="30"/>
    <s v="Prefer not to say"/>
    <s v="Sales"/>
    <s v="Consulting"/>
    <n v="1"/>
    <s v="Onsite"/>
    <n v="35"/>
    <n v="8"/>
    <n v="5"/>
    <s v="Medium"/>
    <s v="Depression"/>
    <s v="Yes"/>
    <s v="No Change"/>
    <n v="1"/>
    <s v="Satisfied"/>
    <n v="4"/>
    <s v="None"/>
    <s v="Poor"/>
    <x v="2"/>
  </r>
  <r>
    <s v="EMP0684"/>
    <n v="40"/>
    <s v="Non-binary"/>
    <s v="Sales"/>
    <s v="Manufacturing"/>
    <n v="21"/>
    <s v="Onsite"/>
    <n v="44"/>
    <n v="0"/>
    <n v="4"/>
    <s v="Medium"/>
    <s v="Depression"/>
    <s v="No"/>
    <s v="No Change"/>
    <n v="4"/>
    <s v="Neutral"/>
    <n v="2"/>
    <s v="None"/>
    <s v="Average"/>
    <x v="5"/>
  </r>
  <r>
    <s v="EMP0685"/>
    <n v="53"/>
    <s v="Prefer not to say"/>
    <s v="Data Scientist"/>
    <s v="IT"/>
    <n v="28"/>
    <s v="Remote"/>
    <n v="60"/>
    <n v="5"/>
    <n v="1"/>
    <s v="Medium"/>
    <s v="None"/>
    <s v="No"/>
    <s v="Decrease"/>
    <n v="2"/>
    <s v="Satisfied"/>
    <n v="2"/>
    <s v="None"/>
    <s v="Good"/>
    <x v="5"/>
  </r>
  <r>
    <s v="EMP0686"/>
    <n v="59"/>
    <s v="Male"/>
    <s v="Sales"/>
    <s v="Finance"/>
    <n v="4"/>
    <s v="Onsite"/>
    <n v="27"/>
    <n v="14"/>
    <n v="2"/>
    <s v="High"/>
    <s v="Depression"/>
    <s v="Yes"/>
    <s v="No Change"/>
    <n v="2"/>
    <s v="Unsatisfied"/>
    <n v="4"/>
    <s v="None"/>
    <s v="Average"/>
    <x v="5"/>
  </r>
  <r>
    <s v="EMP0687"/>
    <n v="39"/>
    <s v="Prefer not to say"/>
    <s v="Data Scientist"/>
    <s v="Healthcare"/>
    <n v="20"/>
    <s v="Remote"/>
    <n v="39"/>
    <n v="1"/>
    <n v="4"/>
    <s v="Low"/>
    <s v="None"/>
    <s v="No"/>
    <s v="Increase"/>
    <n v="5"/>
    <s v="Unsatisfied"/>
    <n v="2"/>
    <s v="Weekly"/>
    <s v="Good"/>
    <x v="1"/>
  </r>
  <r>
    <s v="EMP0688"/>
    <n v="57"/>
    <s v="Non-binary"/>
    <s v="Data Scientist"/>
    <s v="IT"/>
    <n v="31"/>
    <s v="Remote"/>
    <n v="31"/>
    <n v="1"/>
    <n v="3"/>
    <s v="Low"/>
    <s v="Anxiety"/>
    <s v="No"/>
    <s v="Increase"/>
    <n v="1"/>
    <s v="Satisfied"/>
    <n v="1"/>
    <s v="Daily"/>
    <s v="Average"/>
    <x v="5"/>
  </r>
  <r>
    <s v="EMP0689"/>
    <n v="57"/>
    <s v="Male"/>
    <s v="Marketing"/>
    <s v="Education"/>
    <n v="11"/>
    <s v="Hybrid"/>
    <n v="25"/>
    <n v="0"/>
    <n v="4"/>
    <s v="High"/>
    <s v="Depression"/>
    <s v="Yes"/>
    <s v="Increase"/>
    <n v="3"/>
    <s v="Neutral"/>
    <n v="2"/>
    <s v="Daily"/>
    <s v="Average"/>
    <x v="3"/>
  </r>
  <r>
    <s v="EMP0690"/>
    <n v="45"/>
    <s v="Prefer not to say"/>
    <s v="Software Engineer"/>
    <s v="Education"/>
    <n v="5"/>
    <s v="Hybrid"/>
    <n v="21"/>
    <n v="10"/>
    <n v="1"/>
    <s v="Medium"/>
    <s v="Burnout"/>
    <s v="Yes"/>
    <s v="Decrease"/>
    <n v="4"/>
    <s v="Satisfied"/>
    <n v="4"/>
    <s v="Weekly"/>
    <s v="Good"/>
    <x v="1"/>
  </r>
  <r>
    <s v="EMP0691"/>
    <n v="31"/>
    <s v="Prefer not to say"/>
    <s v="Marketing"/>
    <s v="Finance"/>
    <n v="16"/>
    <s v="Onsite"/>
    <n v="49"/>
    <n v="7"/>
    <n v="3"/>
    <s v="Medium"/>
    <s v="Anxiety"/>
    <s v="Yes"/>
    <s v="No Change"/>
    <n v="4"/>
    <s v="Satisfied"/>
    <n v="3"/>
    <s v="None"/>
    <s v="Good"/>
    <x v="3"/>
  </r>
  <r>
    <s v="EMP0692"/>
    <n v="44"/>
    <s v="Female"/>
    <s v="Designer"/>
    <s v="Retail"/>
    <n v="6"/>
    <s v="Remote"/>
    <n v="54"/>
    <n v="10"/>
    <n v="3"/>
    <s v="Low"/>
    <s v="Depression"/>
    <s v="No"/>
    <s v="Increase"/>
    <n v="4"/>
    <s v="Neutral"/>
    <n v="5"/>
    <s v="Daily"/>
    <s v="Poor"/>
    <x v="4"/>
  </r>
  <r>
    <s v="EMP0693"/>
    <n v="47"/>
    <s v="Non-binary"/>
    <s v="HR"/>
    <s v="Finance"/>
    <n v="23"/>
    <s v="Hybrid"/>
    <n v="56"/>
    <n v="6"/>
    <n v="5"/>
    <s v="Medium"/>
    <s v="Burnout"/>
    <s v="No"/>
    <s v="No Change"/>
    <n v="5"/>
    <s v="Unsatisfied"/>
    <n v="3"/>
    <s v="Daily"/>
    <s v="Average"/>
    <x v="4"/>
  </r>
  <r>
    <s v="EMP0694"/>
    <n v="54"/>
    <s v="Non-binary"/>
    <s v="HR"/>
    <s v="Retail"/>
    <n v="16"/>
    <s v="Hybrid"/>
    <n v="57"/>
    <n v="6"/>
    <n v="5"/>
    <s v="Low"/>
    <s v="None"/>
    <s v="Yes"/>
    <s v="Decrease"/>
    <n v="1"/>
    <s v="Unsatisfied"/>
    <n v="1"/>
    <s v="Daily"/>
    <s v="Average"/>
    <x v="0"/>
  </r>
  <r>
    <s v="EMP0695"/>
    <n v="48"/>
    <s v="Male"/>
    <s v="Software Engineer"/>
    <s v="Healthcare"/>
    <n v="18"/>
    <s v="Remote"/>
    <n v="43"/>
    <n v="1"/>
    <n v="3"/>
    <s v="Low"/>
    <s v="None"/>
    <s v="Yes"/>
    <s v="Increase"/>
    <n v="1"/>
    <s v="Unsatisfied"/>
    <n v="1"/>
    <s v="Weekly"/>
    <s v="Poor"/>
    <x v="4"/>
  </r>
  <r>
    <s v="EMP0696"/>
    <n v="58"/>
    <s v="Male"/>
    <s v="Marketing"/>
    <s v="Retail"/>
    <n v="3"/>
    <s v="Onsite"/>
    <n v="59"/>
    <n v="9"/>
    <n v="5"/>
    <s v="Medium"/>
    <s v="None"/>
    <s v="No"/>
    <s v="Increase"/>
    <n v="4"/>
    <s v="Neutral"/>
    <n v="3"/>
    <s v="None"/>
    <s v="Poor"/>
    <x v="2"/>
  </r>
  <r>
    <s v="EMP0697"/>
    <n v="29"/>
    <s v="Male"/>
    <s v="HR"/>
    <s v="IT"/>
    <n v="29"/>
    <s v="Onsite"/>
    <n v="44"/>
    <n v="4"/>
    <n v="1"/>
    <s v="Medium"/>
    <s v="Depression"/>
    <s v="No"/>
    <s v="Decrease"/>
    <n v="3"/>
    <s v="Satisfied"/>
    <n v="1"/>
    <s v="Weekly"/>
    <s v="Poor"/>
    <x v="0"/>
  </r>
  <r>
    <s v="EMP0698"/>
    <n v="43"/>
    <s v="Female"/>
    <s v="Project Manager"/>
    <s v="Manufacturing"/>
    <n v="21"/>
    <s v="Hybrid"/>
    <n v="24"/>
    <n v="13"/>
    <n v="1"/>
    <s v="High"/>
    <s v="Burnout"/>
    <s v="No"/>
    <s v="Decrease"/>
    <n v="4"/>
    <s v="Neutral"/>
    <n v="2"/>
    <s v="Weekly"/>
    <s v="Poor"/>
    <x v="5"/>
  </r>
  <r>
    <s v="EMP0699"/>
    <n v="53"/>
    <s v="Male"/>
    <s v="Designer"/>
    <s v="Retail"/>
    <n v="17"/>
    <s v="Onsite"/>
    <n v="60"/>
    <n v="12"/>
    <n v="3"/>
    <s v="Medium"/>
    <s v="Depression"/>
    <s v="No"/>
    <s v="No Change"/>
    <n v="4"/>
    <s v="Unsatisfied"/>
    <n v="5"/>
    <s v="Daily"/>
    <s v="Good"/>
    <x v="5"/>
  </r>
  <r>
    <s v="EMP0700"/>
    <n v="43"/>
    <s v="Prefer not to say"/>
    <s v="Data Scientist"/>
    <s v="Finance"/>
    <n v="12"/>
    <s v="Hybrid"/>
    <n v="28"/>
    <n v="6"/>
    <n v="3"/>
    <s v="High"/>
    <s v="Burnout"/>
    <s v="No"/>
    <s v="Increase"/>
    <n v="3"/>
    <s v="Satisfied"/>
    <n v="5"/>
    <s v="Weekly"/>
    <s v="Good"/>
    <x v="4"/>
  </r>
  <r>
    <s v="EMP0701"/>
    <n v="47"/>
    <s v="Non-binary"/>
    <s v="Designer"/>
    <s v="Consulting"/>
    <n v="18"/>
    <s v="Onsite"/>
    <n v="42"/>
    <n v="15"/>
    <n v="3"/>
    <s v="Medium"/>
    <s v="None"/>
    <s v="No"/>
    <s v="Increase"/>
    <n v="1"/>
    <s v="Satisfied"/>
    <n v="3"/>
    <s v="Daily"/>
    <s v="Poor"/>
    <x v="3"/>
  </r>
  <r>
    <s v="EMP0702"/>
    <n v="26"/>
    <s v="Non-binary"/>
    <s v="Designer"/>
    <s v="Finance"/>
    <n v="25"/>
    <s v="Remote"/>
    <n v="26"/>
    <n v="9"/>
    <n v="2"/>
    <s v="High"/>
    <s v="None"/>
    <s v="No"/>
    <s v="No Change"/>
    <n v="5"/>
    <s v="Neutral"/>
    <n v="3"/>
    <s v="None"/>
    <s v="Average"/>
    <x v="2"/>
  </r>
  <r>
    <s v="EMP0703"/>
    <n v="57"/>
    <s v="Non-binary"/>
    <s v="HR"/>
    <s v="Healthcare"/>
    <n v="23"/>
    <s v="Onsite"/>
    <n v="28"/>
    <n v="12"/>
    <n v="1"/>
    <s v="Medium"/>
    <s v="None"/>
    <s v="Yes"/>
    <s v="Increase"/>
    <n v="5"/>
    <s v="Unsatisfied"/>
    <n v="1"/>
    <s v="Weekly"/>
    <s v="Poor"/>
    <x v="2"/>
  </r>
  <r>
    <s v="EMP0704"/>
    <n v="36"/>
    <s v="Male"/>
    <s v="Project Manager"/>
    <s v="Manufacturing"/>
    <n v="1"/>
    <s v="Onsite"/>
    <n v="45"/>
    <n v="4"/>
    <n v="1"/>
    <s v="Medium"/>
    <s v="Depression"/>
    <s v="Yes"/>
    <s v="Increase"/>
    <n v="5"/>
    <s v="Neutral"/>
    <n v="4"/>
    <s v="None"/>
    <s v="Average"/>
    <x v="3"/>
  </r>
  <r>
    <s v="EMP0705"/>
    <n v="26"/>
    <s v="Male"/>
    <s v="Marketing"/>
    <s v="IT"/>
    <n v="5"/>
    <s v="Remote"/>
    <n v="37"/>
    <n v="2"/>
    <n v="2"/>
    <s v="Low"/>
    <s v="None"/>
    <s v="No"/>
    <s v="Decrease"/>
    <n v="1"/>
    <s v="Satisfied"/>
    <n v="3"/>
    <s v="None"/>
    <s v="Good"/>
    <x v="4"/>
  </r>
  <r>
    <s v="EMP0706"/>
    <n v="47"/>
    <s v="Female"/>
    <s v="Designer"/>
    <s v="Retail"/>
    <n v="4"/>
    <s v="Remote"/>
    <n v="31"/>
    <n v="12"/>
    <n v="3"/>
    <s v="Low"/>
    <s v="Depression"/>
    <s v="Yes"/>
    <s v="Increase"/>
    <n v="1"/>
    <s v="Satisfied"/>
    <n v="2"/>
    <s v="None"/>
    <s v="Average"/>
    <x v="5"/>
  </r>
  <r>
    <s v="EMP0707"/>
    <n v="59"/>
    <s v="Female"/>
    <s v="Software Engineer"/>
    <s v="Consulting"/>
    <n v="7"/>
    <s v="Remote"/>
    <n v="22"/>
    <n v="10"/>
    <n v="2"/>
    <s v="Medium"/>
    <s v="None"/>
    <s v="No"/>
    <s v="Decrease"/>
    <n v="2"/>
    <s v="Neutral"/>
    <n v="4"/>
    <s v="None"/>
    <s v="Average"/>
    <x v="5"/>
  </r>
  <r>
    <s v="EMP0708"/>
    <n v="59"/>
    <s v="Male"/>
    <s v="Project Manager"/>
    <s v="Consulting"/>
    <n v="35"/>
    <s v="Remote"/>
    <n v="48"/>
    <n v="0"/>
    <n v="4"/>
    <s v="Medium"/>
    <s v="None"/>
    <s v="Yes"/>
    <s v="Decrease"/>
    <n v="3"/>
    <s v="Unsatisfied"/>
    <n v="1"/>
    <s v="Weekly"/>
    <s v="Average"/>
    <x v="1"/>
  </r>
  <r>
    <s v="EMP0709"/>
    <n v="40"/>
    <s v="Prefer not to say"/>
    <s v="Designer"/>
    <s v="Education"/>
    <n v="7"/>
    <s v="Onsite"/>
    <n v="55"/>
    <n v="9"/>
    <n v="3"/>
    <s v="Low"/>
    <s v="None"/>
    <s v="No"/>
    <s v="Decrease"/>
    <n v="5"/>
    <s v="Neutral"/>
    <n v="4"/>
    <s v="None"/>
    <s v="Average"/>
    <x v="2"/>
  </r>
  <r>
    <s v="EMP0710"/>
    <n v="31"/>
    <s v="Female"/>
    <s v="Project Manager"/>
    <s v="IT"/>
    <n v="3"/>
    <s v="Onsite"/>
    <n v="60"/>
    <n v="15"/>
    <n v="4"/>
    <s v="High"/>
    <s v="Burnout"/>
    <s v="Yes"/>
    <s v="Decrease"/>
    <n v="1"/>
    <s v="Satisfied"/>
    <n v="1"/>
    <s v="None"/>
    <s v="Good"/>
    <x v="1"/>
  </r>
  <r>
    <s v="EMP0711"/>
    <n v="37"/>
    <s v="Prefer not to say"/>
    <s v="HR"/>
    <s v="Education"/>
    <n v="14"/>
    <s v="Onsite"/>
    <n v="40"/>
    <n v="12"/>
    <n v="3"/>
    <s v="High"/>
    <s v="None"/>
    <s v="No"/>
    <s v="No Change"/>
    <n v="2"/>
    <s v="Satisfied"/>
    <n v="5"/>
    <s v="None"/>
    <s v="Average"/>
    <x v="4"/>
  </r>
  <r>
    <s v="EMP0712"/>
    <n v="54"/>
    <s v="Prefer not to say"/>
    <s v="Software Engineer"/>
    <s v="Retail"/>
    <n v="8"/>
    <s v="Hybrid"/>
    <n v="30"/>
    <n v="9"/>
    <n v="4"/>
    <s v="Low"/>
    <s v="Burnout"/>
    <s v="Yes"/>
    <s v="Increase"/>
    <n v="1"/>
    <s v="Neutral"/>
    <n v="4"/>
    <s v="Daily"/>
    <s v="Poor"/>
    <x v="0"/>
  </r>
  <r>
    <s v="EMP0713"/>
    <n v="43"/>
    <s v="Male"/>
    <s v="Designer"/>
    <s v="Finance"/>
    <n v="2"/>
    <s v="Hybrid"/>
    <n v="54"/>
    <n v="9"/>
    <n v="3"/>
    <s v="High"/>
    <s v="Burnout"/>
    <s v="No"/>
    <s v="No Change"/>
    <n v="5"/>
    <s v="Neutral"/>
    <n v="3"/>
    <s v="Weekly"/>
    <s v="Poor"/>
    <x v="1"/>
  </r>
  <r>
    <s v="EMP0714"/>
    <n v="24"/>
    <s v="Female"/>
    <s v="Sales"/>
    <s v="IT"/>
    <n v="7"/>
    <s v="Remote"/>
    <n v="44"/>
    <n v="7"/>
    <n v="1"/>
    <s v="High"/>
    <s v="Burnout"/>
    <s v="No"/>
    <s v="No Change"/>
    <n v="2"/>
    <s v="Neutral"/>
    <n v="5"/>
    <s v="Daily"/>
    <s v="Poor"/>
    <x v="1"/>
  </r>
  <r>
    <s v="EMP0715"/>
    <n v="29"/>
    <s v="Male"/>
    <s v="Software Engineer"/>
    <s v="Manufacturing"/>
    <n v="19"/>
    <s v="Remote"/>
    <n v="43"/>
    <n v="5"/>
    <n v="5"/>
    <s v="Medium"/>
    <s v="Burnout"/>
    <s v="Yes"/>
    <s v="No Change"/>
    <n v="1"/>
    <s v="Satisfied"/>
    <n v="5"/>
    <s v="None"/>
    <s v="Average"/>
    <x v="2"/>
  </r>
  <r>
    <s v="EMP0716"/>
    <n v="41"/>
    <s v="Prefer not to say"/>
    <s v="Designer"/>
    <s v="Consulting"/>
    <n v="11"/>
    <s v="Onsite"/>
    <n v="35"/>
    <n v="7"/>
    <n v="4"/>
    <s v="High"/>
    <s v="Anxiety"/>
    <s v="Yes"/>
    <s v="No Change"/>
    <n v="2"/>
    <s v="Unsatisfied"/>
    <n v="5"/>
    <s v="Daily"/>
    <s v="Good"/>
    <x v="2"/>
  </r>
  <r>
    <s v="EMP0717"/>
    <n v="51"/>
    <s v="Male"/>
    <s v="Software Engineer"/>
    <s v="Finance"/>
    <n v="7"/>
    <s v="Remote"/>
    <n v="27"/>
    <n v="0"/>
    <n v="1"/>
    <s v="High"/>
    <s v="Burnout"/>
    <s v="No"/>
    <s v="Increase"/>
    <n v="2"/>
    <s v="Unsatisfied"/>
    <n v="3"/>
    <s v="None"/>
    <s v="Average"/>
    <x v="1"/>
  </r>
  <r>
    <s v="EMP0718"/>
    <n v="38"/>
    <s v="Non-binary"/>
    <s v="Software Engineer"/>
    <s v="Healthcare"/>
    <n v="23"/>
    <s v="Onsite"/>
    <n v="57"/>
    <n v="14"/>
    <n v="3"/>
    <s v="Medium"/>
    <s v="Depression"/>
    <s v="No"/>
    <s v="Decrease"/>
    <n v="2"/>
    <s v="Neutral"/>
    <n v="1"/>
    <s v="Weekly"/>
    <s v="Average"/>
    <x v="3"/>
  </r>
  <r>
    <s v="EMP0719"/>
    <n v="56"/>
    <s v="Male"/>
    <s v="Data Scientist"/>
    <s v="Healthcare"/>
    <n v="4"/>
    <s v="Onsite"/>
    <n v="35"/>
    <n v="9"/>
    <n v="2"/>
    <s v="High"/>
    <s v="Depression"/>
    <s v="Yes"/>
    <s v="Decrease"/>
    <n v="3"/>
    <s v="Satisfied"/>
    <n v="3"/>
    <s v="None"/>
    <s v="Poor"/>
    <x v="5"/>
  </r>
  <r>
    <s v="EMP0720"/>
    <n v="41"/>
    <s v="Non-binary"/>
    <s v="Designer"/>
    <s v="Consulting"/>
    <n v="30"/>
    <s v="Remote"/>
    <n v="26"/>
    <n v="6"/>
    <n v="5"/>
    <s v="Low"/>
    <s v="Burnout"/>
    <s v="Yes"/>
    <s v="Decrease"/>
    <n v="1"/>
    <s v="Satisfied"/>
    <n v="1"/>
    <s v="None"/>
    <s v="Average"/>
    <x v="1"/>
  </r>
  <r>
    <s v="EMP0721"/>
    <n v="28"/>
    <s v="Male"/>
    <s v="Designer"/>
    <s v="Healthcare"/>
    <n v="15"/>
    <s v="Hybrid"/>
    <n v="38"/>
    <n v="8"/>
    <n v="2"/>
    <s v="Medium"/>
    <s v="Burnout"/>
    <s v="Yes"/>
    <s v="No Change"/>
    <n v="3"/>
    <s v="Unsatisfied"/>
    <n v="4"/>
    <s v="Weekly"/>
    <s v="Good"/>
    <x v="0"/>
  </r>
  <r>
    <s v="EMP0722"/>
    <n v="49"/>
    <s v="Prefer not to say"/>
    <s v="HR"/>
    <s v="Consulting"/>
    <n v="1"/>
    <s v="Hybrid"/>
    <n v="54"/>
    <n v="14"/>
    <n v="5"/>
    <s v="Low"/>
    <s v="Depression"/>
    <s v="No"/>
    <s v="No Change"/>
    <n v="5"/>
    <s v="Neutral"/>
    <n v="1"/>
    <s v="None"/>
    <s v="Average"/>
    <x v="0"/>
  </r>
  <r>
    <s v="EMP0723"/>
    <n v="49"/>
    <s v="Male"/>
    <s v="Marketing"/>
    <s v="Manufacturing"/>
    <n v="27"/>
    <s v="Hybrid"/>
    <n v="37"/>
    <n v="13"/>
    <n v="4"/>
    <s v="Medium"/>
    <s v="Depression"/>
    <s v="Yes"/>
    <s v="No Change"/>
    <n v="5"/>
    <s v="Neutral"/>
    <n v="5"/>
    <s v="None"/>
    <s v="Good"/>
    <x v="0"/>
  </r>
  <r>
    <s v="EMP0724"/>
    <n v="55"/>
    <s v="Non-binary"/>
    <s v="Software Engineer"/>
    <s v="Finance"/>
    <n v="16"/>
    <s v="Onsite"/>
    <n v="35"/>
    <n v="10"/>
    <n v="2"/>
    <s v="Low"/>
    <s v="Depression"/>
    <s v="Yes"/>
    <s v="Increase"/>
    <n v="1"/>
    <s v="Unsatisfied"/>
    <n v="4"/>
    <s v="Daily"/>
    <s v="Good"/>
    <x v="0"/>
  </r>
  <r>
    <s v="EMP0725"/>
    <n v="60"/>
    <s v="Prefer not to say"/>
    <s v="Software Engineer"/>
    <s v="IT"/>
    <n v="12"/>
    <s v="Hybrid"/>
    <n v="51"/>
    <n v="2"/>
    <n v="2"/>
    <s v="High"/>
    <s v="Depression"/>
    <s v="Yes"/>
    <s v="Decrease"/>
    <n v="5"/>
    <s v="Satisfied"/>
    <n v="5"/>
    <s v="None"/>
    <s v="Good"/>
    <x v="3"/>
  </r>
  <r>
    <s v="EMP0726"/>
    <n v="45"/>
    <s v="Female"/>
    <s v="Sales"/>
    <s v="Healthcare"/>
    <n v="12"/>
    <s v="Remote"/>
    <n v="56"/>
    <n v="12"/>
    <n v="4"/>
    <s v="Medium"/>
    <s v="Burnout"/>
    <s v="No"/>
    <s v="No Change"/>
    <n v="3"/>
    <s v="Unsatisfied"/>
    <n v="3"/>
    <s v="Weekly"/>
    <s v="Poor"/>
    <x v="4"/>
  </r>
  <r>
    <s v="EMP0727"/>
    <n v="41"/>
    <s v="Male"/>
    <s v="Sales"/>
    <s v="Healthcare"/>
    <n v="10"/>
    <s v="Remote"/>
    <n v="59"/>
    <n v="4"/>
    <n v="1"/>
    <s v="Medium"/>
    <s v="Burnout"/>
    <s v="No"/>
    <s v="Increase"/>
    <n v="5"/>
    <s v="Unsatisfied"/>
    <n v="3"/>
    <s v="Weekly"/>
    <s v="Average"/>
    <x v="0"/>
  </r>
  <r>
    <s v="EMP0728"/>
    <n v="52"/>
    <s v="Female"/>
    <s v="Data Scientist"/>
    <s v="Manufacturing"/>
    <n v="1"/>
    <s v="Onsite"/>
    <n v="28"/>
    <n v="12"/>
    <n v="3"/>
    <s v="Low"/>
    <s v="None"/>
    <s v="No"/>
    <s v="Increase"/>
    <n v="5"/>
    <s v="Unsatisfied"/>
    <n v="1"/>
    <s v="Daily"/>
    <s v="Good"/>
    <x v="1"/>
  </r>
  <r>
    <s v="EMP0729"/>
    <n v="60"/>
    <s v="Prefer not to say"/>
    <s v="Designer"/>
    <s v="Finance"/>
    <n v="32"/>
    <s v="Remote"/>
    <n v="51"/>
    <n v="14"/>
    <n v="2"/>
    <s v="Medium"/>
    <s v="None"/>
    <s v="Yes"/>
    <s v="Increase"/>
    <n v="1"/>
    <s v="Neutral"/>
    <n v="5"/>
    <s v="Daily"/>
    <s v="Average"/>
    <x v="1"/>
  </r>
  <r>
    <s v="EMP0730"/>
    <n v="53"/>
    <s v="Non-binary"/>
    <s v="Project Manager"/>
    <s v="Consulting"/>
    <n v="19"/>
    <s v="Onsite"/>
    <n v="45"/>
    <n v="6"/>
    <n v="1"/>
    <s v="Medium"/>
    <s v="None"/>
    <s v="Yes"/>
    <s v="Decrease"/>
    <n v="3"/>
    <s v="Satisfied"/>
    <n v="2"/>
    <s v="Weekly"/>
    <s v="Average"/>
    <x v="0"/>
  </r>
  <r>
    <s v="EMP0731"/>
    <n v="42"/>
    <s v="Prefer not to say"/>
    <s v="Designer"/>
    <s v="Education"/>
    <n v="13"/>
    <s v="Hybrid"/>
    <n v="23"/>
    <n v="3"/>
    <n v="4"/>
    <s v="High"/>
    <s v="Burnout"/>
    <s v="Yes"/>
    <s v="No Change"/>
    <n v="1"/>
    <s v="Unsatisfied"/>
    <n v="2"/>
    <s v="Daily"/>
    <s v="Good"/>
    <x v="1"/>
  </r>
  <r>
    <s v="EMP0732"/>
    <n v="43"/>
    <s v="Prefer not to say"/>
    <s v="Data Scientist"/>
    <s v="Education"/>
    <n v="14"/>
    <s v="Hybrid"/>
    <n v="34"/>
    <n v="9"/>
    <n v="2"/>
    <s v="High"/>
    <s v="Anxiety"/>
    <s v="Yes"/>
    <s v="No Change"/>
    <n v="2"/>
    <s v="Neutral"/>
    <n v="4"/>
    <s v="Weekly"/>
    <s v="Average"/>
    <x v="4"/>
  </r>
  <r>
    <s v="EMP0733"/>
    <n v="43"/>
    <s v="Male"/>
    <s v="Designer"/>
    <s v="IT"/>
    <n v="11"/>
    <s v="Remote"/>
    <n v="34"/>
    <n v="9"/>
    <n v="3"/>
    <s v="Medium"/>
    <s v="Depression"/>
    <s v="Yes"/>
    <s v="Decrease"/>
    <n v="2"/>
    <s v="Unsatisfied"/>
    <n v="3"/>
    <s v="None"/>
    <s v="Good"/>
    <x v="0"/>
  </r>
  <r>
    <s v="EMP0734"/>
    <n v="40"/>
    <s v="Female"/>
    <s v="Software Engineer"/>
    <s v="Retail"/>
    <n v="3"/>
    <s v="Onsite"/>
    <n v="31"/>
    <n v="6"/>
    <n v="5"/>
    <s v="High"/>
    <s v="None"/>
    <s v="Yes"/>
    <s v="Decrease"/>
    <n v="3"/>
    <s v="Satisfied"/>
    <n v="4"/>
    <s v="None"/>
    <s v="Poor"/>
    <x v="1"/>
  </r>
  <r>
    <s v="EMP0735"/>
    <n v="49"/>
    <s v="Male"/>
    <s v="Designer"/>
    <s v="Retail"/>
    <n v="30"/>
    <s v="Hybrid"/>
    <n v="35"/>
    <n v="3"/>
    <n v="3"/>
    <s v="Medium"/>
    <s v="Depression"/>
    <s v="No"/>
    <s v="Decrease"/>
    <n v="1"/>
    <s v="Satisfied"/>
    <n v="1"/>
    <s v="Weekly"/>
    <s v="Average"/>
    <x v="1"/>
  </r>
  <r>
    <s v="EMP0736"/>
    <n v="24"/>
    <s v="Male"/>
    <s v="Marketing"/>
    <s v="Manufacturing"/>
    <n v="5"/>
    <s v="Remote"/>
    <n v="32"/>
    <n v="5"/>
    <n v="5"/>
    <s v="Low"/>
    <s v="Depression"/>
    <s v="Yes"/>
    <s v="Decrease"/>
    <n v="2"/>
    <s v="Satisfied"/>
    <n v="2"/>
    <s v="Weekly"/>
    <s v="Average"/>
    <x v="4"/>
  </r>
  <r>
    <s v="EMP0737"/>
    <n v="30"/>
    <s v="Prefer not to say"/>
    <s v="Software Engineer"/>
    <s v="Finance"/>
    <n v="12"/>
    <s v="Hybrid"/>
    <n v="45"/>
    <n v="4"/>
    <n v="4"/>
    <s v="Medium"/>
    <s v="Anxiety"/>
    <s v="No"/>
    <s v="No Change"/>
    <n v="5"/>
    <s v="Satisfied"/>
    <n v="4"/>
    <s v="Daily"/>
    <s v="Good"/>
    <x v="3"/>
  </r>
  <r>
    <s v="EMP0738"/>
    <n v="55"/>
    <s v="Prefer not to say"/>
    <s v="HR"/>
    <s v="Education"/>
    <n v="27"/>
    <s v="Remote"/>
    <n v="45"/>
    <n v="10"/>
    <n v="4"/>
    <s v="High"/>
    <s v="None"/>
    <s v="No"/>
    <s v="Increase"/>
    <n v="1"/>
    <s v="Unsatisfied"/>
    <n v="5"/>
    <s v="Daily"/>
    <s v="Poor"/>
    <x v="5"/>
  </r>
  <r>
    <s v="EMP0739"/>
    <n v="28"/>
    <s v="Prefer not to say"/>
    <s v="Project Manager"/>
    <s v="Retail"/>
    <n v="21"/>
    <s v="Hybrid"/>
    <n v="37"/>
    <n v="7"/>
    <n v="5"/>
    <s v="Low"/>
    <s v="None"/>
    <s v="Yes"/>
    <s v="Decrease"/>
    <n v="2"/>
    <s v="Satisfied"/>
    <n v="2"/>
    <s v="Weekly"/>
    <s v="Poor"/>
    <x v="5"/>
  </r>
  <r>
    <s v="EMP0740"/>
    <n v="42"/>
    <s v="Prefer not to say"/>
    <s v="Sales"/>
    <s v="Manufacturing"/>
    <n v="17"/>
    <s v="Remote"/>
    <n v="41"/>
    <n v="12"/>
    <n v="3"/>
    <s v="Medium"/>
    <s v="Burnout"/>
    <s v="No"/>
    <s v="Decrease"/>
    <n v="2"/>
    <s v="Satisfied"/>
    <n v="3"/>
    <s v="None"/>
    <s v="Average"/>
    <x v="1"/>
  </r>
  <r>
    <s v="EMP0741"/>
    <n v="60"/>
    <s v="Non-binary"/>
    <s v="Designer"/>
    <s v="Finance"/>
    <n v="35"/>
    <s v="Hybrid"/>
    <n v="59"/>
    <n v="11"/>
    <n v="1"/>
    <s v="Medium"/>
    <s v="Depression"/>
    <s v="No"/>
    <s v="Increase"/>
    <n v="2"/>
    <s v="Satisfied"/>
    <n v="3"/>
    <s v="Daily"/>
    <s v="Average"/>
    <x v="3"/>
  </r>
  <r>
    <s v="EMP0742"/>
    <n v="42"/>
    <s v="Female"/>
    <s v="Marketing"/>
    <s v="Manufacturing"/>
    <n v="10"/>
    <s v="Remote"/>
    <n v="32"/>
    <n v="2"/>
    <n v="3"/>
    <s v="High"/>
    <s v="None"/>
    <s v="No"/>
    <s v="Decrease"/>
    <n v="4"/>
    <s v="Satisfied"/>
    <n v="2"/>
    <s v="None"/>
    <s v="Good"/>
    <x v="5"/>
  </r>
  <r>
    <s v="EMP0743"/>
    <n v="55"/>
    <s v="Male"/>
    <s v="Marketing"/>
    <s v="Consulting"/>
    <n v="14"/>
    <s v="Hybrid"/>
    <n v="40"/>
    <n v="4"/>
    <n v="5"/>
    <s v="Medium"/>
    <s v="Depression"/>
    <s v="Yes"/>
    <s v="Decrease"/>
    <n v="1"/>
    <s v="Unsatisfied"/>
    <n v="4"/>
    <s v="None"/>
    <s v="Average"/>
    <x v="1"/>
  </r>
  <r>
    <s v="EMP0744"/>
    <n v="53"/>
    <s v="Non-binary"/>
    <s v="Software Engineer"/>
    <s v="Healthcare"/>
    <n v="19"/>
    <s v="Onsite"/>
    <n v="39"/>
    <n v="14"/>
    <n v="2"/>
    <s v="High"/>
    <s v="Burnout"/>
    <s v="Yes"/>
    <s v="No Change"/>
    <n v="4"/>
    <s v="Satisfied"/>
    <n v="2"/>
    <s v="None"/>
    <s v="Poor"/>
    <x v="2"/>
  </r>
  <r>
    <s v="EMP0745"/>
    <n v="46"/>
    <s v="Male"/>
    <s v="HR"/>
    <s v="Healthcare"/>
    <n v="30"/>
    <s v="Onsite"/>
    <n v="60"/>
    <n v="12"/>
    <n v="1"/>
    <s v="Medium"/>
    <s v="Depression"/>
    <s v="No"/>
    <s v="Increase"/>
    <n v="5"/>
    <s v="Satisfied"/>
    <n v="2"/>
    <s v="Weekly"/>
    <s v="Poor"/>
    <x v="2"/>
  </r>
  <r>
    <s v="EMP0746"/>
    <n v="26"/>
    <s v="Non-binary"/>
    <s v="Designer"/>
    <s v="Healthcare"/>
    <n v="18"/>
    <s v="Remote"/>
    <n v="28"/>
    <n v="0"/>
    <n v="4"/>
    <s v="Medium"/>
    <s v="Burnout"/>
    <s v="No"/>
    <s v="Increase"/>
    <n v="1"/>
    <s v="Satisfied"/>
    <n v="2"/>
    <s v="Weekly"/>
    <s v="Good"/>
    <x v="3"/>
  </r>
  <r>
    <s v="EMP0747"/>
    <n v="53"/>
    <s v="Male"/>
    <s v="HR"/>
    <s v="IT"/>
    <n v="1"/>
    <s v="Hybrid"/>
    <n v="32"/>
    <n v="9"/>
    <n v="1"/>
    <s v="Medium"/>
    <s v="None"/>
    <s v="No"/>
    <s v="Decrease"/>
    <n v="2"/>
    <s v="Unsatisfied"/>
    <n v="5"/>
    <s v="Daily"/>
    <s v="Average"/>
    <x v="0"/>
  </r>
  <r>
    <s v="EMP0748"/>
    <n v="29"/>
    <s v="Male"/>
    <s v="HR"/>
    <s v="Finance"/>
    <n v="30"/>
    <s v="Onsite"/>
    <n v="56"/>
    <n v="11"/>
    <n v="2"/>
    <s v="High"/>
    <s v="Depression"/>
    <s v="Yes"/>
    <s v="No Change"/>
    <n v="5"/>
    <s v="Satisfied"/>
    <n v="4"/>
    <s v="Weekly"/>
    <s v="Good"/>
    <x v="1"/>
  </r>
  <r>
    <s v="EMP0749"/>
    <n v="43"/>
    <s v="Female"/>
    <s v="Project Manager"/>
    <s v="Finance"/>
    <n v="23"/>
    <s v="Remote"/>
    <n v="23"/>
    <n v="0"/>
    <n v="1"/>
    <s v="High"/>
    <s v="Depression"/>
    <s v="Yes"/>
    <s v="Decrease"/>
    <n v="5"/>
    <s v="Satisfied"/>
    <n v="1"/>
    <s v="Daily"/>
    <s v="Poor"/>
    <x v="2"/>
  </r>
  <r>
    <s v="EMP0750"/>
    <n v="22"/>
    <s v="Male"/>
    <s v="Sales"/>
    <s v="IT"/>
    <n v="18"/>
    <s v="Onsite"/>
    <n v="51"/>
    <n v="1"/>
    <n v="4"/>
    <s v="Low"/>
    <s v="Burnout"/>
    <s v="No"/>
    <s v="Decrease"/>
    <n v="5"/>
    <s v="Unsatisfied"/>
    <n v="5"/>
    <s v="None"/>
    <s v="Poor"/>
    <x v="3"/>
  </r>
  <r>
    <s v="EMP0751"/>
    <n v="51"/>
    <s v="Non-binary"/>
    <s v="Data Scientist"/>
    <s v="IT"/>
    <n v="22"/>
    <s v="Remote"/>
    <n v="32"/>
    <n v="11"/>
    <n v="3"/>
    <s v="Medium"/>
    <s v="Anxiety"/>
    <s v="Yes"/>
    <s v="Increase"/>
    <n v="4"/>
    <s v="Neutral"/>
    <n v="5"/>
    <s v="Daily"/>
    <s v="Good"/>
    <x v="3"/>
  </r>
  <r>
    <s v="EMP0752"/>
    <n v="33"/>
    <s v="Prefer not to say"/>
    <s v="Designer"/>
    <s v="Healthcare"/>
    <n v="23"/>
    <s v="Remote"/>
    <n v="35"/>
    <n v="12"/>
    <n v="5"/>
    <s v="Medium"/>
    <s v="None"/>
    <s v="No"/>
    <s v="Increase"/>
    <n v="4"/>
    <s v="Unsatisfied"/>
    <n v="2"/>
    <s v="None"/>
    <s v="Poor"/>
    <x v="1"/>
  </r>
  <r>
    <s v="EMP0753"/>
    <n v="43"/>
    <s v="Female"/>
    <s v="Data Scientist"/>
    <s v="Healthcare"/>
    <n v="26"/>
    <s v="Remote"/>
    <n v="54"/>
    <n v="7"/>
    <n v="5"/>
    <s v="Medium"/>
    <s v="Burnout"/>
    <s v="No"/>
    <s v="No Change"/>
    <n v="3"/>
    <s v="Satisfied"/>
    <n v="1"/>
    <s v="Daily"/>
    <s v="Average"/>
    <x v="3"/>
  </r>
  <r>
    <s v="EMP0754"/>
    <n v="56"/>
    <s v="Female"/>
    <s v="Data Scientist"/>
    <s v="Education"/>
    <n v="33"/>
    <s v="Remote"/>
    <n v="44"/>
    <n v="4"/>
    <n v="2"/>
    <s v="High"/>
    <s v="None"/>
    <s v="No"/>
    <s v="Decrease"/>
    <n v="3"/>
    <s v="Satisfied"/>
    <n v="4"/>
    <s v="None"/>
    <s v="Average"/>
    <x v="4"/>
  </r>
  <r>
    <s v="EMP0755"/>
    <n v="59"/>
    <s v="Prefer not to say"/>
    <s v="Designer"/>
    <s v="Consulting"/>
    <n v="17"/>
    <s v="Remote"/>
    <n v="36"/>
    <n v="2"/>
    <n v="1"/>
    <s v="Low"/>
    <s v="Anxiety"/>
    <s v="Yes"/>
    <s v="Decrease"/>
    <n v="3"/>
    <s v="Unsatisfied"/>
    <n v="4"/>
    <s v="Daily"/>
    <s v="Average"/>
    <x v="2"/>
  </r>
  <r>
    <s v="EMP0756"/>
    <n v="47"/>
    <s v="Male"/>
    <s v="Marketing"/>
    <s v="Manufacturing"/>
    <n v="11"/>
    <s v="Remote"/>
    <n v="24"/>
    <n v="5"/>
    <n v="1"/>
    <s v="Medium"/>
    <s v="Burnout"/>
    <s v="Yes"/>
    <s v="Increase"/>
    <n v="3"/>
    <s v="Satisfied"/>
    <n v="3"/>
    <s v="Weekly"/>
    <s v="Poor"/>
    <x v="3"/>
  </r>
  <r>
    <s v="EMP0757"/>
    <n v="49"/>
    <s v="Male"/>
    <s v="Software Engineer"/>
    <s v="Retail"/>
    <n v="19"/>
    <s v="Onsite"/>
    <n v="24"/>
    <n v="9"/>
    <n v="2"/>
    <s v="Low"/>
    <s v="Depression"/>
    <s v="No"/>
    <s v="No Change"/>
    <n v="2"/>
    <s v="Unsatisfied"/>
    <n v="5"/>
    <s v="Daily"/>
    <s v="Poor"/>
    <x v="3"/>
  </r>
  <r>
    <s v="EMP0758"/>
    <n v="35"/>
    <s v="Non-binary"/>
    <s v="Designer"/>
    <s v="Manufacturing"/>
    <n v="26"/>
    <s v="Remote"/>
    <n v="32"/>
    <n v="5"/>
    <n v="3"/>
    <s v="Low"/>
    <s v="Burnout"/>
    <s v="No"/>
    <s v="Increase"/>
    <n v="1"/>
    <s v="Neutral"/>
    <n v="4"/>
    <s v="None"/>
    <s v="Good"/>
    <x v="3"/>
  </r>
  <r>
    <s v="EMP0759"/>
    <n v="58"/>
    <s v="Non-binary"/>
    <s v="Software Engineer"/>
    <s v="Education"/>
    <n v="15"/>
    <s v="Hybrid"/>
    <n v="21"/>
    <n v="3"/>
    <n v="5"/>
    <s v="Medium"/>
    <s v="None"/>
    <s v="No"/>
    <s v="Increase"/>
    <n v="3"/>
    <s v="Neutral"/>
    <n v="1"/>
    <s v="None"/>
    <s v="Good"/>
    <x v="3"/>
  </r>
  <r>
    <s v="EMP0760"/>
    <n v="36"/>
    <s v="Male"/>
    <s v="HR"/>
    <s v="Healthcare"/>
    <n v="12"/>
    <s v="Hybrid"/>
    <n v="20"/>
    <n v="4"/>
    <n v="5"/>
    <s v="Medium"/>
    <s v="Depression"/>
    <s v="Yes"/>
    <s v="Increase"/>
    <n v="2"/>
    <s v="Neutral"/>
    <n v="1"/>
    <s v="Weekly"/>
    <s v="Good"/>
    <x v="5"/>
  </r>
  <r>
    <s v="EMP0761"/>
    <n v="22"/>
    <s v="Female"/>
    <s v="Data Scientist"/>
    <s v="IT"/>
    <n v="13"/>
    <s v="Onsite"/>
    <n v="59"/>
    <n v="14"/>
    <n v="2"/>
    <s v="High"/>
    <s v="None"/>
    <s v="Yes"/>
    <s v="No Change"/>
    <n v="1"/>
    <s v="Neutral"/>
    <n v="1"/>
    <s v="Weekly"/>
    <s v="Poor"/>
    <x v="0"/>
  </r>
  <r>
    <s v="EMP0762"/>
    <n v="33"/>
    <s v="Male"/>
    <s v="Project Manager"/>
    <s v="IT"/>
    <n v="26"/>
    <s v="Hybrid"/>
    <n v="44"/>
    <n v="4"/>
    <n v="1"/>
    <s v="High"/>
    <s v="Depression"/>
    <s v="Yes"/>
    <s v="Decrease"/>
    <n v="2"/>
    <s v="Unsatisfied"/>
    <n v="1"/>
    <s v="None"/>
    <s v="Good"/>
    <x v="5"/>
  </r>
  <r>
    <s v="EMP0763"/>
    <n v="56"/>
    <s v="Male"/>
    <s v="Marketing"/>
    <s v="Retail"/>
    <n v="6"/>
    <s v="Remote"/>
    <n v="57"/>
    <n v="0"/>
    <n v="3"/>
    <s v="Low"/>
    <s v="None"/>
    <s v="Yes"/>
    <s v="Decrease"/>
    <n v="4"/>
    <s v="Neutral"/>
    <n v="5"/>
    <s v="Weekly"/>
    <s v="Average"/>
    <x v="3"/>
  </r>
  <r>
    <s v="EMP0764"/>
    <n v="29"/>
    <s v="Non-binary"/>
    <s v="Software Engineer"/>
    <s v="Finance"/>
    <n v="31"/>
    <s v="Onsite"/>
    <n v="56"/>
    <n v="7"/>
    <n v="1"/>
    <s v="Medium"/>
    <s v="Depression"/>
    <s v="Yes"/>
    <s v="Decrease"/>
    <n v="3"/>
    <s v="Neutral"/>
    <n v="4"/>
    <s v="Weekly"/>
    <s v="Poor"/>
    <x v="2"/>
  </r>
  <r>
    <s v="EMP0765"/>
    <n v="39"/>
    <s v="Male"/>
    <s v="Software Engineer"/>
    <s v="Education"/>
    <n v="5"/>
    <s v="Hybrid"/>
    <n v="51"/>
    <n v="0"/>
    <n v="1"/>
    <s v="Medium"/>
    <s v="Anxiety"/>
    <s v="Yes"/>
    <s v="Decrease"/>
    <n v="3"/>
    <s v="Neutral"/>
    <n v="3"/>
    <s v="None"/>
    <s v="Poor"/>
    <x v="2"/>
  </r>
  <r>
    <s v="EMP0766"/>
    <n v="33"/>
    <s v="Male"/>
    <s v="Designer"/>
    <s v="Retail"/>
    <n v="24"/>
    <s v="Hybrid"/>
    <n v="23"/>
    <n v="15"/>
    <n v="2"/>
    <s v="High"/>
    <s v="Anxiety"/>
    <s v="Yes"/>
    <s v="Increase"/>
    <n v="4"/>
    <s v="Neutral"/>
    <n v="1"/>
    <s v="None"/>
    <s v="Average"/>
    <x v="0"/>
  </r>
  <r>
    <s v="EMP0767"/>
    <n v="41"/>
    <s v="Non-binary"/>
    <s v="Marketing"/>
    <s v="Retail"/>
    <n v="20"/>
    <s v="Onsite"/>
    <n v="34"/>
    <n v="8"/>
    <n v="5"/>
    <s v="Low"/>
    <s v="Anxiety"/>
    <s v="No"/>
    <s v="Increase"/>
    <n v="2"/>
    <s v="Satisfied"/>
    <n v="1"/>
    <s v="Weekly"/>
    <s v="Average"/>
    <x v="0"/>
  </r>
  <r>
    <s v="EMP0768"/>
    <n v="40"/>
    <s v="Female"/>
    <s v="Marketing"/>
    <s v="Consulting"/>
    <n v="3"/>
    <s v="Remote"/>
    <n v="45"/>
    <n v="0"/>
    <n v="2"/>
    <s v="Medium"/>
    <s v="Anxiety"/>
    <s v="Yes"/>
    <s v="Decrease"/>
    <n v="2"/>
    <s v="Neutral"/>
    <n v="3"/>
    <s v="Daily"/>
    <s v="Good"/>
    <x v="0"/>
  </r>
  <r>
    <s v="EMP0769"/>
    <n v="36"/>
    <s v="Male"/>
    <s v="Software Engineer"/>
    <s v="Healthcare"/>
    <n v="8"/>
    <s v="Remote"/>
    <n v="50"/>
    <n v="0"/>
    <n v="4"/>
    <s v="Low"/>
    <s v="None"/>
    <s v="Yes"/>
    <s v="No Change"/>
    <n v="2"/>
    <s v="Satisfied"/>
    <n v="1"/>
    <s v="Weekly"/>
    <s v="Good"/>
    <x v="3"/>
  </r>
  <r>
    <s v="EMP0770"/>
    <n v="40"/>
    <s v="Non-binary"/>
    <s v="Project Manager"/>
    <s v="Healthcare"/>
    <n v="9"/>
    <s v="Remote"/>
    <n v="27"/>
    <n v="6"/>
    <n v="5"/>
    <s v="Medium"/>
    <s v="Depression"/>
    <s v="No"/>
    <s v="Increase"/>
    <n v="2"/>
    <s v="Neutral"/>
    <n v="5"/>
    <s v="Daily"/>
    <s v="Good"/>
    <x v="4"/>
  </r>
  <r>
    <s v="EMP0771"/>
    <n v="33"/>
    <s v="Female"/>
    <s v="Marketing"/>
    <s v="IT"/>
    <n v="3"/>
    <s v="Onsite"/>
    <n v="60"/>
    <n v="12"/>
    <n v="4"/>
    <s v="Low"/>
    <s v="None"/>
    <s v="Yes"/>
    <s v="Decrease"/>
    <n v="2"/>
    <s v="Neutral"/>
    <n v="1"/>
    <s v="Daily"/>
    <s v="Good"/>
    <x v="2"/>
  </r>
  <r>
    <s v="EMP0772"/>
    <n v="30"/>
    <s v="Prefer not to say"/>
    <s v="Designer"/>
    <s v="Education"/>
    <n v="23"/>
    <s v="Remote"/>
    <n v="45"/>
    <n v="9"/>
    <n v="1"/>
    <s v="Medium"/>
    <s v="Depression"/>
    <s v="No"/>
    <s v="Increase"/>
    <n v="5"/>
    <s v="Satisfied"/>
    <n v="2"/>
    <s v="Weekly"/>
    <s v="Good"/>
    <x v="1"/>
  </r>
  <r>
    <s v="EMP0773"/>
    <n v="40"/>
    <s v="Non-binary"/>
    <s v="Marketing"/>
    <s v="Healthcare"/>
    <n v="8"/>
    <s v="Onsite"/>
    <n v="41"/>
    <n v="6"/>
    <n v="3"/>
    <s v="Low"/>
    <s v="None"/>
    <s v="No"/>
    <s v="Increase"/>
    <n v="1"/>
    <s v="Satisfied"/>
    <n v="1"/>
    <s v="Daily"/>
    <s v="Good"/>
    <x v="0"/>
  </r>
  <r>
    <s v="EMP0774"/>
    <n v="58"/>
    <s v="Female"/>
    <s v="Project Manager"/>
    <s v="Manufacturing"/>
    <n v="26"/>
    <s v="Onsite"/>
    <n v="25"/>
    <n v="5"/>
    <n v="1"/>
    <s v="Medium"/>
    <s v="Burnout"/>
    <s v="Yes"/>
    <s v="Decrease"/>
    <n v="1"/>
    <s v="Unsatisfied"/>
    <n v="3"/>
    <s v="Daily"/>
    <s v="Poor"/>
    <x v="3"/>
  </r>
  <r>
    <s v="EMP0775"/>
    <n v="45"/>
    <s v="Female"/>
    <s v="Project Manager"/>
    <s v="Education"/>
    <n v="6"/>
    <s v="Hybrid"/>
    <n v="40"/>
    <n v="1"/>
    <n v="2"/>
    <s v="High"/>
    <s v="Anxiety"/>
    <s v="No"/>
    <s v="Increase"/>
    <n v="2"/>
    <s v="Unsatisfied"/>
    <n v="3"/>
    <s v="Daily"/>
    <s v="Good"/>
    <x v="2"/>
  </r>
  <r>
    <s v="EMP0776"/>
    <n v="40"/>
    <s v="Female"/>
    <s v="Sales"/>
    <s v="Healthcare"/>
    <n v="9"/>
    <s v="Remote"/>
    <n v="58"/>
    <n v="10"/>
    <n v="1"/>
    <s v="Medium"/>
    <s v="Depression"/>
    <s v="Yes"/>
    <s v="Increase"/>
    <n v="3"/>
    <s v="Satisfied"/>
    <n v="2"/>
    <s v="Weekly"/>
    <s v="Average"/>
    <x v="2"/>
  </r>
  <r>
    <s v="EMP0777"/>
    <n v="38"/>
    <s v="Male"/>
    <s v="Designer"/>
    <s v="Consulting"/>
    <n v="20"/>
    <s v="Hybrid"/>
    <n v="36"/>
    <n v="7"/>
    <n v="5"/>
    <s v="Medium"/>
    <s v="Anxiety"/>
    <s v="Yes"/>
    <s v="Increase"/>
    <n v="5"/>
    <s v="Unsatisfied"/>
    <n v="5"/>
    <s v="None"/>
    <s v="Average"/>
    <x v="2"/>
  </r>
  <r>
    <s v="EMP0778"/>
    <n v="55"/>
    <s v="Female"/>
    <s v="Marketing"/>
    <s v="Finance"/>
    <n v="12"/>
    <s v="Onsite"/>
    <n v="38"/>
    <n v="6"/>
    <n v="2"/>
    <s v="Medium"/>
    <s v="None"/>
    <s v="No"/>
    <s v="Decrease"/>
    <n v="4"/>
    <s v="Satisfied"/>
    <n v="4"/>
    <s v="Daily"/>
    <s v="Poor"/>
    <x v="1"/>
  </r>
  <r>
    <s v="EMP0779"/>
    <n v="29"/>
    <s v="Male"/>
    <s v="Project Manager"/>
    <s v="Manufacturing"/>
    <n v="30"/>
    <s v="Hybrid"/>
    <n v="21"/>
    <n v="15"/>
    <n v="5"/>
    <s v="Medium"/>
    <s v="Anxiety"/>
    <s v="Yes"/>
    <s v="Increase"/>
    <n v="1"/>
    <s v="Neutral"/>
    <n v="4"/>
    <s v="Weekly"/>
    <s v="Poor"/>
    <x v="5"/>
  </r>
  <r>
    <s v="EMP0780"/>
    <n v="31"/>
    <s v="Male"/>
    <s v="Designer"/>
    <s v="Retail"/>
    <n v="6"/>
    <s v="Remote"/>
    <n v="59"/>
    <n v="15"/>
    <n v="3"/>
    <s v="High"/>
    <s v="Burnout"/>
    <s v="Yes"/>
    <s v="Increase"/>
    <n v="3"/>
    <s v="Unsatisfied"/>
    <n v="1"/>
    <s v="Daily"/>
    <s v="Poor"/>
    <x v="1"/>
  </r>
  <r>
    <s v="EMP0781"/>
    <n v="60"/>
    <s v="Non-binary"/>
    <s v="Designer"/>
    <s v="Finance"/>
    <n v="8"/>
    <s v="Hybrid"/>
    <n v="47"/>
    <n v="0"/>
    <n v="2"/>
    <s v="High"/>
    <s v="Anxiety"/>
    <s v="Yes"/>
    <s v="Decrease"/>
    <n v="3"/>
    <s v="Satisfied"/>
    <n v="5"/>
    <s v="Daily"/>
    <s v="Poor"/>
    <x v="2"/>
  </r>
  <r>
    <s v="EMP0782"/>
    <n v="40"/>
    <s v="Non-binary"/>
    <s v="HR"/>
    <s v="IT"/>
    <n v="21"/>
    <s v="Onsite"/>
    <n v="21"/>
    <n v="1"/>
    <n v="3"/>
    <s v="High"/>
    <s v="Burnout"/>
    <s v="No"/>
    <s v="Increase"/>
    <n v="1"/>
    <s v="Neutral"/>
    <n v="5"/>
    <s v="None"/>
    <s v="Good"/>
    <x v="4"/>
  </r>
  <r>
    <s v="EMP0783"/>
    <n v="24"/>
    <s v="Non-binary"/>
    <s v="Data Scientist"/>
    <s v="Consulting"/>
    <n v="8"/>
    <s v="Onsite"/>
    <n v="26"/>
    <n v="8"/>
    <n v="1"/>
    <s v="Low"/>
    <s v="None"/>
    <s v="Yes"/>
    <s v="Increase"/>
    <n v="1"/>
    <s v="Satisfied"/>
    <n v="4"/>
    <s v="Daily"/>
    <s v="Poor"/>
    <x v="5"/>
  </r>
  <r>
    <s v="EMP0784"/>
    <n v="30"/>
    <s v="Non-binary"/>
    <s v="Project Manager"/>
    <s v="Manufacturing"/>
    <n v="19"/>
    <s v="Hybrid"/>
    <n v="58"/>
    <n v="7"/>
    <n v="2"/>
    <s v="Medium"/>
    <s v="Anxiety"/>
    <s v="No"/>
    <s v="No Change"/>
    <n v="2"/>
    <s v="Unsatisfied"/>
    <n v="3"/>
    <s v="Daily"/>
    <s v="Good"/>
    <x v="5"/>
  </r>
  <r>
    <s v="EMP0785"/>
    <n v="28"/>
    <s v="Prefer not to say"/>
    <s v="Software Engineer"/>
    <s v="IT"/>
    <n v="15"/>
    <s v="Remote"/>
    <n v="42"/>
    <n v="7"/>
    <n v="3"/>
    <s v="High"/>
    <s v="None"/>
    <s v="No"/>
    <s v="Decrease"/>
    <n v="3"/>
    <s v="Satisfied"/>
    <n v="3"/>
    <s v="None"/>
    <s v="Poor"/>
    <x v="0"/>
  </r>
  <r>
    <s v="EMP0786"/>
    <n v="46"/>
    <s v="Prefer not to say"/>
    <s v="HR"/>
    <s v="Education"/>
    <n v="19"/>
    <s v="Onsite"/>
    <n v="30"/>
    <n v="8"/>
    <n v="3"/>
    <s v="Low"/>
    <s v="Anxiety"/>
    <s v="Yes"/>
    <s v="Decrease"/>
    <n v="5"/>
    <s v="Neutral"/>
    <n v="2"/>
    <s v="None"/>
    <s v="Good"/>
    <x v="3"/>
  </r>
  <r>
    <s v="EMP0787"/>
    <n v="22"/>
    <s v="Prefer not to say"/>
    <s v="HR"/>
    <s v="Healthcare"/>
    <n v="34"/>
    <s v="Hybrid"/>
    <n v="46"/>
    <n v="0"/>
    <n v="4"/>
    <s v="Medium"/>
    <s v="None"/>
    <s v="No"/>
    <s v="Increase"/>
    <n v="1"/>
    <s v="Satisfied"/>
    <n v="2"/>
    <s v="Weekly"/>
    <s v="Poor"/>
    <x v="1"/>
  </r>
  <r>
    <s v="EMP0788"/>
    <n v="22"/>
    <s v="Non-binary"/>
    <s v="Marketing"/>
    <s v="Healthcare"/>
    <n v="21"/>
    <s v="Remote"/>
    <n v="48"/>
    <n v="5"/>
    <n v="3"/>
    <s v="High"/>
    <s v="None"/>
    <s v="Yes"/>
    <s v="Decrease"/>
    <n v="3"/>
    <s v="Neutral"/>
    <n v="5"/>
    <s v="Daily"/>
    <s v="Average"/>
    <x v="5"/>
  </r>
  <r>
    <s v="EMP0789"/>
    <n v="25"/>
    <s v="Non-binary"/>
    <s v="Designer"/>
    <s v="Healthcare"/>
    <n v="23"/>
    <s v="Onsite"/>
    <n v="38"/>
    <n v="0"/>
    <n v="2"/>
    <s v="Medium"/>
    <s v="Depression"/>
    <s v="Yes"/>
    <s v="Decrease"/>
    <n v="2"/>
    <s v="Satisfied"/>
    <n v="4"/>
    <s v="Daily"/>
    <s v="Poor"/>
    <x v="3"/>
  </r>
  <r>
    <s v="EMP0790"/>
    <n v="26"/>
    <s v="Prefer not to say"/>
    <s v="Data Scientist"/>
    <s v="Finance"/>
    <n v="5"/>
    <s v="Onsite"/>
    <n v="26"/>
    <n v="8"/>
    <n v="5"/>
    <s v="Low"/>
    <s v="Burnout"/>
    <s v="Yes"/>
    <s v="Decrease"/>
    <n v="5"/>
    <s v="Satisfied"/>
    <n v="2"/>
    <s v="Weekly"/>
    <s v="Average"/>
    <x v="1"/>
  </r>
  <r>
    <s v="EMP0791"/>
    <n v="46"/>
    <s v="Non-binary"/>
    <s v="Data Scientist"/>
    <s v="Manufacturing"/>
    <n v="5"/>
    <s v="Hybrid"/>
    <n v="59"/>
    <n v="10"/>
    <n v="5"/>
    <s v="Medium"/>
    <s v="None"/>
    <s v="No"/>
    <s v="No Change"/>
    <n v="2"/>
    <s v="Neutral"/>
    <n v="1"/>
    <s v="None"/>
    <s v="Poor"/>
    <x v="2"/>
  </r>
  <r>
    <s v="EMP0792"/>
    <n v="46"/>
    <s v="Non-binary"/>
    <s v="Marketing"/>
    <s v="Healthcare"/>
    <n v="24"/>
    <s v="Remote"/>
    <n v="24"/>
    <n v="11"/>
    <n v="1"/>
    <s v="Medium"/>
    <s v="None"/>
    <s v="Yes"/>
    <s v="Increase"/>
    <n v="2"/>
    <s v="Unsatisfied"/>
    <n v="2"/>
    <s v="None"/>
    <s v="Good"/>
    <x v="5"/>
  </r>
  <r>
    <s v="EMP0793"/>
    <n v="60"/>
    <s v="Prefer not to say"/>
    <s v="Data Scientist"/>
    <s v="IT"/>
    <n v="8"/>
    <s v="Hybrid"/>
    <n v="50"/>
    <n v="12"/>
    <n v="1"/>
    <s v="High"/>
    <s v="Depression"/>
    <s v="No"/>
    <s v="No Change"/>
    <n v="2"/>
    <s v="Satisfied"/>
    <n v="5"/>
    <s v="Daily"/>
    <s v="Average"/>
    <x v="4"/>
  </r>
  <r>
    <s v="EMP0794"/>
    <n v="55"/>
    <s v="Male"/>
    <s v="Marketing"/>
    <s v="Consulting"/>
    <n v="18"/>
    <s v="Remote"/>
    <n v="53"/>
    <n v="3"/>
    <n v="2"/>
    <s v="High"/>
    <s v="Anxiety"/>
    <s v="No"/>
    <s v="Decrease"/>
    <n v="3"/>
    <s v="Neutral"/>
    <n v="3"/>
    <s v="Daily"/>
    <s v="Average"/>
    <x v="1"/>
  </r>
  <r>
    <s v="EMP0795"/>
    <n v="25"/>
    <s v="Prefer not to say"/>
    <s v="Sales"/>
    <s v="Education"/>
    <n v="7"/>
    <s v="Onsite"/>
    <n v="48"/>
    <n v="1"/>
    <n v="5"/>
    <s v="Low"/>
    <s v="Depression"/>
    <s v="Yes"/>
    <s v="No Change"/>
    <n v="4"/>
    <s v="Satisfied"/>
    <n v="1"/>
    <s v="Daily"/>
    <s v="Poor"/>
    <x v="0"/>
  </r>
  <r>
    <s v="EMP0796"/>
    <n v="42"/>
    <s v="Female"/>
    <s v="Software Engineer"/>
    <s v="IT"/>
    <n v="28"/>
    <s v="Hybrid"/>
    <n v="39"/>
    <n v="13"/>
    <n v="4"/>
    <s v="Low"/>
    <s v="Burnout"/>
    <s v="No"/>
    <s v="No Change"/>
    <n v="4"/>
    <s v="Unsatisfied"/>
    <n v="1"/>
    <s v="Daily"/>
    <s v="Average"/>
    <x v="5"/>
  </r>
  <r>
    <s v="EMP0797"/>
    <n v="30"/>
    <s v="Non-binary"/>
    <s v="Software Engineer"/>
    <s v="Finance"/>
    <n v="13"/>
    <s v="Onsite"/>
    <n v="42"/>
    <n v="10"/>
    <n v="3"/>
    <s v="Low"/>
    <s v="Burnout"/>
    <s v="No"/>
    <s v="No Change"/>
    <n v="5"/>
    <s v="Unsatisfied"/>
    <n v="4"/>
    <s v="None"/>
    <s v="Good"/>
    <x v="0"/>
  </r>
  <r>
    <s v="EMP0798"/>
    <n v="58"/>
    <s v="Male"/>
    <s v="Data Scientist"/>
    <s v="IT"/>
    <n v="14"/>
    <s v="Remote"/>
    <n v="50"/>
    <n v="1"/>
    <n v="4"/>
    <s v="Medium"/>
    <s v="Burnout"/>
    <s v="Yes"/>
    <s v="No Change"/>
    <n v="4"/>
    <s v="Unsatisfied"/>
    <n v="1"/>
    <s v="None"/>
    <s v="Good"/>
    <x v="5"/>
  </r>
  <r>
    <s v="EMP0799"/>
    <n v="46"/>
    <s v="Male"/>
    <s v="Data Scientist"/>
    <s v="Education"/>
    <n v="23"/>
    <s v="Onsite"/>
    <n v="59"/>
    <n v="6"/>
    <n v="4"/>
    <s v="High"/>
    <s v="None"/>
    <s v="Yes"/>
    <s v="Decrease"/>
    <n v="3"/>
    <s v="Satisfied"/>
    <n v="4"/>
    <s v="None"/>
    <s v="Good"/>
    <x v="0"/>
  </r>
  <r>
    <s v="EMP0800"/>
    <n v="36"/>
    <s v="Female"/>
    <s v="Marketing"/>
    <s v="Consulting"/>
    <n v="7"/>
    <s v="Onsite"/>
    <n v="20"/>
    <n v="8"/>
    <n v="1"/>
    <s v="Low"/>
    <s v="Depression"/>
    <s v="Yes"/>
    <s v="Decrease"/>
    <n v="3"/>
    <s v="Unsatisfied"/>
    <n v="3"/>
    <s v="Daily"/>
    <s v="Poor"/>
    <x v="5"/>
  </r>
  <r>
    <s v="EMP0801"/>
    <n v="46"/>
    <s v="Female"/>
    <s v="Marketing"/>
    <s v="Manufacturing"/>
    <n v="3"/>
    <s v="Remote"/>
    <n v="32"/>
    <n v="10"/>
    <n v="5"/>
    <s v="Medium"/>
    <s v="Burnout"/>
    <s v="Yes"/>
    <s v="Decrease"/>
    <n v="5"/>
    <s v="Satisfied"/>
    <n v="4"/>
    <s v="Daily"/>
    <s v="Good"/>
    <x v="0"/>
  </r>
  <r>
    <s v="EMP0802"/>
    <n v="24"/>
    <s v="Male"/>
    <s v="Data Scientist"/>
    <s v="Manufacturing"/>
    <n v="24"/>
    <s v="Hybrid"/>
    <n v="45"/>
    <n v="7"/>
    <n v="2"/>
    <s v="High"/>
    <s v="None"/>
    <s v="Yes"/>
    <s v="No Change"/>
    <n v="1"/>
    <s v="Unsatisfied"/>
    <n v="4"/>
    <s v="None"/>
    <s v="Average"/>
    <x v="5"/>
  </r>
  <r>
    <s v="EMP0803"/>
    <n v="27"/>
    <s v="Male"/>
    <s v="Sales"/>
    <s v="Education"/>
    <n v="2"/>
    <s v="Onsite"/>
    <n v="45"/>
    <n v="13"/>
    <n v="5"/>
    <s v="Medium"/>
    <s v="None"/>
    <s v="Yes"/>
    <s v="Increase"/>
    <n v="2"/>
    <s v="Satisfied"/>
    <n v="5"/>
    <s v="Weekly"/>
    <s v="Good"/>
    <x v="4"/>
  </r>
  <r>
    <s v="EMP0804"/>
    <n v="39"/>
    <s v="Prefer not to say"/>
    <s v="Data Scientist"/>
    <s v="IT"/>
    <n v="6"/>
    <s v="Onsite"/>
    <n v="39"/>
    <n v="7"/>
    <n v="1"/>
    <s v="Low"/>
    <s v="Burnout"/>
    <s v="Yes"/>
    <s v="No Change"/>
    <n v="5"/>
    <s v="Unsatisfied"/>
    <n v="5"/>
    <s v="Weekly"/>
    <s v="Good"/>
    <x v="4"/>
  </r>
  <r>
    <s v="EMP0805"/>
    <n v="40"/>
    <s v="Non-binary"/>
    <s v="Data Scientist"/>
    <s v="Retail"/>
    <n v="23"/>
    <s v="Hybrid"/>
    <n v="32"/>
    <n v="11"/>
    <n v="4"/>
    <s v="High"/>
    <s v="Burnout"/>
    <s v="No"/>
    <s v="Increase"/>
    <n v="5"/>
    <s v="Neutral"/>
    <n v="4"/>
    <s v="Weekly"/>
    <s v="Average"/>
    <x v="1"/>
  </r>
  <r>
    <s v="EMP0806"/>
    <n v="46"/>
    <s v="Male"/>
    <s v="Project Manager"/>
    <s v="Retail"/>
    <n v="14"/>
    <s v="Onsite"/>
    <n v="59"/>
    <n v="14"/>
    <n v="5"/>
    <s v="High"/>
    <s v="Burnout"/>
    <s v="Yes"/>
    <s v="Increase"/>
    <n v="4"/>
    <s v="Unsatisfied"/>
    <n v="5"/>
    <s v="None"/>
    <s v="Poor"/>
    <x v="1"/>
  </r>
  <r>
    <s v="EMP0807"/>
    <n v="45"/>
    <s v="Prefer not to say"/>
    <s v="Software Engineer"/>
    <s v="Healthcare"/>
    <n v="21"/>
    <s v="Remote"/>
    <n v="38"/>
    <n v="12"/>
    <n v="5"/>
    <s v="Medium"/>
    <s v="Depression"/>
    <s v="No"/>
    <s v="Decrease"/>
    <n v="2"/>
    <s v="Neutral"/>
    <n v="1"/>
    <s v="Weekly"/>
    <s v="Poor"/>
    <x v="1"/>
  </r>
  <r>
    <s v="EMP0808"/>
    <n v="58"/>
    <s v="Prefer not to say"/>
    <s v="Designer"/>
    <s v="Education"/>
    <n v="8"/>
    <s v="Remote"/>
    <n v="24"/>
    <n v="9"/>
    <n v="5"/>
    <s v="Low"/>
    <s v="Anxiety"/>
    <s v="Yes"/>
    <s v="Decrease"/>
    <n v="5"/>
    <s v="Unsatisfied"/>
    <n v="5"/>
    <s v="None"/>
    <s v="Good"/>
    <x v="0"/>
  </r>
  <r>
    <s v="EMP0809"/>
    <n v="33"/>
    <s v="Female"/>
    <s v="Software Engineer"/>
    <s v="Retail"/>
    <n v="4"/>
    <s v="Onsite"/>
    <n v="38"/>
    <n v="7"/>
    <n v="4"/>
    <s v="Medium"/>
    <s v="None"/>
    <s v="No"/>
    <s v="Increase"/>
    <n v="4"/>
    <s v="Neutral"/>
    <n v="1"/>
    <s v="None"/>
    <s v="Poor"/>
    <x v="1"/>
  </r>
  <r>
    <s v="EMP0810"/>
    <n v="41"/>
    <s v="Prefer not to say"/>
    <s v="HR"/>
    <s v="Manufacturing"/>
    <n v="26"/>
    <s v="Hybrid"/>
    <n v="36"/>
    <n v="2"/>
    <n v="3"/>
    <s v="Low"/>
    <s v="Depression"/>
    <s v="No"/>
    <s v="No Change"/>
    <n v="4"/>
    <s v="Satisfied"/>
    <n v="3"/>
    <s v="Weekly"/>
    <s v="Average"/>
    <x v="4"/>
  </r>
  <r>
    <s v="EMP0811"/>
    <n v="42"/>
    <s v="Non-binary"/>
    <s v="Designer"/>
    <s v="IT"/>
    <n v="35"/>
    <s v="Hybrid"/>
    <n v="56"/>
    <n v="5"/>
    <n v="5"/>
    <s v="Low"/>
    <s v="Anxiety"/>
    <s v="No"/>
    <s v="No Change"/>
    <n v="4"/>
    <s v="Unsatisfied"/>
    <n v="3"/>
    <s v="Weekly"/>
    <s v="Poor"/>
    <x v="0"/>
  </r>
  <r>
    <s v="EMP0812"/>
    <n v="34"/>
    <s v="Non-binary"/>
    <s v="Software Engineer"/>
    <s v="Healthcare"/>
    <n v="33"/>
    <s v="Hybrid"/>
    <n v="35"/>
    <n v="7"/>
    <n v="5"/>
    <s v="High"/>
    <s v="Depression"/>
    <s v="No"/>
    <s v="No Change"/>
    <n v="4"/>
    <s v="Neutral"/>
    <n v="5"/>
    <s v="Weekly"/>
    <s v="Poor"/>
    <x v="3"/>
  </r>
  <r>
    <s v="EMP0813"/>
    <n v="25"/>
    <s v="Non-binary"/>
    <s v="Project Manager"/>
    <s v="Consulting"/>
    <n v="10"/>
    <s v="Onsite"/>
    <n v="22"/>
    <n v="9"/>
    <n v="5"/>
    <s v="Medium"/>
    <s v="None"/>
    <s v="Yes"/>
    <s v="Decrease"/>
    <n v="2"/>
    <s v="Unsatisfied"/>
    <n v="5"/>
    <s v="Daily"/>
    <s v="Poor"/>
    <x v="1"/>
  </r>
  <r>
    <s v="EMP0814"/>
    <n v="46"/>
    <s v="Female"/>
    <s v="Software Engineer"/>
    <s v="Retail"/>
    <n v="12"/>
    <s v="Remote"/>
    <n v="40"/>
    <n v="10"/>
    <n v="5"/>
    <s v="Low"/>
    <s v="Anxiety"/>
    <s v="No"/>
    <s v="Increase"/>
    <n v="2"/>
    <s v="Neutral"/>
    <n v="2"/>
    <s v="Daily"/>
    <s v="Poor"/>
    <x v="1"/>
  </r>
  <r>
    <s v="EMP0815"/>
    <n v="58"/>
    <s v="Female"/>
    <s v="Software Engineer"/>
    <s v="Manufacturing"/>
    <n v="31"/>
    <s v="Hybrid"/>
    <n v="22"/>
    <n v="6"/>
    <n v="1"/>
    <s v="Medium"/>
    <s v="Depression"/>
    <s v="No"/>
    <s v="No Change"/>
    <n v="2"/>
    <s v="Neutral"/>
    <n v="3"/>
    <s v="None"/>
    <s v="Average"/>
    <x v="0"/>
  </r>
  <r>
    <s v="EMP0816"/>
    <n v="39"/>
    <s v="Prefer not to say"/>
    <s v="Software Engineer"/>
    <s v="Manufacturing"/>
    <n v="8"/>
    <s v="Hybrid"/>
    <n v="41"/>
    <n v="13"/>
    <n v="5"/>
    <s v="Medium"/>
    <s v="Burnout"/>
    <s v="No"/>
    <s v="Decrease"/>
    <n v="3"/>
    <s v="Unsatisfied"/>
    <n v="4"/>
    <s v="Daily"/>
    <s v="Poor"/>
    <x v="2"/>
  </r>
  <r>
    <s v="EMP0817"/>
    <n v="35"/>
    <s v="Non-binary"/>
    <s v="Sales"/>
    <s v="Retail"/>
    <n v="23"/>
    <s v="Remote"/>
    <n v="53"/>
    <n v="4"/>
    <n v="4"/>
    <s v="Low"/>
    <s v="Burnout"/>
    <s v="No"/>
    <s v="No Change"/>
    <n v="1"/>
    <s v="Unsatisfied"/>
    <n v="3"/>
    <s v="Daily"/>
    <s v="Good"/>
    <x v="5"/>
  </r>
  <r>
    <s v="EMP0818"/>
    <n v="28"/>
    <s v="Non-binary"/>
    <s v="Software Engineer"/>
    <s v="Retail"/>
    <n v="6"/>
    <s v="Hybrid"/>
    <n v="57"/>
    <n v="15"/>
    <n v="2"/>
    <s v="Low"/>
    <s v="Depression"/>
    <s v="Yes"/>
    <s v="No Change"/>
    <n v="2"/>
    <s v="Satisfied"/>
    <n v="1"/>
    <s v="None"/>
    <s v="Good"/>
    <x v="3"/>
  </r>
  <r>
    <s v="EMP0819"/>
    <n v="35"/>
    <s v="Male"/>
    <s v="Marketing"/>
    <s v="Education"/>
    <n v="9"/>
    <s v="Remote"/>
    <n v="51"/>
    <n v="7"/>
    <n v="3"/>
    <s v="Medium"/>
    <s v="Anxiety"/>
    <s v="Yes"/>
    <s v="Decrease"/>
    <n v="3"/>
    <s v="Neutral"/>
    <n v="2"/>
    <s v="Daily"/>
    <s v="Average"/>
    <x v="5"/>
  </r>
  <r>
    <s v="EMP0820"/>
    <n v="59"/>
    <s v="Male"/>
    <s v="Sales"/>
    <s v="Healthcare"/>
    <n v="23"/>
    <s v="Onsite"/>
    <n v="20"/>
    <n v="15"/>
    <n v="4"/>
    <s v="Medium"/>
    <s v="Burnout"/>
    <s v="Yes"/>
    <s v="No Change"/>
    <n v="4"/>
    <s v="Neutral"/>
    <n v="3"/>
    <s v="None"/>
    <s v="Average"/>
    <x v="1"/>
  </r>
  <r>
    <s v="EMP0821"/>
    <n v="52"/>
    <s v="Prefer not to say"/>
    <s v="Sales"/>
    <s v="IT"/>
    <n v="18"/>
    <s v="Remote"/>
    <n v="56"/>
    <n v="12"/>
    <n v="2"/>
    <s v="High"/>
    <s v="Burnout"/>
    <s v="No"/>
    <s v="Decrease"/>
    <n v="1"/>
    <s v="Satisfied"/>
    <n v="3"/>
    <s v="None"/>
    <s v="Average"/>
    <x v="1"/>
  </r>
  <r>
    <s v="EMP0822"/>
    <n v="52"/>
    <s v="Male"/>
    <s v="Marketing"/>
    <s v="Manufacturing"/>
    <n v="16"/>
    <s v="Onsite"/>
    <n v="27"/>
    <n v="7"/>
    <n v="3"/>
    <s v="Low"/>
    <s v="Depression"/>
    <s v="Yes"/>
    <s v="Increase"/>
    <n v="1"/>
    <s v="Unsatisfied"/>
    <n v="3"/>
    <s v="Weekly"/>
    <s v="Average"/>
    <x v="1"/>
  </r>
  <r>
    <s v="EMP0823"/>
    <n v="51"/>
    <s v="Non-binary"/>
    <s v="HR"/>
    <s v="Healthcare"/>
    <n v="17"/>
    <s v="Onsite"/>
    <n v="29"/>
    <n v="15"/>
    <n v="3"/>
    <s v="High"/>
    <s v="Anxiety"/>
    <s v="No"/>
    <s v="No Change"/>
    <n v="2"/>
    <s v="Neutral"/>
    <n v="3"/>
    <s v="None"/>
    <s v="Average"/>
    <x v="1"/>
  </r>
  <r>
    <s v="EMP0824"/>
    <n v="42"/>
    <s v="Female"/>
    <s v="Designer"/>
    <s v="Retail"/>
    <n v="16"/>
    <s v="Onsite"/>
    <n v="52"/>
    <n v="7"/>
    <n v="5"/>
    <s v="Low"/>
    <s v="None"/>
    <s v="Yes"/>
    <s v="Decrease"/>
    <n v="2"/>
    <s v="Neutral"/>
    <n v="2"/>
    <s v="Weekly"/>
    <s v="Average"/>
    <x v="4"/>
  </r>
  <r>
    <s v="EMP0825"/>
    <n v="48"/>
    <s v="Prefer not to say"/>
    <s v="Sales"/>
    <s v="Healthcare"/>
    <n v="6"/>
    <s v="Onsite"/>
    <n v="45"/>
    <n v="3"/>
    <n v="4"/>
    <s v="Low"/>
    <s v="Burnout"/>
    <s v="Yes"/>
    <s v="Decrease"/>
    <n v="5"/>
    <s v="Neutral"/>
    <n v="5"/>
    <s v="Weekly"/>
    <s v="Good"/>
    <x v="0"/>
  </r>
  <r>
    <s v="EMP0826"/>
    <n v="24"/>
    <s v="Female"/>
    <s v="Designer"/>
    <s v="Retail"/>
    <n v="9"/>
    <s v="Remote"/>
    <n v="58"/>
    <n v="7"/>
    <n v="5"/>
    <s v="Low"/>
    <s v="Burnout"/>
    <s v="No"/>
    <s v="No Change"/>
    <n v="4"/>
    <s v="Satisfied"/>
    <n v="3"/>
    <s v="Weekly"/>
    <s v="Average"/>
    <x v="3"/>
  </r>
  <r>
    <s v="EMP0827"/>
    <n v="45"/>
    <s v="Prefer not to say"/>
    <s v="Marketing"/>
    <s v="Retail"/>
    <n v="19"/>
    <s v="Hybrid"/>
    <n v="23"/>
    <n v="3"/>
    <n v="4"/>
    <s v="High"/>
    <s v="Burnout"/>
    <s v="No"/>
    <s v="No Change"/>
    <n v="2"/>
    <s v="Satisfied"/>
    <n v="5"/>
    <s v="Weekly"/>
    <s v="Good"/>
    <x v="4"/>
  </r>
  <r>
    <s v="EMP0828"/>
    <n v="32"/>
    <s v="Female"/>
    <s v="Sales"/>
    <s v="IT"/>
    <n v="33"/>
    <s v="Onsite"/>
    <n v="27"/>
    <n v="14"/>
    <n v="4"/>
    <s v="Medium"/>
    <s v="Anxiety"/>
    <s v="Yes"/>
    <s v="No Change"/>
    <n v="2"/>
    <s v="Satisfied"/>
    <n v="2"/>
    <s v="None"/>
    <s v="Average"/>
    <x v="3"/>
  </r>
  <r>
    <s v="EMP0829"/>
    <n v="50"/>
    <s v="Prefer not to say"/>
    <s v="Marketing"/>
    <s v="Healthcare"/>
    <n v="21"/>
    <s v="Hybrid"/>
    <n v="59"/>
    <n v="10"/>
    <n v="3"/>
    <s v="Medium"/>
    <s v="Depression"/>
    <s v="Yes"/>
    <s v="No Change"/>
    <n v="4"/>
    <s v="Neutral"/>
    <n v="3"/>
    <s v="Daily"/>
    <s v="Average"/>
    <x v="3"/>
  </r>
  <r>
    <s v="EMP0830"/>
    <n v="46"/>
    <s v="Non-binary"/>
    <s v="Marketing"/>
    <s v="Healthcare"/>
    <n v="14"/>
    <s v="Onsite"/>
    <n v="40"/>
    <n v="12"/>
    <n v="4"/>
    <s v="Medium"/>
    <s v="Burnout"/>
    <s v="Yes"/>
    <s v="Decrease"/>
    <n v="3"/>
    <s v="Unsatisfied"/>
    <n v="2"/>
    <s v="Weekly"/>
    <s v="Average"/>
    <x v="4"/>
  </r>
  <r>
    <s v="EMP0831"/>
    <n v="43"/>
    <s v="Prefer not to say"/>
    <s v="HR"/>
    <s v="IT"/>
    <n v="30"/>
    <s v="Onsite"/>
    <n v="59"/>
    <n v="11"/>
    <n v="1"/>
    <s v="High"/>
    <s v="None"/>
    <s v="Yes"/>
    <s v="Increase"/>
    <n v="3"/>
    <s v="Unsatisfied"/>
    <n v="1"/>
    <s v="Daily"/>
    <s v="Poor"/>
    <x v="0"/>
  </r>
  <r>
    <s v="EMP0832"/>
    <n v="30"/>
    <s v="Female"/>
    <s v="Software Engineer"/>
    <s v="Manufacturing"/>
    <n v="2"/>
    <s v="Remote"/>
    <n v="58"/>
    <n v="4"/>
    <n v="4"/>
    <s v="High"/>
    <s v="None"/>
    <s v="Yes"/>
    <s v="No Change"/>
    <n v="1"/>
    <s v="Neutral"/>
    <n v="4"/>
    <s v="Daily"/>
    <s v="Average"/>
    <x v="4"/>
  </r>
  <r>
    <s v="EMP0833"/>
    <n v="24"/>
    <s v="Male"/>
    <s v="Data Scientist"/>
    <s v="IT"/>
    <n v="10"/>
    <s v="Remote"/>
    <n v="52"/>
    <n v="3"/>
    <n v="2"/>
    <s v="High"/>
    <s v="Depression"/>
    <s v="Yes"/>
    <s v="Decrease"/>
    <n v="1"/>
    <s v="Satisfied"/>
    <n v="3"/>
    <s v="Weekly"/>
    <s v="Average"/>
    <x v="1"/>
  </r>
  <r>
    <s v="EMP0834"/>
    <n v="43"/>
    <s v="Female"/>
    <s v="Data Scientist"/>
    <s v="Consulting"/>
    <n v="4"/>
    <s v="Hybrid"/>
    <n v="57"/>
    <n v="12"/>
    <n v="3"/>
    <s v="High"/>
    <s v="Anxiety"/>
    <s v="Yes"/>
    <s v="Increase"/>
    <n v="3"/>
    <s v="Unsatisfied"/>
    <n v="1"/>
    <s v="Daily"/>
    <s v="Average"/>
    <x v="1"/>
  </r>
  <r>
    <s v="EMP0835"/>
    <n v="46"/>
    <s v="Male"/>
    <s v="Sales"/>
    <s v="Manufacturing"/>
    <n v="12"/>
    <s v="Onsite"/>
    <n v="22"/>
    <n v="1"/>
    <n v="5"/>
    <s v="Medium"/>
    <s v="Burnout"/>
    <s v="Yes"/>
    <s v="Decrease"/>
    <n v="2"/>
    <s v="Satisfied"/>
    <n v="5"/>
    <s v="None"/>
    <s v="Average"/>
    <x v="2"/>
  </r>
  <r>
    <s v="EMP0836"/>
    <n v="55"/>
    <s v="Non-binary"/>
    <s v="Sales"/>
    <s v="IT"/>
    <n v="23"/>
    <s v="Remote"/>
    <n v="25"/>
    <n v="10"/>
    <n v="5"/>
    <s v="Low"/>
    <s v="Anxiety"/>
    <s v="No"/>
    <s v="No Change"/>
    <n v="3"/>
    <s v="Neutral"/>
    <n v="5"/>
    <s v="Daily"/>
    <s v="Good"/>
    <x v="0"/>
  </r>
  <r>
    <s v="EMP0837"/>
    <n v="46"/>
    <s v="Non-binary"/>
    <s v="HR"/>
    <s v="Finance"/>
    <n v="4"/>
    <s v="Hybrid"/>
    <n v="57"/>
    <n v="14"/>
    <n v="1"/>
    <s v="Medium"/>
    <s v="None"/>
    <s v="No"/>
    <s v="No Change"/>
    <n v="1"/>
    <s v="Satisfied"/>
    <n v="5"/>
    <s v="Weekly"/>
    <s v="Poor"/>
    <x v="2"/>
  </r>
  <r>
    <s v="EMP0838"/>
    <n v="50"/>
    <s v="Prefer not to say"/>
    <s v="Project Manager"/>
    <s v="Finance"/>
    <n v="22"/>
    <s v="Hybrid"/>
    <n v="55"/>
    <n v="14"/>
    <n v="3"/>
    <s v="Medium"/>
    <s v="Depression"/>
    <s v="Yes"/>
    <s v="Increase"/>
    <n v="2"/>
    <s v="Neutral"/>
    <n v="2"/>
    <s v="Weekly"/>
    <s v="Good"/>
    <x v="2"/>
  </r>
  <r>
    <s v="EMP0839"/>
    <n v="54"/>
    <s v="Female"/>
    <s v="HR"/>
    <s v="Retail"/>
    <n v="9"/>
    <s v="Onsite"/>
    <n v="51"/>
    <n v="1"/>
    <n v="4"/>
    <s v="Medium"/>
    <s v="Anxiety"/>
    <s v="No"/>
    <s v="Decrease"/>
    <n v="2"/>
    <s v="Neutral"/>
    <n v="4"/>
    <s v="Weekly"/>
    <s v="Poor"/>
    <x v="1"/>
  </r>
  <r>
    <s v="EMP0840"/>
    <n v="31"/>
    <s v="Prefer not to say"/>
    <s v="Sales"/>
    <s v="Retail"/>
    <n v="15"/>
    <s v="Onsite"/>
    <n v="32"/>
    <n v="9"/>
    <n v="1"/>
    <s v="High"/>
    <s v="None"/>
    <s v="Yes"/>
    <s v="Decrease"/>
    <n v="3"/>
    <s v="Unsatisfied"/>
    <n v="1"/>
    <s v="Daily"/>
    <s v="Poor"/>
    <x v="4"/>
  </r>
  <r>
    <s v="EMP0841"/>
    <n v="51"/>
    <s v="Non-binary"/>
    <s v="Sales"/>
    <s v="Education"/>
    <n v="1"/>
    <s v="Hybrid"/>
    <n v="47"/>
    <n v="12"/>
    <n v="5"/>
    <s v="Medium"/>
    <s v="Burnout"/>
    <s v="Yes"/>
    <s v="Increase"/>
    <n v="3"/>
    <s v="Unsatisfied"/>
    <n v="5"/>
    <s v="None"/>
    <s v="Average"/>
    <x v="2"/>
  </r>
  <r>
    <s v="EMP0842"/>
    <n v="51"/>
    <s v="Non-binary"/>
    <s v="Designer"/>
    <s v="Manufacturing"/>
    <n v="3"/>
    <s v="Onsite"/>
    <n v="42"/>
    <n v="12"/>
    <n v="3"/>
    <s v="Low"/>
    <s v="Depression"/>
    <s v="No"/>
    <s v="Decrease"/>
    <n v="5"/>
    <s v="Satisfied"/>
    <n v="2"/>
    <s v="None"/>
    <s v="Good"/>
    <x v="3"/>
  </r>
  <r>
    <s v="EMP0843"/>
    <n v="41"/>
    <s v="Prefer not to say"/>
    <s v="Designer"/>
    <s v="Finance"/>
    <n v="25"/>
    <s v="Remote"/>
    <n v="56"/>
    <n v="15"/>
    <n v="2"/>
    <s v="High"/>
    <s v="Burnout"/>
    <s v="Yes"/>
    <s v="Decrease"/>
    <n v="4"/>
    <s v="Neutral"/>
    <n v="2"/>
    <s v="Weekly"/>
    <s v="Poor"/>
    <x v="1"/>
  </r>
  <r>
    <s v="EMP0844"/>
    <n v="60"/>
    <s v="Prefer not to say"/>
    <s v="Project Manager"/>
    <s v="Education"/>
    <n v="12"/>
    <s v="Onsite"/>
    <n v="40"/>
    <n v="7"/>
    <n v="2"/>
    <s v="High"/>
    <s v="None"/>
    <s v="Yes"/>
    <s v="Decrease"/>
    <n v="1"/>
    <s v="Unsatisfied"/>
    <n v="3"/>
    <s v="None"/>
    <s v="Average"/>
    <x v="4"/>
  </r>
  <r>
    <s v="EMP0845"/>
    <n v="27"/>
    <s v="Prefer not to say"/>
    <s v="Designer"/>
    <s v="Healthcare"/>
    <n v="28"/>
    <s v="Onsite"/>
    <n v="36"/>
    <n v="12"/>
    <n v="1"/>
    <s v="High"/>
    <s v="Burnout"/>
    <s v="Yes"/>
    <s v="No Change"/>
    <n v="4"/>
    <s v="Unsatisfied"/>
    <n v="5"/>
    <s v="Daily"/>
    <s v="Average"/>
    <x v="4"/>
  </r>
  <r>
    <s v="EMP0846"/>
    <n v="39"/>
    <s v="Male"/>
    <s v="Project Manager"/>
    <s v="Finance"/>
    <n v="5"/>
    <s v="Hybrid"/>
    <n v="31"/>
    <n v="5"/>
    <n v="5"/>
    <s v="Low"/>
    <s v="Depression"/>
    <s v="No"/>
    <s v="Decrease"/>
    <n v="3"/>
    <s v="Unsatisfied"/>
    <n v="1"/>
    <s v="Daily"/>
    <s v="Poor"/>
    <x v="5"/>
  </r>
  <r>
    <s v="EMP0847"/>
    <n v="57"/>
    <s v="Prefer not to say"/>
    <s v="HR"/>
    <s v="Retail"/>
    <n v="5"/>
    <s v="Onsite"/>
    <n v="42"/>
    <n v="1"/>
    <n v="5"/>
    <s v="Medium"/>
    <s v="Burnout"/>
    <s v="No"/>
    <s v="No Change"/>
    <n v="3"/>
    <s v="Neutral"/>
    <n v="5"/>
    <s v="Weekly"/>
    <s v="Good"/>
    <x v="1"/>
  </r>
  <r>
    <s v="EMP0848"/>
    <n v="32"/>
    <s v="Prefer not to say"/>
    <s v="Marketing"/>
    <s v="IT"/>
    <n v="4"/>
    <s v="Remote"/>
    <n v="34"/>
    <n v="7"/>
    <n v="5"/>
    <s v="High"/>
    <s v="Burnout"/>
    <s v="Yes"/>
    <s v="Increase"/>
    <n v="1"/>
    <s v="Unsatisfied"/>
    <n v="1"/>
    <s v="Daily"/>
    <s v="Good"/>
    <x v="0"/>
  </r>
  <r>
    <s v="EMP0849"/>
    <n v="42"/>
    <s v="Non-binary"/>
    <s v="HR"/>
    <s v="Consulting"/>
    <n v="25"/>
    <s v="Onsite"/>
    <n v="56"/>
    <n v="9"/>
    <n v="3"/>
    <s v="High"/>
    <s v="None"/>
    <s v="Yes"/>
    <s v="Decrease"/>
    <n v="4"/>
    <s v="Neutral"/>
    <n v="2"/>
    <s v="Daily"/>
    <s v="Poor"/>
    <x v="4"/>
  </r>
  <r>
    <s v="EMP0850"/>
    <n v="43"/>
    <s v="Non-binary"/>
    <s v="Software Engineer"/>
    <s v="Manufacturing"/>
    <n v="10"/>
    <s v="Remote"/>
    <n v="53"/>
    <n v="15"/>
    <n v="2"/>
    <s v="Medium"/>
    <s v="None"/>
    <s v="No"/>
    <s v="Increase"/>
    <n v="4"/>
    <s v="Neutral"/>
    <n v="1"/>
    <s v="Daily"/>
    <s v="Average"/>
    <x v="2"/>
  </r>
  <r>
    <s v="EMP0851"/>
    <n v="58"/>
    <s v="Prefer not to say"/>
    <s v="Data Scientist"/>
    <s v="Finance"/>
    <n v="32"/>
    <s v="Onsite"/>
    <n v="25"/>
    <n v="15"/>
    <n v="1"/>
    <s v="High"/>
    <s v="Anxiety"/>
    <s v="No"/>
    <s v="No Change"/>
    <n v="4"/>
    <s v="Neutral"/>
    <n v="4"/>
    <s v="Daily"/>
    <s v="Good"/>
    <x v="5"/>
  </r>
  <r>
    <s v="EMP0852"/>
    <n v="25"/>
    <s v="Male"/>
    <s v="Sales"/>
    <s v="IT"/>
    <n v="32"/>
    <s v="Remote"/>
    <n v="31"/>
    <n v="15"/>
    <n v="3"/>
    <s v="Low"/>
    <s v="Anxiety"/>
    <s v="No"/>
    <s v="Decrease"/>
    <n v="2"/>
    <s v="Satisfied"/>
    <n v="1"/>
    <s v="Weekly"/>
    <s v="Poor"/>
    <x v="4"/>
  </r>
  <r>
    <s v="EMP0853"/>
    <n v="59"/>
    <s v="Female"/>
    <s v="Marketing"/>
    <s v="Healthcare"/>
    <n v="30"/>
    <s v="Hybrid"/>
    <n v="21"/>
    <n v="3"/>
    <n v="2"/>
    <s v="High"/>
    <s v="None"/>
    <s v="No"/>
    <s v="Increase"/>
    <n v="2"/>
    <s v="Neutral"/>
    <n v="1"/>
    <s v="None"/>
    <s v="Poor"/>
    <x v="4"/>
  </r>
  <r>
    <s v="EMP0854"/>
    <n v="28"/>
    <s v="Prefer not to say"/>
    <s v="HR"/>
    <s v="Finance"/>
    <n v="19"/>
    <s v="Remote"/>
    <n v="58"/>
    <n v="9"/>
    <n v="1"/>
    <s v="Medium"/>
    <s v="None"/>
    <s v="No"/>
    <s v="No Change"/>
    <n v="4"/>
    <s v="Neutral"/>
    <n v="4"/>
    <s v="None"/>
    <s v="Poor"/>
    <x v="1"/>
  </r>
  <r>
    <s v="EMP0855"/>
    <n v="41"/>
    <s v="Female"/>
    <s v="HR"/>
    <s v="IT"/>
    <n v="5"/>
    <s v="Remote"/>
    <n v="29"/>
    <n v="13"/>
    <n v="1"/>
    <s v="High"/>
    <s v="None"/>
    <s v="No"/>
    <s v="Increase"/>
    <n v="3"/>
    <s v="Satisfied"/>
    <n v="1"/>
    <s v="None"/>
    <s v="Poor"/>
    <x v="0"/>
  </r>
  <r>
    <s v="EMP0856"/>
    <n v="45"/>
    <s v="Non-binary"/>
    <s v="Designer"/>
    <s v="Manufacturing"/>
    <n v="28"/>
    <s v="Remote"/>
    <n v="56"/>
    <n v="5"/>
    <n v="1"/>
    <s v="High"/>
    <s v="Burnout"/>
    <s v="No"/>
    <s v="Increase"/>
    <n v="4"/>
    <s v="Unsatisfied"/>
    <n v="1"/>
    <s v="Weekly"/>
    <s v="Average"/>
    <x v="1"/>
  </r>
  <r>
    <s v="EMP0857"/>
    <n v="37"/>
    <s v="Male"/>
    <s v="Sales"/>
    <s v="Healthcare"/>
    <n v="14"/>
    <s v="Remote"/>
    <n v="48"/>
    <n v="1"/>
    <n v="1"/>
    <s v="Low"/>
    <s v="Anxiety"/>
    <s v="Yes"/>
    <s v="No Change"/>
    <n v="3"/>
    <s v="Satisfied"/>
    <n v="2"/>
    <s v="Weekly"/>
    <s v="Poor"/>
    <x v="4"/>
  </r>
  <r>
    <s v="EMP0858"/>
    <n v="27"/>
    <s v="Non-binary"/>
    <s v="Software Engineer"/>
    <s v="Manufacturing"/>
    <n v="2"/>
    <s v="Hybrid"/>
    <n v="60"/>
    <n v="2"/>
    <n v="1"/>
    <s v="Low"/>
    <s v="Depression"/>
    <s v="No"/>
    <s v="Increase"/>
    <n v="3"/>
    <s v="Unsatisfied"/>
    <n v="4"/>
    <s v="Daily"/>
    <s v="Average"/>
    <x v="3"/>
  </r>
  <r>
    <s v="EMP0859"/>
    <n v="46"/>
    <s v="Female"/>
    <s v="Project Manager"/>
    <s v="Retail"/>
    <n v="29"/>
    <s v="Hybrid"/>
    <n v="26"/>
    <n v="8"/>
    <n v="5"/>
    <s v="High"/>
    <s v="Depression"/>
    <s v="Yes"/>
    <s v="No Change"/>
    <n v="3"/>
    <s v="Neutral"/>
    <n v="4"/>
    <s v="Weekly"/>
    <s v="Good"/>
    <x v="1"/>
  </r>
  <r>
    <s v="EMP0860"/>
    <n v="48"/>
    <s v="Prefer not to say"/>
    <s v="Data Scientist"/>
    <s v="IT"/>
    <n v="15"/>
    <s v="Onsite"/>
    <n v="21"/>
    <n v="8"/>
    <n v="1"/>
    <s v="High"/>
    <s v="None"/>
    <s v="Yes"/>
    <s v="No Change"/>
    <n v="3"/>
    <s v="Satisfied"/>
    <n v="2"/>
    <s v="Weekly"/>
    <s v="Good"/>
    <x v="0"/>
  </r>
  <r>
    <s v="EMP0861"/>
    <n v="35"/>
    <s v="Prefer not to say"/>
    <s v="Marketing"/>
    <s v="Healthcare"/>
    <n v="27"/>
    <s v="Onsite"/>
    <n v="20"/>
    <n v="8"/>
    <n v="3"/>
    <s v="High"/>
    <s v="Burnout"/>
    <s v="No"/>
    <s v="No Change"/>
    <n v="3"/>
    <s v="Unsatisfied"/>
    <n v="4"/>
    <s v="None"/>
    <s v="Poor"/>
    <x v="0"/>
  </r>
  <r>
    <s v="EMP0862"/>
    <n v="32"/>
    <s v="Male"/>
    <s v="Data Scientist"/>
    <s v="Finance"/>
    <n v="26"/>
    <s v="Onsite"/>
    <n v="58"/>
    <n v="9"/>
    <n v="1"/>
    <s v="Low"/>
    <s v="Depression"/>
    <s v="Yes"/>
    <s v="Increase"/>
    <n v="3"/>
    <s v="Neutral"/>
    <n v="4"/>
    <s v="None"/>
    <s v="Poor"/>
    <x v="3"/>
  </r>
  <r>
    <s v="EMP0863"/>
    <n v="36"/>
    <s v="Female"/>
    <s v="Marketing"/>
    <s v="Retail"/>
    <n v="10"/>
    <s v="Hybrid"/>
    <n v="39"/>
    <n v="10"/>
    <n v="3"/>
    <s v="Medium"/>
    <s v="Anxiety"/>
    <s v="No"/>
    <s v="Increase"/>
    <n v="5"/>
    <s v="Neutral"/>
    <n v="1"/>
    <s v="Daily"/>
    <s v="Poor"/>
    <x v="2"/>
  </r>
  <r>
    <s v="EMP0864"/>
    <n v="24"/>
    <s v="Non-binary"/>
    <s v="Data Scientist"/>
    <s v="Healthcare"/>
    <n v="6"/>
    <s v="Onsite"/>
    <n v="43"/>
    <n v="11"/>
    <n v="2"/>
    <s v="High"/>
    <s v="Depression"/>
    <s v="Yes"/>
    <s v="No Change"/>
    <n v="4"/>
    <s v="Satisfied"/>
    <n v="1"/>
    <s v="Daily"/>
    <s v="Poor"/>
    <x v="1"/>
  </r>
  <r>
    <s v="EMP0865"/>
    <n v="58"/>
    <s v="Female"/>
    <s v="Sales"/>
    <s v="Healthcare"/>
    <n v="19"/>
    <s v="Remote"/>
    <n v="43"/>
    <n v="13"/>
    <n v="3"/>
    <s v="Medium"/>
    <s v="None"/>
    <s v="Yes"/>
    <s v="No Change"/>
    <n v="3"/>
    <s v="Unsatisfied"/>
    <n v="4"/>
    <s v="Daily"/>
    <s v="Poor"/>
    <x v="2"/>
  </r>
  <r>
    <s v="EMP0866"/>
    <n v="53"/>
    <s v="Non-binary"/>
    <s v="Marketing"/>
    <s v="Consulting"/>
    <n v="25"/>
    <s v="Onsite"/>
    <n v="28"/>
    <n v="5"/>
    <n v="2"/>
    <s v="Low"/>
    <s v="None"/>
    <s v="Yes"/>
    <s v="No Change"/>
    <n v="5"/>
    <s v="Unsatisfied"/>
    <n v="3"/>
    <s v="Weekly"/>
    <s v="Average"/>
    <x v="3"/>
  </r>
  <r>
    <s v="EMP0867"/>
    <n v="35"/>
    <s v="Prefer not to say"/>
    <s v="HR"/>
    <s v="Consulting"/>
    <n v="32"/>
    <s v="Hybrid"/>
    <n v="24"/>
    <n v="13"/>
    <n v="3"/>
    <s v="Low"/>
    <s v="None"/>
    <s v="No"/>
    <s v="Decrease"/>
    <n v="4"/>
    <s v="Unsatisfied"/>
    <n v="1"/>
    <s v="Weekly"/>
    <s v="Average"/>
    <x v="5"/>
  </r>
  <r>
    <s v="EMP0868"/>
    <n v="26"/>
    <s v="Prefer not to say"/>
    <s v="Project Manager"/>
    <s v="Education"/>
    <n v="5"/>
    <s v="Hybrid"/>
    <n v="51"/>
    <n v="0"/>
    <n v="4"/>
    <s v="Low"/>
    <s v="None"/>
    <s v="Yes"/>
    <s v="Decrease"/>
    <n v="2"/>
    <s v="Unsatisfied"/>
    <n v="1"/>
    <s v="Daily"/>
    <s v="Good"/>
    <x v="2"/>
  </r>
  <r>
    <s v="EMP0869"/>
    <n v="50"/>
    <s v="Non-binary"/>
    <s v="Data Scientist"/>
    <s v="Healthcare"/>
    <n v="29"/>
    <s v="Remote"/>
    <n v="29"/>
    <n v="14"/>
    <n v="1"/>
    <s v="Medium"/>
    <s v="Anxiety"/>
    <s v="No"/>
    <s v="No Change"/>
    <n v="2"/>
    <s v="Neutral"/>
    <n v="1"/>
    <s v="Weekly"/>
    <s v="Poor"/>
    <x v="5"/>
  </r>
  <r>
    <s v="EMP0870"/>
    <n v="33"/>
    <s v="Non-binary"/>
    <s v="Sales"/>
    <s v="Manufacturing"/>
    <n v="16"/>
    <s v="Onsite"/>
    <n v="55"/>
    <n v="4"/>
    <n v="3"/>
    <s v="Low"/>
    <s v="Burnout"/>
    <s v="Yes"/>
    <s v="Decrease"/>
    <n v="3"/>
    <s v="Neutral"/>
    <n v="4"/>
    <s v="Daily"/>
    <s v="Good"/>
    <x v="2"/>
  </r>
  <r>
    <s v="EMP0871"/>
    <n v="30"/>
    <s v="Female"/>
    <s v="Sales"/>
    <s v="Finance"/>
    <n v="6"/>
    <s v="Remote"/>
    <n v="40"/>
    <n v="3"/>
    <n v="5"/>
    <s v="Medium"/>
    <s v="Anxiety"/>
    <s v="Yes"/>
    <s v="No Change"/>
    <n v="5"/>
    <s v="Unsatisfied"/>
    <n v="1"/>
    <s v="None"/>
    <s v="Good"/>
    <x v="3"/>
  </r>
  <r>
    <s v="EMP0872"/>
    <n v="60"/>
    <s v="Non-binary"/>
    <s v="Marketing"/>
    <s v="Finance"/>
    <n v="12"/>
    <s v="Onsite"/>
    <n v="43"/>
    <n v="3"/>
    <n v="1"/>
    <s v="High"/>
    <s v="Burnout"/>
    <s v="Yes"/>
    <s v="Decrease"/>
    <n v="3"/>
    <s v="Satisfied"/>
    <n v="2"/>
    <s v="None"/>
    <s v="Poor"/>
    <x v="1"/>
  </r>
  <r>
    <s v="EMP0873"/>
    <n v="59"/>
    <s v="Female"/>
    <s v="Software Engineer"/>
    <s v="Education"/>
    <n v="22"/>
    <s v="Hybrid"/>
    <n v="29"/>
    <n v="2"/>
    <n v="1"/>
    <s v="Medium"/>
    <s v="Anxiety"/>
    <s v="No"/>
    <s v="Increase"/>
    <n v="5"/>
    <s v="Neutral"/>
    <n v="2"/>
    <s v="Weekly"/>
    <s v="Average"/>
    <x v="0"/>
  </r>
  <r>
    <s v="EMP0874"/>
    <n v="57"/>
    <s v="Non-binary"/>
    <s v="Designer"/>
    <s v="Healthcare"/>
    <n v="35"/>
    <s v="Hybrid"/>
    <n v="48"/>
    <n v="9"/>
    <n v="1"/>
    <s v="High"/>
    <s v="Burnout"/>
    <s v="Yes"/>
    <s v="No Change"/>
    <n v="4"/>
    <s v="Neutral"/>
    <n v="1"/>
    <s v="Weekly"/>
    <s v="Poor"/>
    <x v="5"/>
  </r>
  <r>
    <s v="EMP0875"/>
    <n v="47"/>
    <s v="Prefer not to say"/>
    <s v="Designer"/>
    <s v="Manufacturing"/>
    <n v="1"/>
    <s v="Hybrid"/>
    <n v="38"/>
    <n v="10"/>
    <n v="4"/>
    <s v="Low"/>
    <s v="None"/>
    <s v="No"/>
    <s v="No Change"/>
    <n v="4"/>
    <s v="Neutral"/>
    <n v="3"/>
    <s v="Daily"/>
    <s v="Poor"/>
    <x v="2"/>
  </r>
  <r>
    <s v="EMP0876"/>
    <n v="37"/>
    <s v="Prefer not to say"/>
    <s v="Designer"/>
    <s v="Consulting"/>
    <n v="33"/>
    <s v="Hybrid"/>
    <n v="42"/>
    <n v="1"/>
    <n v="3"/>
    <s v="Low"/>
    <s v="Burnout"/>
    <s v="Yes"/>
    <s v="Decrease"/>
    <n v="4"/>
    <s v="Satisfied"/>
    <n v="5"/>
    <s v="None"/>
    <s v="Average"/>
    <x v="2"/>
  </r>
  <r>
    <s v="EMP0877"/>
    <n v="37"/>
    <s v="Non-binary"/>
    <s v="Software Engineer"/>
    <s v="Retail"/>
    <n v="2"/>
    <s v="Remote"/>
    <n v="34"/>
    <n v="14"/>
    <n v="3"/>
    <s v="Low"/>
    <s v="Depression"/>
    <s v="No"/>
    <s v="No Change"/>
    <n v="2"/>
    <s v="Satisfied"/>
    <n v="2"/>
    <s v="Daily"/>
    <s v="Average"/>
    <x v="0"/>
  </r>
  <r>
    <s v="EMP0878"/>
    <n v="35"/>
    <s v="Male"/>
    <s v="HR"/>
    <s v="Consulting"/>
    <n v="8"/>
    <s v="Hybrid"/>
    <n v="48"/>
    <n v="7"/>
    <n v="3"/>
    <s v="High"/>
    <s v="Depression"/>
    <s v="No"/>
    <s v="No Change"/>
    <n v="1"/>
    <s v="Neutral"/>
    <n v="4"/>
    <s v="None"/>
    <s v="Good"/>
    <x v="5"/>
  </r>
  <r>
    <s v="EMP0879"/>
    <n v="49"/>
    <s v="Non-binary"/>
    <s v="Sales"/>
    <s v="Manufacturing"/>
    <n v="26"/>
    <s v="Remote"/>
    <n v="57"/>
    <n v="3"/>
    <n v="4"/>
    <s v="Low"/>
    <s v="Anxiety"/>
    <s v="No"/>
    <s v="No Change"/>
    <n v="3"/>
    <s v="Satisfied"/>
    <n v="4"/>
    <s v="Daily"/>
    <s v="Average"/>
    <x v="3"/>
  </r>
  <r>
    <s v="EMP0880"/>
    <n v="42"/>
    <s v="Female"/>
    <s v="Marketing"/>
    <s v="Retail"/>
    <n v="22"/>
    <s v="Onsite"/>
    <n v="59"/>
    <n v="8"/>
    <n v="5"/>
    <s v="High"/>
    <s v="Anxiety"/>
    <s v="No"/>
    <s v="Decrease"/>
    <n v="4"/>
    <s v="Unsatisfied"/>
    <n v="1"/>
    <s v="Daily"/>
    <s v="Average"/>
    <x v="5"/>
  </r>
  <r>
    <s v="EMP0881"/>
    <n v="53"/>
    <s v="Non-binary"/>
    <s v="Project Manager"/>
    <s v="Education"/>
    <n v="17"/>
    <s v="Onsite"/>
    <n v="30"/>
    <n v="10"/>
    <n v="2"/>
    <s v="Low"/>
    <s v="None"/>
    <s v="No"/>
    <s v="Increase"/>
    <n v="2"/>
    <s v="Satisfied"/>
    <n v="4"/>
    <s v="Weekly"/>
    <s v="Poor"/>
    <x v="5"/>
  </r>
  <r>
    <s v="EMP0882"/>
    <n v="29"/>
    <s v="Male"/>
    <s v="Software Engineer"/>
    <s v="IT"/>
    <n v="28"/>
    <s v="Onsite"/>
    <n v="29"/>
    <n v="9"/>
    <n v="5"/>
    <s v="Low"/>
    <s v="None"/>
    <s v="Yes"/>
    <s v="Increase"/>
    <n v="4"/>
    <s v="Unsatisfied"/>
    <n v="5"/>
    <s v="Weekly"/>
    <s v="Good"/>
    <x v="4"/>
  </r>
  <r>
    <s v="EMP0883"/>
    <n v="31"/>
    <s v="Female"/>
    <s v="Project Manager"/>
    <s v="Education"/>
    <n v="25"/>
    <s v="Remote"/>
    <n v="21"/>
    <n v="10"/>
    <n v="1"/>
    <s v="High"/>
    <s v="Depression"/>
    <s v="Yes"/>
    <s v="Increase"/>
    <n v="5"/>
    <s v="Unsatisfied"/>
    <n v="5"/>
    <s v="Weekly"/>
    <s v="Poor"/>
    <x v="5"/>
  </r>
  <r>
    <s v="EMP0884"/>
    <n v="47"/>
    <s v="Non-binary"/>
    <s v="Project Manager"/>
    <s v="Retail"/>
    <n v="30"/>
    <s v="Remote"/>
    <n v="23"/>
    <n v="14"/>
    <n v="1"/>
    <s v="High"/>
    <s v="Anxiety"/>
    <s v="Yes"/>
    <s v="Increase"/>
    <n v="4"/>
    <s v="Unsatisfied"/>
    <n v="1"/>
    <s v="Daily"/>
    <s v="Poor"/>
    <x v="4"/>
  </r>
  <r>
    <s v="EMP0885"/>
    <n v="57"/>
    <s v="Male"/>
    <s v="Software Engineer"/>
    <s v="Consulting"/>
    <n v="34"/>
    <s v="Remote"/>
    <n v="53"/>
    <n v="1"/>
    <n v="2"/>
    <s v="High"/>
    <s v="Anxiety"/>
    <s v="No"/>
    <s v="Increase"/>
    <n v="3"/>
    <s v="Unsatisfied"/>
    <n v="2"/>
    <s v="None"/>
    <s v="Average"/>
    <x v="3"/>
  </r>
  <r>
    <s v="EMP0886"/>
    <n v="59"/>
    <s v="Non-binary"/>
    <s v="Designer"/>
    <s v="Finance"/>
    <n v="13"/>
    <s v="Hybrid"/>
    <n v="30"/>
    <n v="6"/>
    <n v="1"/>
    <s v="High"/>
    <s v="None"/>
    <s v="No"/>
    <s v="No Change"/>
    <n v="3"/>
    <s v="Unsatisfied"/>
    <n v="2"/>
    <s v="Daily"/>
    <s v="Poor"/>
    <x v="2"/>
  </r>
  <r>
    <s v="EMP0887"/>
    <n v="51"/>
    <s v="Female"/>
    <s v="Marketing"/>
    <s v="Retail"/>
    <n v="19"/>
    <s v="Onsite"/>
    <n v="60"/>
    <n v="10"/>
    <n v="5"/>
    <s v="Medium"/>
    <s v="Depression"/>
    <s v="No"/>
    <s v="No Change"/>
    <n v="4"/>
    <s v="Neutral"/>
    <n v="2"/>
    <s v="Weekly"/>
    <s v="Average"/>
    <x v="1"/>
  </r>
  <r>
    <s v="EMP0888"/>
    <n v="30"/>
    <s v="Female"/>
    <s v="Software Engineer"/>
    <s v="Consulting"/>
    <n v="20"/>
    <s v="Onsite"/>
    <n v="50"/>
    <n v="5"/>
    <n v="2"/>
    <s v="Low"/>
    <s v="Burnout"/>
    <s v="Yes"/>
    <s v="Increase"/>
    <n v="2"/>
    <s v="Neutral"/>
    <n v="5"/>
    <s v="None"/>
    <s v="Good"/>
    <x v="4"/>
  </r>
  <r>
    <s v="EMP0889"/>
    <n v="46"/>
    <s v="Prefer not to say"/>
    <s v="Marketing"/>
    <s v="IT"/>
    <n v="25"/>
    <s v="Remote"/>
    <n v="31"/>
    <n v="14"/>
    <n v="4"/>
    <s v="Low"/>
    <s v="Anxiety"/>
    <s v="Yes"/>
    <s v="Decrease"/>
    <n v="3"/>
    <s v="Unsatisfied"/>
    <n v="4"/>
    <s v="Weekly"/>
    <s v="Average"/>
    <x v="5"/>
  </r>
  <r>
    <s v="EMP0890"/>
    <n v="39"/>
    <s v="Female"/>
    <s v="Software Engineer"/>
    <s v="Manufacturing"/>
    <n v="19"/>
    <s v="Hybrid"/>
    <n v="49"/>
    <n v="0"/>
    <n v="4"/>
    <s v="Medium"/>
    <s v="Burnout"/>
    <s v="No"/>
    <s v="Decrease"/>
    <n v="2"/>
    <s v="Satisfied"/>
    <n v="5"/>
    <s v="Weekly"/>
    <s v="Good"/>
    <x v="5"/>
  </r>
  <r>
    <s v="EMP0891"/>
    <n v="57"/>
    <s v="Prefer not to say"/>
    <s v="HR"/>
    <s v="Consulting"/>
    <n v="2"/>
    <s v="Remote"/>
    <n v="35"/>
    <n v="4"/>
    <n v="4"/>
    <s v="Low"/>
    <s v="None"/>
    <s v="Yes"/>
    <s v="Increase"/>
    <n v="4"/>
    <s v="Neutral"/>
    <n v="5"/>
    <s v="Weekly"/>
    <s v="Average"/>
    <x v="4"/>
  </r>
  <r>
    <s v="EMP0892"/>
    <n v="36"/>
    <s v="Female"/>
    <s v="HR"/>
    <s v="Education"/>
    <n v="35"/>
    <s v="Remote"/>
    <n v="26"/>
    <n v="14"/>
    <n v="1"/>
    <s v="Medium"/>
    <s v="Anxiety"/>
    <s v="No"/>
    <s v="Increase"/>
    <n v="1"/>
    <s v="Satisfied"/>
    <n v="1"/>
    <s v="None"/>
    <s v="Average"/>
    <x v="2"/>
  </r>
  <r>
    <s v="EMP0893"/>
    <n v="28"/>
    <s v="Prefer not to say"/>
    <s v="Marketing"/>
    <s v="Retail"/>
    <n v="23"/>
    <s v="Onsite"/>
    <n v="60"/>
    <n v="15"/>
    <n v="2"/>
    <s v="Medium"/>
    <s v="None"/>
    <s v="Yes"/>
    <s v="No Change"/>
    <n v="4"/>
    <s v="Neutral"/>
    <n v="1"/>
    <s v="None"/>
    <s v="Poor"/>
    <x v="4"/>
  </r>
  <r>
    <s v="EMP0894"/>
    <n v="60"/>
    <s v="Prefer not to say"/>
    <s v="Project Manager"/>
    <s v="Healthcare"/>
    <n v="3"/>
    <s v="Onsite"/>
    <n v="30"/>
    <n v="10"/>
    <n v="1"/>
    <s v="Medium"/>
    <s v="Depression"/>
    <s v="Yes"/>
    <s v="Decrease"/>
    <n v="1"/>
    <s v="Unsatisfied"/>
    <n v="5"/>
    <s v="None"/>
    <s v="Average"/>
    <x v="0"/>
  </r>
  <r>
    <s v="EMP0895"/>
    <n v="38"/>
    <s v="Prefer not to say"/>
    <s v="Data Scientist"/>
    <s v="Consulting"/>
    <n v="21"/>
    <s v="Remote"/>
    <n v="25"/>
    <n v="6"/>
    <n v="4"/>
    <s v="High"/>
    <s v="Anxiety"/>
    <s v="Yes"/>
    <s v="Increase"/>
    <n v="3"/>
    <s v="Neutral"/>
    <n v="2"/>
    <s v="None"/>
    <s v="Average"/>
    <x v="3"/>
  </r>
  <r>
    <s v="EMP0896"/>
    <n v="45"/>
    <s v="Male"/>
    <s v="Marketing"/>
    <s v="Retail"/>
    <n v="9"/>
    <s v="Remote"/>
    <n v="42"/>
    <n v="2"/>
    <n v="2"/>
    <s v="Medium"/>
    <s v="Burnout"/>
    <s v="No"/>
    <s v="Increase"/>
    <n v="1"/>
    <s v="Neutral"/>
    <n v="2"/>
    <s v="None"/>
    <s v="Average"/>
    <x v="1"/>
  </r>
  <r>
    <s v="EMP0897"/>
    <n v="53"/>
    <s v="Male"/>
    <s v="Sales"/>
    <s v="Finance"/>
    <n v="9"/>
    <s v="Remote"/>
    <n v="46"/>
    <n v="13"/>
    <n v="1"/>
    <s v="Medium"/>
    <s v="Burnout"/>
    <s v="Yes"/>
    <s v="No Change"/>
    <n v="5"/>
    <s v="Satisfied"/>
    <n v="3"/>
    <s v="None"/>
    <s v="Good"/>
    <x v="2"/>
  </r>
  <r>
    <s v="EMP0898"/>
    <n v="57"/>
    <s v="Non-binary"/>
    <s v="Software Engineer"/>
    <s v="Healthcare"/>
    <n v="10"/>
    <s v="Onsite"/>
    <n v="41"/>
    <n v="9"/>
    <n v="3"/>
    <s v="High"/>
    <s v="Burnout"/>
    <s v="No"/>
    <s v="Increase"/>
    <n v="4"/>
    <s v="Neutral"/>
    <n v="3"/>
    <s v="Daily"/>
    <s v="Poor"/>
    <x v="3"/>
  </r>
  <r>
    <s v="EMP0899"/>
    <n v="56"/>
    <s v="Male"/>
    <s v="Marketing"/>
    <s v="Retail"/>
    <n v="1"/>
    <s v="Onsite"/>
    <n v="39"/>
    <n v="10"/>
    <n v="4"/>
    <s v="High"/>
    <s v="Depression"/>
    <s v="No"/>
    <s v="No Change"/>
    <n v="4"/>
    <s v="Satisfied"/>
    <n v="5"/>
    <s v="Weekly"/>
    <s v="Good"/>
    <x v="1"/>
  </r>
  <r>
    <s v="EMP0900"/>
    <n v="33"/>
    <s v="Male"/>
    <s v="Data Scientist"/>
    <s v="IT"/>
    <n v="11"/>
    <s v="Onsite"/>
    <n v="58"/>
    <n v="2"/>
    <n v="4"/>
    <s v="High"/>
    <s v="Depression"/>
    <s v="No"/>
    <s v="Increase"/>
    <n v="1"/>
    <s v="Satisfied"/>
    <n v="2"/>
    <s v="Weekly"/>
    <s v="Average"/>
    <x v="0"/>
  </r>
  <r>
    <s v="EMP0901"/>
    <n v="33"/>
    <s v="Female"/>
    <s v="Project Manager"/>
    <s v="IT"/>
    <n v="5"/>
    <s v="Remote"/>
    <n v="51"/>
    <n v="0"/>
    <n v="3"/>
    <s v="Medium"/>
    <s v="Burnout"/>
    <s v="No"/>
    <s v="Decrease"/>
    <n v="1"/>
    <s v="Unsatisfied"/>
    <n v="1"/>
    <s v="Daily"/>
    <s v="Average"/>
    <x v="0"/>
  </r>
  <r>
    <s v="EMP0902"/>
    <n v="60"/>
    <s v="Female"/>
    <s v="Sales"/>
    <s v="Finance"/>
    <n v="8"/>
    <s v="Onsite"/>
    <n v="22"/>
    <n v="14"/>
    <n v="2"/>
    <s v="Medium"/>
    <s v="Depression"/>
    <s v="No"/>
    <s v="No Change"/>
    <n v="3"/>
    <s v="Neutral"/>
    <n v="1"/>
    <s v="Weekly"/>
    <s v="Average"/>
    <x v="5"/>
  </r>
  <r>
    <s v="EMP0903"/>
    <n v="39"/>
    <s v="Non-binary"/>
    <s v="Software Engineer"/>
    <s v="Manufacturing"/>
    <n v="22"/>
    <s v="Onsite"/>
    <n v="26"/>
    <n v="7"/>
    <n v="3"/>
    <s v="Medium"/>
    <s v="Depression"/>
    <s v="Yes"/>
    <s v="Increase"/>
    <n v="4"/>
    <s v="Satisfied"/>
    <n v="5"/>
    <s v="Weekly"/>
    <s v="Poor"/>
    <x v="1"/>
  </r>
  <r>
    <s v="EMP0904"/>
    <n v="58"/>
    <s v="Male"/>
    <s v="Data Scientist"/>
    <s v="Healthcare"/>
    <n v="20"/>
    <s v="Remote"/>
    <n v="25"/>
    <n v="11"/>
    <n v="4"/>
    <s v="High"/>
    <s v="Burnout"/>
    <s v="Yes"/>
    <s v="No Change"/>
    <n v="1"/>
    <s v="Neutral"/>
    <n v="1"/>
    <s v="Daily"/>
    <s v="Good"/>
    <x v="1"/>
  </r>
  <r>
    <s v="EMP0905"/>
    <n v="60"/>
    <s v="Non-binary"/>
    <s v="HR"/>
    <s v="Consulting"/>
    <n v="32"/>
    <s v="Hybrid"/>
    <n v="28"/>
    <n v="1"/>
    <n v="4"/>
    <s v="High"/>
    <s v="Anxiety"/>
    <s v="No"/>
    <s v="Decrease"/>
    <n v="1"/>
    <s v="Unsatisfied"/>
    <n v="1"/>
    <s v="Daily"/>
    <s v="Average"/>
    <x v="5"/>
  </r>
  <r>
    <s v="EMP0906"/>
    <n v="43"/>
    <s v="Male"/>
    <s v="Project Manager"/>
    <s v="IT"/>
    <n v="30"/>
    <s v="Remote"/>
    <n v="54"/>
    <n v="3"/>
    <n v="5"/>
    <s v="Low"/>
    <s v="Burnout"/>
    <s v="No"/>
    <s v="No Change"/>
    <n v="1"/>
    <s v="Neutral"/>
    <n v="1"/>
    <s v="Daily"/>
    <s v="Good"/>
    <x v="2"/>
  </r>
  <r>
    <s v="EMP0907"/>
    <n v="48"/>
    <s v="Non-binary"/>
    <s v="Designer"/>
    <s v="Consulting"/>
    <n v="3"/>
    <s v="Remote"/>
    <n v="34"/>
    <n v="13"/>
    <n v="5"/>
    <s v="Medium"/>
    <s v="None"/>
    <s v="Yes"/>
    <s v="Decrease"/>
    <n v="5"/>
    <s v="Neutral"/>
    <n v="3"/>
    <s v="Daily"/>
    <s v="Poor"/>
    <x v="5"/>
  </r>
  <r>
    <s v="EMP0908"/>
    <n v="60"/>
    <s v="Male"/>
    <s v="Software Engineer"/>
    <s v="Retail"/>
    <n v="9"/>
    <s v="Hybrid"/>
    <n v="28"/>
    <n v="12"/>
    <n v="5"/>
    <s v="Medium"/>
    <s v="Anxiety"/>
    <s v="Yes"/>
    <s v="Increase"/>
    <n v="1"/>
    <s v="Unsatisfied"/>
    <n v="3"/>
    <s v="Weekly"/>
    <s v="Good"/>
    <x v="5"/>
  </r>
  <r>
    <s v="EMP0909"/>
    <n v="45"/>
    <s v="Female"/>
    <s v="Software Engineer"/>
    <s v="Retail"/>
    <n v="15"/>
    <s v="Onsite"/>
    <n v="37"/>
    <n v="12"/>
    <n v="2"/>
    <s v="Low"/>
    <s v="Burnout"/>
    <s v="No"/>
    <s v="Increase"/>
    <n v="3"/>
    <s v="Satisfied"/>
    <n v="5"/>
    <s v="Weekly"/>
    <s v="Poor"/>
    <x v="5"/>
  </r>
  <r>
    <s v="EMP0910"/>
    <n v="58"/>
    <s v="Prefer not to say"/>
    <s v="Software Engineer"/>
    <s v="IT"/>
    <n v="5"/>
    <s v="Remote"/>
    <n v="50"/>
    <n v="8"/>
    <n v="3"/>
    <s v="Low"/>
    <s v="Anxiety"/>
    <s v="Yes"/>
    <s v="Decrease"/>
    <n v="3"/>
    <s v="Neutral"/>
    <n v="2"/>
    <s v="Weekly"/>
    <s v="Good"/>
    <x v="3"/>
  </r>
  <r>
    <s v="EMP0911"/>
    <n v="22"/>
    <s v="Prefer not to say"/>
    <s v="Designer"/>
    <s v="IT"/>
    <n v="29"/>
    <s v="Hybrid"/>
    <n v="21"/>
    <n v="5"/>
    <n v="5"/>
    <s v="Low"/>
    <s v="None"/>
    <s v="Yes"/>
    <s v="No Change"/>
    <n v="1"/>
    <s v="Unsatisfied"/>
    <n v="1"/>
    <s v="Weekly"/>
    <s v="Good"/>
    <x v="0"/>
  </r>
  <r>
    <s v="EMP0912"/>
    <n v="42"/>
    <s v="Non-binary"/>
    <s v="Data Scientist"/>
    <s v="Retail"/>
    <n v="3"/>
    <s v="Remote"/>
    <n v="32"/>
    <n v="0"/>
    <n v="5"/>
    <s v="Medium"/>
    <s v="Depression"/>
    <s v="Yes"/>
    <s v="No Change"/>
    <n v="2"/>
    <s v="Satisfied"/>
    <n v="5"/>
    <s v="Weekly"/>
    <s v="Good"/>
    <x v="1"/>
  </r>
  <r>
    <s v="EMP0913"/>
    <n v="44"/>
    <s v="Non-binary"/>
    <s v="Sales"/>
    <s v="Retail"/>
    <n v="28"/>
    <s v="Hybrid"/>
    <n v="56"/>
    <n v="10"/>
    <n v="3"/>
    <s v="Low"/>
    <s v="Anxiety"/>
    <s v="No"/>
    <s v="No Change"/>
    <n v="4"/>
    <s v="Satisfied"/>
    <n v="1"/>
    <s v="Daily"/>
    <s v="Poor"/>
    <x v="1"/>
  </r>
  <r>
    <s v="EMP0914"/>
    <n v="43"/>
    <s v="Prefer not to say"/>
    <s v="Data Scientist"/>
    <s v="IT"/>
    <n v="34"/>
    <s v="Onsite"/>
    <n v="42"/>
    <n v="7"/>
    <n v="5"/>
    <s v="Medium"/>
    <s v="Burnout"/>
    <s v="Yes"/>
    <s v="No Change"/>
    <n v="3"/>
    <s v="Satisfied"/>
    <n v="3"/>
    <s v="Daily"/>
    <s v="Poor"/>
    <x v="1"/>
  </r>
  <r>
    <s v="EMP0915"/>
    <n v="35"/>
    <s v="Male"/>
    <s v="Designer"/>
    <s v="Consulting"/>
    <n v="33"/>
    <s v="Hybrid"/>
    <n v="22"/>
    <n v="1"/>
    <n v="3"/>
    <s v="Medium"/>
    <s v="Burnout"/>
    <s v="Yes"/>
    <s v="Decrease"/>
    <n v="3"/>
    <s v="Satisfied"/>
    <n v="3"/>
    <s v="Daily"/>
    <s v="Poor"/>
    <x v="2"/>
  </r>
  <r>
    <s v="EMP0916"/>
    <n v="47"/>
    <s v="Prefer not to say"/>
    <s v="Software Engineer"/>
    <s v="Education"/>
    <n v="23"/>
    <s v="Remote"/>
    <n v="28"/>
    <n v="10"/>
    <n v="5"/>
    <s v="Low"/>
    <s v="None"/>
    <s v="No"/>
    <s v="Decrease"/>
    <n v="2"/>
    <s v="Satisfied"/>
    <n v="1"/>
    <s v="None"/>
    <s v="Average"/>
    <x v="5"/>
  </r>
  <r>
    <s v="EMP0917"/>
    <n v="49"/>
    <s v="Non-binary"/>
    <s v="Project Manager"/>
    <s v="Manufacturing"/>
    <n v="9"/>
    <s v="Hybrid"/>
    <n v="31"/>
    <n v="8"/>
    <n v="5"/>
    <s v="Medium"/>
    <s v="Burnout"/>
    <s v="No"/>
    <s v="Increase"/>
    <n v="3"/>
    <s v="Neutral"/>
    <n v="5"/>
    <s v="Weekly"/>
    <s v="Average"/>
    <x v="2"/>
  </r>
  <r>
    <s v="EMP0918"/>
    <n v="49"/>
    <s v="Female"/>
    <s v="Software Engineer"/>
    <s v="Finance"/>
    <n v="34"/>
    <s v="Hybrid"/>
    <n v="59"/>
    <n v="0"/>
    <n v="5"/>
    <s v="High"/>
    <s v="None"/>
    <s v="No"/>
    <s v="Decrease"/>
    <n v="1"/>
    <s v="Neutral"/>
    <n v="1"/>
    <s v="Daily"/>
    <s v="Average"/>
    <x v="1"/>
  </r>
  <r>
    <s v="EMP0919"/>
    <n v="40"/>
    <s v="Non-binary"/>
    <s v="Data Scientist"/>
    <s v="Education"/>
    <n v="30"/>
    <s v="Remote"/>
    <n v="22"/>
    <n v="13"/>
    <n v="5"/>
    <s v="Low"/>
    <s v="Anxiety"/>
    <s v="Yes"/>
    <s v="Increase"/>
    <n v="1"/>
    <s v="Unsatisfied"/>
    <n v="3"/>
    <s v="Daily"/>
    <s v="Average"/>
    <x v="0"/>
  </r>
  <r>
    <s v="EMP0920"/>
    <n v="27"/>
    <s v="Female"/>
    <s v="HR"/>
    <s v="Consulting"/>
    <n v="4"/>
    <s v="Hybrid"/>
    <n v="21"/>
    <n v="3"/>
    <n v="1"/>
    <s v="Low"/>
    <s v="Burnout"/>
    <s v="Yes"/>
    <s v="Increase"/>
    <n v="4"/>
    <s v="Unsatisfied"/>
    <n v="2"/>
    <s v="Weekly"/>
    <s v="Good"/>
    <x v="1"/>
  </r>
  <r>
    <s v="EMP0921"/>
    <n v="34"/>
    <s v="Male"/>
    <s v="Software Engineer"/>
    <s v="Healthcare"/>
    <n v="25"/>
    <s v="Remote"/>
    <n v="54"/>
    <n v="8"/>
    <n v="4"/>
    <s v="Medium"/>
    <s v="Depression"/>
    <s v="No"/>
    <s v="Increase"/>
    <n v="1"/>
    <s v="Neutral"/>
    <n v="1"/>
    <s v="Daily"/>
    <s v="Average"/>
    <x v="5"/>
  </r>
  <r>
    <s v="EMP0922"/>
    <n v="48"/>
    <s v="Prefer not to say"/>
    <s v="Sales"/>
    <s v="Healthcare"/>
    <n v="20"/>
    <s v="Hybrid"/>
    <n v="46"/>
    <n v="7"/>
    <n v="5"/>
    <s v="Medium"/>
    <s v="Depression"/>
    <s v="Yes"/>
    <s v="Decrease"/>
    <n v="2"/>
    <s v="Satisfied"/>
    <n v="5"/>
    <s v="Weekly"/>
    <s v="Average"/>
    <x v="4"/>
  </r>
  <r>
    <s v="EMP0923"/>
    <n v="46"/>
    <s v="Male"/>
    <s v="Sales"/>
    <s v="Retail"/>
    <n v="14"/>
    <s v="Remote"/>
    <n v="56"/>
    <n v="2"/>
    <n v="5"/>
    <s v="Low"/>
    <s v="Anxiety"/>
    <s v="No"/>
    <s v="Increase"/>
    <n v="2"/>
    <s v="Satisfied"/>
    <n v="1"/>
    <s v="Weekly"/>
    <s v="Average"/>
    <x v="1"/>
  </r>
  <r>
    <s v="EMP0924"/>
    <n v="27"/>
    <s v="Female"/>
    <s v="Data Scientist"/>
    <s v="Finance"/>
    <n v="9"/>
    <s v="Hybrid"/>
    <n v="48"/>
    <n v="3"/>
    <n v="3"/>
    <s v="High"/>
    <s v="Depression"/>
    <s v="Yes"/>
    <s v="Decrease"/>
    <n v="3"/>
    <s v="Satisfied"/>
    <n v="4"/>
    <s v="None"/>
    <s v="Poor"/>
    <x v="4"/>
  </r>
  <r>
    <s v="EMP0925"/>
    <n v="50"/>
    <s v="Prefer not to say"/>
    <s v="Designer"/>
    <s v="Education"/>
    <n v="7"/>
    <s v="Hybrid"/>
    <n v="29"/>
    <n v="8"/>
    <n v="3"/>
    <s v="High"/>
    <s v="Anxiety"/>
    <s v="Yes"/>
    <s v="Increase"/>
    <n v="5"/>
    <s v="Unsatisfied"/>
    <n v="5"/>
    <s v="Daily"/>
    <s v="Good"/>
    <x v="5"/>
  </r>
  <r>
    <s v="EMP0926"/>
    <n v="23"/>
    <s v="Non-binary"/>
    <s v="Data Scientist"/>
    <s v="Manufacturing"/>
    <n v="24"/>
    <s v="Onsite"/>
    <n v="59"/>
    <n v="9"/>
    <n v="5"/>
    <s v="Medium"/>
    <s v="None"/>
    <s v="No"/>
    <s v="No Change"/>
    <n v="2"/>
    <s v="Unsatisfied"/>
    <n v="3"/>
    <s v="Daily"/>
    <s v="Poor"/>
    <x v="3"/>
  </r>
  <r>
    <s v="EMP0927"/>
    <n v="35"/>
    <s v="Prefer not to say"/>
    <s v="Designer"/>
    <s v="Healthcare"/>
    <n v="10"/>
    <s v="Remote"/>
    <n v="46"/>
    <n v="15"/>
    <n v="5"/>
    <s v="High"/>
    <s v="Depression"/>
    <s v="Yes"/>
    <s v="Decrease"/>
    <n v="2"/>
    <s v="Satisfied"/>
    <n v="3"/>
    <s v="Daily"/>
    <s v="Average"/>
    <x v="3"/>
  </r>
  <r>
    <s v="EMP0928"/>
    <n v="59"/>
    <s v="Prefer not to say"/>
    <s v="Sales"/>
    <s v="IT"/>
    <n v="27"/>
    <s v="Onsite"/>
    <n v="27"/>
    <n v="7"/>
    <n v="4"/>
    <s v="Medium"/>
    <s v="Depression"/>
    <s v="No"/>
    <s v="Decrease"/>
    <n v="3"/>
    <s v="Neutral"/>
    <n v="4"/>
    <s v="Weekly"/>
    <s v="Good"/>
    <x v="1"/>
  </r>
  <r>
    <s v="EMP0929"/>
    <n v="27"/>
    <s v="Male"/>
    <s v="Project Manager"/>
    <s v="Education"/>
    <n v="22"/>
    <s v="Hybrid"/>
    <n v="42"/>
    <n v="6"/>
    <n v="4"/>
    <s v="Low"/>
    <s v="Anxiety"/>
    <s v="No"/>
    <s v="Increase"/>
    <n v="1"/>
    <s v="Satisfied"/>
    <n v="4"/>
    <s v="None"/>
    <s v="Good"/>
    <x v="4"/>
  </r>
  <r>
    <s v="EMP0930"/>
    <n v="22"/>
    <s v="Male"/>
    <s v="Project Manager"/>
    <s v="Finance"/>
    <n v="15"/>
    <s v="Remote"/>
    <n v="39"/>
    <n v="10"/>
    <n v="4"/>
    <s v="Low"/>
    <s v="Anxiety"/>
    <s v="No"/>
    <s v="No Change"/>
    <n v="4"/>
    <s v="Neutral"/>
    <n v="1"/>
    <s v="Weekly"/>
    <s v="Average"/>
    <x v="3"/>
  </r>
  <r>
    <s v="EMP0931"/>
    <n v="41"/>
    <s v="Prefer not to say"/>
    <s v="Designer"/>
    <s v="Education"/>
    <n v="23"/>
    <s v="Remote"/>
    <n v="34"/>
    <n v="8"/>
    <n v="1"/>
    <s v="Low"/>
    <s v="Depression"/>
    <s v="No"/>
    <s v="No Change"/>
    <n v="2"/>
    <s v="Neutral"/>
    <n v="2"/>
    <s v="Weekly"/>
    <s v="Poor"/>
    <x v="1"/>
  </r>
  <r>
    <s v="EMP0932"/>
    <n v="58"/>
    <s v="Male"/>
    <s v="Designer"/>
    <s v="Retail"/>
    <n v="28"/>
    <s v="Remote"/>
    <n v="58"/>
    <n v="15"/>
    <n v="2"/>
    <s v="Low"/>
    <s v="Anxiety"/>
    <s v="No"/>
    <s v="Increase"/>
    <n v="4"/>
    <s v="Neutral"/>
    <n v="3"/>
    <s v="Weekly"/>
    <s v="Poor"/>
    <x v="4"/>
  </r>
  <r>
    <s v="EMP0933"/>
    <n v="30"/>
    <s v="Male"/>
    <s v="HR"/>
    <s v="Retail"/>
    <n v="23"/>
    <s v="Remote"/>
    <n v="36"/>
    <n v="3"/>
    <n v="4"/>
    <s v="Low"/>
    <s v="Depression"/>
    <s v="Yes"/>
    <s v="No Change"/>
    <n v="4"/>
    <s v="Neutral"/>
    <n v="3"/>
    <s v="Weekly"/>
    <s v="Poor"/>
    <x v="5"/>
  </r>
  <r>
    <s v="EMP0934"/>
    <n v="22"/>
    <s v="Prefer not to say"/>
    <s v="Project Manager"/>
    <s v="Manufacturing"/>
    <n v="15"/>
    <s v="Remote"/>
    <n v="52"/>
    <n v="15"/>
    <n v="2"/>
    <s v="Medium"/>
    <s v="Depression"/>
    <s v="No"/>
    <s v="Increase"/>
    <n v="1"/>
    <s v="Satisfied"/>
    <n v="5"/>
    <s v="None"/>
    <s v="Good"/>
    <x v="3"/>
  </r>
  <r>
    <s v="EMP0935"/>
    <n v="34"/>
    <s v="Male"/>
    <s v="Software Engineer"/>
    <s v="Manufacturing"/>
    <n v="8"/>
    <s v="Remote"/>
    <n v="51"/>
    <n v="5"/>
    <n v="2"/>
    <s v="Medium"/>
    <s v="Anxiety"/>
    <s v="No"/>
    <s v="Decrease"/>
    <n v="4"/>
    <s v="Satisfied"/>
    <n v="2"/>
    <s v="Daily"/>
    <s v="Average"/>
    <x v="1"/>
  </r>
  <r>
    <s v="EMP0936"/>
    <n v="48"/>
    <s v="Female"/>
    <s v="Software Engineer"/>
    <s v="Manufacturing"/>
    <n v="25"/>
    <s v="Onsite"/>
    <n v="31"/>
    <n v="10"/>
    <n v="1"/>
    <s v="Low"/>
    <s v="None"/>
    <s v="No"/>
    <s v="No Change"/>
    <n v="2"/>
    <s v="Satisfied"/>
    <n v="5"/>
    <s v="Weekly"/>
    <s v="Good"/>
    <x v="2"/>
  </r>
  <r>
    <s v="EMP0937"/>
    <n v="29"/>
    <s v="Non-binary"/>
    <s v="Data Scientist"/>
    <s v="Retail"/>
    <n v="10"/>
    <s v="Hybrid"/>
    <n v="47"/>
    <n v="5"/>
    <n v="3"/>
    <s v="Medium"/>
    <s v="Burnout"/>
    <s v="Yes"/>
    <s v="Increase"/>
    <n v="3"/>
    <s v="Unsatisfied"/>
    <n v="4"/>
    <s v="None"/>
    <s v="Average"/>
    <x v="3"/>
  </r>
  <r>
    <s v="EMP0938"/>
    <n v="47"/>
    <s v="Male"/>
    <s v="Marketing"/>
    <s v="IT"/>
    <n v="2"/>
    <s v="Onsite"/>
    <n v="55"/>
    <n v="9"/>
    <n v="1"/>
    <s v="Low"/>
    <s v="Anxiety"/>
    <s v="No"/>
    <s v="Increase"/>
    <n v="1"/>
    <s v="Satisfied"/>
    <n v="5"/>
    <s v="None"/>
    <s v="Good"/>
    <x v="1"/>
  </r>
  <r>
    <s v="EMP0939"/>
    <n v="51"/>
    <s v="Non-binary"/>
    <s v="HR"/>
    <s v="Healthcare"/>
    <n v="13"/>
    <s v="Remote"/>
    <n v="53"/>
    <n v="3"/>
    <n v="2"/>
    <s v="High"/>
    <s v="Anxiety"/>
    <s v="Yes"/>
    <s v="Decrease"/>
    <n v="3"/>
    <s v="Neutral"/>
    <n v="5"/>
    <s v="Weekly"/>
    <s v="Average"/>
    <x v="2"/>
  </r>
  <r>
    <s v="EMP0940"/>
    <n v="60"/>
    <s v="Female"/>
    <s v="Software Engineer"/>
    <s v="Healthcare"/>
    <n v="24"/>
    <s v="Remote"/>
    <n v="40"/>
    <n v="13"/>
    <n v="4"/>
    <s v="Medium"/>
    <s v="None"/>
    <s v="No"/>
    <s v="Increase"/>
    <n v="5"/>
    <s v="Neutral"/>
    <n v="3"/>
    <s v="Daily"/>
    <s v="Good"/>
    <x v="2"/>
  </r>
  <r>
    <s v="EMP0941"/>
    <n v="48"/>
    <s v="Non-binary"/>
    <s v="Marketing"/>
    <s v="Manufacturing"/>
    <n v="29"/>
    <s v="Onsite"/>
    <n v="46"/>
    <n v="9"/>
    <n v="2"/>
    <s v="High"/>
    <s v="Burnout"/>
    <s v="Yes"/>
    <s v="Decrease"/>
    <n v="3"/>
    <s v="Neutral"/>
    <n v="4"/>
    <s v="None"/>
    <s v="Good"/>
    <x v="2"/>
  </r>
  <r>
    <s v="EMP0942"/>
    <n v="38"/>
    <s v="Prefer not to say"/>
    <s v="HR"/>
    <s v="Retail"/>
    <n v="5"/>
    <s v="Onsite"/>
    <n v="37"/>
    <n v="0"/>
    <n v="3"/>
    <s v="Medium"/>
    <s v="Anxiety"/>
    <s v="Yes"/>
    <s v="Decrease"/>
    <n v="5"/>
    <s v="Neutral"/>
    <n v="1"/>
    <s v="Weekly"/>
    <s v="Average"/>
    <x v="3"/>
  </r>
  <r>
    <s v="EMP0943"/>
    <n v="58"/>
    <s v="Female"/>
    <s v="Sales"/>
    <s v="Consulting"/>
    <n v="9"/>
    <s v="Onsite"/>
    <n v="32"/>
    <n v="11"/>
    <n v="3"/>
    <s v="High"/>
    <s v="Burnout"/>
    <s v="Yes"/>
    <s v="No Change"/>
    <n v="4"/>
    <s v="Satisfied"/>
    <n v="1"/>
    <s v="None"/>
    <s v="Average"/>
    <x v="4"/>
  </r>
  <r>
    <s v="EMP0944"/>
    <n v="35"/>
    <s v="Non-binary"/>
    <s v="Project Manager"/>
    <s v="Retail"/>
    <n v="34"/>
    <s v="Hybrid"/>
    <n v="20"/>
    <n v="12"/>
    <n v="5"/>
    <s v="Medium"/>
    <s v="None"/>
    <s v="No"/>
    <s v="No Change"/>
    <n v="2"/>
    <s v="Satisfied"/>
    <n v="2"/>
    <s v="Daily"/>
    <s v="Good"/>
    <x v="1"/>
  </r>
  <r>
    <s v="EMP0945"/>
    <n v="32"/>
    <s v="Female"/>
    <s v="Designer"/>
    <s v="IT"/>
    <n v="33"/>
    <s v="Onsite"/>
    <n v="55"/>
    <n v="10"/>
    <n v="2"/>
    <s v="High"/>
    <s v="Anxiety"/>
    <s v="No"/>
    <s v="Increase"/>
    <n v="3"/>
    <s v="Satisfied"/>
    <n v="3"/>
    <s v="Weekly"/>
    <s v="Good"/>
    <x v="5"/>
  </r>
  <r>
    <s v="EMP0946"/>
    <n v="30"/>
    <s v="Male"/>
    <s v="Data Scientist"/>
    <s v="Manufacturing"/>
    <n v="31"/>
    <s v="Remote"/>
    <n v="36"/>
    <n v="6"/>
    <n v="1"/>
    <s v="High"/>
    <s v="None"/>
    <s v="Yes"/>
    <s v="Increase"/>
    <n v="5"/>
    <s v="Neutral"/>
    <n v="2"/>
    <s v="Daily"/>
    <s v="Average"/>
    <x v="5"/>
  </r>
  <r>
    <s v="EMP0947"/>
    <n v="29"/>
    <s v="Male"/>
    <s v="Software Engineer"/>
    <s v="Healthcare"/>
    <n v="30"/>
    <s v="Hybrid"/>
    <n v="48"/>
    <n v="2"/>
    <n v="2"/>
    <s v="Medium"/>
    <s v="None"/>
    <s v="Yes"/>
    <s v="No Change"/>
    <n v="4"/>
    <s v="Satisfied"/>
    <n v="5"/>
    <s v="Daily"/>
    <s v="Average"/>
    <x v="2"/>
  </r>
  <r>
    <s v="EMP0948"/>
    <n v="45"/>
    <s v="Prefer not to say"/>
    <s v="Sales"/>
    <s v="Finance"/>
    <n v="9"/>
    <s v="Hybrid"/>
    <n v="42"/>
    <n v="5"/>
    <n v="5"/>
    <s v="Medium"/>
    <s v="Burnout"/>
    <s v="No"/>
    <s v="Decrease"/>
    <n v="1"/>
    <s v="Unsatisfied"/>
    <n v="5"/>
    <s v="Weekly"/>
    <s v="Poor"/>
    <x v="5"/>
  </r>
  <r>
    <s v="EMP0949"/>
    <n v="45"/>
    <s v="Non-binary"/>
    <s v="Software Engineer"/>
    <s v="Healthcare"/>
    <n v="5"/>
    <s v="Remote"/>
    <n v="33"/>
    <n v="12"/>
    <n v="4"/>
    <s v="Low"/>
    <s v="Anxiety"/>
    <s v="No"/>
    <s v="Decrease"/>
    <n v="4"/>
    <s v="Neutral"/>
    <n v="2"/>
    <s v="None"/>
    <s v="Good"/>
    <x v="1"/>
  </r>
  <r>
    <s v="EMP0950"/>
    <n v="41"/>
    <s v="Female"/>
    <s v="Software Engineer"/>
    <s v="Consulting"/>
    <n v="30"/>
    <s v="Remote"/>
    <n v="45"/>
    <n v="12"/>
    <n v="4"/>
    <s v="Low"/>
    <s v="Anxiety"/>
    <s v="No"/>
    <s v="Decrease"/>
    <n v="1"/>
    <s v="Satisfied"/>
    <n v="5"/>
    <s v="Daily"/>
    <s v="Good"/>
    <x v="4"/>
  </r>
  <r>
    <s v="EMP0951"/>
    <n v="56"/>
    <s v="Prefer not to say"/>
    <s v="Designer"/>
    <s v="Finance"/>
    <n v="2"/>
    <s v="Remote"/>
    <n v="43"/>
    <n v="14"/>
    <n v="4"/>
    <s v="Medium"/>
    <s v="None"/>
    <s v="No"/>
    <s v="Decrease"/>
    <n v="1"/>
    <s v="Unsatisfied"/>
    <n v="2"/>
    <s v="Daily"/>
    <s v="Good"/>
    <x v="2"/>
  </r>
  <r>
    <s v="EMP0952"/>
    <n v="49"/>
    <s v="Non-binary"/>
    <s v="Software Engineer"/>
    <s v="Finance"/>
    <n v="5"/>
    <s v="Remote"/>
    <n v="59"/>
    <n v="3"/>
    <n v="5"/>
    <s v="Low"/>
    <s v="Depression"/>
    <s v="Yes"/>
    <s v="Decrease"/>
    <n v="2"/>
    <s v="Neutral"/>
    <n v="2"/>
    <s v="Daily"/>
    <s v="Good"/>
    <x v="3"/>
  </r>
  <r>
    <s v="EMP0953"/>
    <n v="32"/>
    <s v="Male"/>
    <s v="Marketing"/>
    <s v="Healthcare"/>
    <n v="32"/>
    <s v="Onsite"/>
    <n v="26"/>
    <n v="12"/>
    <n v="3"/>
    <s v="High"/>
    <s v="Anxiety"/>
    <s v="Yes"/>
    <s v="No Change"/>
    <n v="1"/>
    <s v="Unsatisfied"/>
    <n v="2"/>
    <s v="None"/>
    <s v="Good"/>
    <x v="2"/>
  </r>
  <r>
    <s v="EMP0954"/>
    <n v="58"/>
    <s v="Male"/>
    <s v="Sales"/>
    <s v="Finance"/>
    <n v="32"/>
    <s v="Hybrid"/>
    <n v="47"/>
    <n v="7"/>
    <n v="5"/>
    <s v="Low"/>
    <s v="Depression"/>
    <s v="No"/>
    <s v="Decrease"/>
    <n v="1"/>
    <s v="Satisfied"/>
    <n v="3"/>
    <s v="Weekly"/>
    <s v="Poor"/>
    <x v="4"/>
  </r>
  <r>
    <s v="EMP0955"/>
    <n v="41"/>
    <s v="Female"/>
    <s v="Marketing"/>
    <s v="Finance"/>
    <n v="3"/>
    <s v="Remote"/>
    <n v="27"/>
    <n v="1"/>
    <n v="2"/>
    <s v="Medium"/>
    <s v="None"/>
    <s v="Yes"/>
    <s v="Increase"/>
    <n v="2"/>
    <s v="Neutral"/>
    <n v="1"/>
    <s v="Weekly"/>
    <s v="Good"/>
    <x v="2"/>
  </r>
  <r>
    <s v="EMP0956"/>
    <n v="42"/>
    <s v="Prefer not to say"/>
    <s v="Data Scientist"/>
    <s v="Finance"/>
    <n v="22"/>
    <s v="Hybrid"/>
    <n v="50"/>
    <n v="2"/>
    <n v="2"/>
    <s v="High"/>
    <s v="None"/>
    <s v="No"/>
    <s v="Increase"/>
    <n v="5"/>
    <s v="Neutral"/>
    <n v="1"/>
    <s v="None"/>
    <s v="Good"/>
    <x v="1"/>
  </r>
  <r>
    <s v="EMP0957"/>
    <n v="36"/>
    <s v="Non-binary"/>
    <s v="HR"/>
    <s v="Retail"/>
    <n v="11"/>
    <s v="Remote"/>
    <n v="29"/>
    <n v="4"/>
    <n v="2"/>
    <s v="Low"/>
    <s v="Depression"/>
    <s v="Yes"/>
    <s v="No Change"/>
    <n v="3"/>
    <s v="Unsatisfied"/>
    <n v="3"/>
    <s v="None"/>
    <s v="Average"/>
    <x v="0"/>
  </r>
  <r>
    <s v="EMP0958"/>
    <n v="31"/>
    <s v="Male"/>
    <s v="Marketing"/>
    <s v="Healthcare"/>
    <n v="3"/>
    <s v="Hybrid"/>
    <n v="53"/>
    <n v="6"/>
    <n v="5"/>
    <s v="Low"/>
    <s v="None"/>
    <s v="Yes"/>
    <s v="Increase"/>
    <n v="5"/>
    <s v="Neutral"/>
    <n v="1"/>
    <s v="Daily"/>
    <s v="Poor"/>
    <x v="1"/>
  </r>
  <r>
    <s v="EMP0959"/>
    <n v="46"/>
    <s v="Prefer not to say"/>
    <s v="Designer"/>
    <s v="Finance"/>
    <n v="26"/>
    <s v="Hybrid"/>
    <n v="22"/>
    <n v="13"/>
    <n v="3"/>
    <s v="High"/>
    <s v="Depression"/>
    <s v="Yes"/>
    <s v="Decrease"/>
    <n v="4"/>
    <s v="Satisfied"/>
    <n v="4"/>
    <s v="Daily"/>
    <s v="Good"/>
    <x v="0"/>
  </r>
  <r>
    <s v="EMP0960"/>
    <n v="41"/>
    <s v="Prefer not to say"/>
    <s v="Marketing"/>
    <s v="Education"/>
    <n v="14"/>
    <s v="Onsite"/>
    <n v="42"/>
    <n v="2"/>
    <n v="4"/>
    <s v="High"/>
    <s v="Depression"/>
    <s v="Yes"/>
    <s v="Increase"/>
    <n v="3"/>
    <s v="Neutral"/>
    <n v="2"/>
    <s v="Weekly"/>
    <s v="Good"/>
    <x v="2"/>
  </r>
  <r>
    <s v="EMP0961"/>
    <n v="52"/>
    <s v="Male"/>
    <s v="HR"/>
    <s v="Retail"/>
    <n v="17"/>
    <s v="Remote"/>
    <n v="20"/>
    <n v="13"/>
    <n v="1"/>
    <s v="Medium"/>
    <s v="None"/>
    <s v="Yes"/>
    <s v="Increase"/>
    <n v="4"/>
    <s v="Satisfied"/>
    <n v="2"/>
    <s v="Daily"/>
    <s v="Average"/>
    <x v="4"/>
  </r>
  <r>
    <s v="EMP0962"/>
    <n v="51"/>
    <s v="Female"/>
    <s v="HR"/>
    <s v="Manufacturing"/>
    <n v="35"/>
    <s v="Hybrid"/>
    <n v="20"/>
    <n v="11"/>
    <n v="2"/>
    <s v="Medium"/>
    <s v="Burnout"/>
    <s v="Yes"/>
    <s v="Increase"/>
    <n v="5"/>
    <s v="Unsatisfied"/>
    <n v="2"/>
    <s v="Daily"/>
    <s v="Poor"/>
    <x v="1"/>
  </r>
  <r>
    <s v="EMP0963"/>
    <n v="23"/>
    <s v="Non-binary"/>
    <s v="Sales"/>
    <s v="IT"/>
    <n v="22"/>
    <s v="Hybrid"/>
    <n v="32"/>
    <n v="5"/>
    <n v="4"/>
    <s v="High"/>
    <s v="Anxiety"/>
    <s v="Yes"/>
    <s v="Increase"/>
    <n v="3"/>
    <s v="Unsatisfied"/>
    <n v="3"/>
    <s v="Daily"/>
    <s v="Average"/>
    <x v="0"/>
  </r>
  <r>
    <s v="EMP0964"/>
    <n v="34"/>
    <s v="Female"/>
    <s v="Project Manager"/>
    <s v="Education"/>
    <n v="14"/>
    <s v="Remote"/>
    <n v="44"/>
    <n v="7"/>
    <n v="3"/>
    <s v="High"/>
    <s v="Depression"/>
    <s v="Yes"/>
    <s v="Increase"/>
    <n v="1"/>
    <s v="Unsatisfied"/>
    <n v="2"/>
    <s v="None"/>
    <s v="Average"/>
    <x v="3"/>
  </r>
  <r>
    <s v="EMP0965"/>
    <n v="37"/>
    <s v="Prefer not to say"/>
    <s v="Sales"/>
    <s v="Education"/>
    <n v="20"/>
    <s v="Onsite"/>
    <n v="38"/>
    <n v="1"/>
    <n v="4"/>
    <s v="Medium"/>
    <s v="Anxiety"/>
    <s v="No"/>
    <s v="No Change"/>
    <n v="2"/>
    <s v="Satisfied"/>
    <n v="4"/>
    <s v="Weekly"/>
    <s v="Poor"/>
    <x v="4"/>
  </r>
  <r>
    <s v="EMP0966"/>
    <n v="40"/>
    <s v="Non-binary"/>
    <s v="Project Manager"/>
    <s v="Consulting"/>
    <n v="4"/>
    <s v="Hybrid"/>
    <n v="44"/>
    <n v="2"/>
    <n v="3"/>
    <s v="Low"/>
    <s v="Burnout"/>
    <s v="No"/>
    <s v="Decrease"/>
    <n v="3"/>
    <s v="Satisfied"/>
    <n v="3"/>
    <s v="Weekly"/>
    <s v="Average"/>
    <x v="2"/>
  </r>
  <r>
    <s v="EMP0967"/>
    <n v="46"/>
    <s v="Non-binary"/>
    <s v="Sales"/>
    <s v="Consulting"/>
    <n v="11"/>
    <s v="Remote"/>
    <n v="43"/>
    <n v="10"/>
    <n v="2"/>
    <s v="High"/>
    <s v="None"/>
    <s v="No"/>
    <s v="Decrease"/>
    <n v="3"/>
    <s v="Unsatisfied"/>
    <n v="1"/>
    <s v="Daily"/>
    <s v="Poor"/>
    <x v="4"/>
  </r>
  <r>
    <s v="EMP0968"/>
    <n v="28"/>
    <s v="Prefer not to say"/>
    <s v="Data Scientist"/>
    <s v="Education"/>
    <n v="5"/>
    <s v="Hybrid"/>
    <n v="45"/>
    <n v="3"/>
    <n v="2"/>
    <s v="Medium"/>
    <s v="Depression"/>
    <s v="No"/>
    <s v="No Change"/>
    <n v="2"/>
    <s v="Neutral"/>
    <n v="3"/>
    <s v="None"/>
    <s v="Average"/>
    <x v="4"/>
  </r>
  <r>
    <s v="EMP0969"/>
    <n v="26"/>
    <s v="Male"/>
    <s v="HR"/>
    <s v="Education"/>
    <n v="3"/>
    <s v="Hybrid"/>
    <n v="24"/>
    <n v="5"/>
    <n v="1"/>
    <s v="Low"/>
    <s v="Depression"/>
    <s v="Yes"/>
    <s v="Decrease"/>
    <n v="3"/>
    <s v="Neutral"/>
    <n v="5"/>
    <s v="Weekly"/>
    <s v="Average"/>
    <x v="4"/>
  </r>
  <r>
    <s v="EMP0970"/>
    <n v="25"/>
    <s v="Female"/>
    <s v="Designer"/>
    <s v="Healthcare"/>
    <n v="31"/>
    <s v="Hybrid"/>
    <n v="37"/>
    <n v="7"/>
    <n v="3"/>
    <s v="High"/>
    <s v="Burnout"/>
    <s v="Yes"/>
    <s v="Increase"/>
    <n v="3"/>
    <s v="Neutral"/>
    <n v="1"/>
    <s v="Daily"/>
    <s v="Poor"/>
    <x v="2"/>
  </r>
  <r>
    <s v="EMP0971"/>
    <n v="30"/>
    <s v="Female"/>
    <s v="Software Engineer"/>
    <s v="Finance"/>
    <n v="22"/>
    <s v="Remote"/>
    <n v="48"/>
    <n v="5"/>
    <n v="4"/>
    <s v="Medium"/>
    <s v="None"/>
    <s v="Yes"/>
    <s v="Decrease"/>
    <n v="4"/>
    <s v="Unsatisfied"/>
    <n v="3"/>
    <s v="None"/>
    <s v="Good"/>
    <x v="5"/>
  </r>
  <r>
    <s v="EMP0972"/>
    <n v="57"/>
    <s v="Male"/>
    <s v="Software Engineer"/>
    <s v="IT"/>
    <n v="9"/>
    <s v="Onsite"/>
    <n v="29"/>
    <n v="11"/>
    <n v="1"/>
    <s v="Medium"/>
    <s v="Burnout"/>
    <s v="No"/>
    <s v="Increase"/>
    <n v="3"/>
    <s v="Satisfied"/>
    <n v="3"/>
    <s v="Daily"/>
    <s v="Good"/>
    <x v="0"/>
  </r>
  <r>
    <s v="EMP0973"/>
    <n v="33"/>
    <s v="Male"/>
    <s v="Software Engineer"/>
    <s v="Finance"/>
    <n v="30"/>
    <s v="Remote"/>
    <n v="26"/>
    <n v="9"/>
    <n v="3"/>
    <s v="Low"/>
    <s v="Burnout"/>
    <s v="No"/>
    <s v="Increase"/>
    <n v="2"/>
    <s v="Unsatisfied"/>
    <n v="4"/>
    <s v="Daily"/>
    <s v="Average"/>
    <x v="1"/>
  </r>
  <r>
    <s v="EMP0974"/>
    <n v="38"/>
    <s v="Female"/>
    <s v="Software Engineer"/>
    <s v="Manufacturing"/>
    <n v="9"/>
    <s v="Remote"/>
    <n v="60"/>
    <n v="2"/>
    <n v="2"/>
    <s v="High"/>
    <s v="Depression"/>
    <s v="No"/>
    <s v="Decrease"/>
    <n v="3"/>
    <s v="Unsatisfied"/>
    <n v="3"/>
    <s v="Daily"/>
    <s v="Poor"/>
    <x v="3"/>
  </r>
  <r>
    <s v="EMP0975"/>
    <n v="43"/>
    <s v="Female"/>
    <s v="HR"/>
    <s v="Consulting"/>
    <n v="24"/>
    <s v="Remote"/>
    <n v="22"/>
    <n v="3"/>
    <n v="4"/>
    <s v="High"/>
    <s v="Burnout"/>
    <s v="Yes"/>
    <s v="Increase"/>
    <n v="3"/>
    <s v="Satisfied"/>
    <n v="5"/>
    <s v="None"/>
    <s v="Average"/>
    <x v="0"/>
  </r>
  <r>
    <s v="EMP0976"/>
    <n v="43"/>
    <s v="Prefer not to say"/>
    <s v="HR"/>
    <s v="Finance"/>
    <n v="26"/>
    <s v="Remote"/>
    <n v="21"/>
    <n v="0"/>
    <n v="4"/>
    <s v="Medium"/>
    <s v="Burnout"/>
    <s v="Yes"/>
    <s v="Increase"/>
    <n v="4"/>
    <s v="Satisfied"/>
    <n v="2"/>
    <s v="Daily"/>
    <s v="Average"/>
    <x v="0"/>
  </r>
  <r>
    <s v="EMP0977"/>
    <n v="44"/>
    <s v="Female"/>
    <s v="Sales"/>
    <s v="IT"/>
    <n v="23"/>
    <s v="Onsite"/>
    <n v="49"/>
    <n v="2"/>
    <n v="3"/>
    <s v="High"/>
    <s v="Depression"/>
    <s v="Yes"/>
    <s v="Increase"/>
    <n v="1"/>
    <s v="Satisfied"/>
    <n v="5"/>
    <s v="Weekly"/>
    <s v="Good"/>
    <x v="3"/>
  </r>
  <r>
    <s v="EMP0978"/>
    <n v="52"/>
    <s v="Prefer not to say"/>
    <s v="Sales"/>
    <s v="Manufacturing"/>
    <n v="3"/>
    <s v="Remote"/>
    <n v="38"/>
    <n v="7"/>
    <n v="4"/>
    <s v="Medium"/>
    <s v="Burnout"/>
    <s v="No"/>
    <s v="Increase"/>
    <n v="1"/>
    <s v="Unsatisfied"/>
    <n v="2"/>
    <s v="None"/>
    <s v="Average"/>
    <x v="5"/>
  </r>
  <r>
    <s v="EMP0979"/>
    <n v="25"/>
    <s v="Male"/>
    <s v="Project Manager"/>
    <s v="Education"/>
    <n v="12"/>
    <s v="Hybrid"/>
    <n v="26"/>
    <n v="1"/>
    <n v="3"/>
    <s v="Low"/>
    <s v="Burnout"/>
    <s v="Yes"/>
    <s v="Increase"/>
    <n v="1"/>
    <s v="Satisfied"/>
    <n v="3"/>
    <s v="Weekly"/>
    <s v="Average"/>
    <x v="4"/>
  </r>
  <r>
    <s v="EMP0980"/>
    <n v="28"/>
    <s v="Female"/>
    <s v="Project Manager"/>
    <s v="IT"/>
    <n v="19"/>
    <s v="Remote"/>
    <n v="50"/>
    <n v="13"/>
    <n v="5"/>
    <s v="Low"/>
    <s v="Depression"/>
    <s v="Yes"/>
    <s v="No Change"/>
    <n v="1"/>
    <s v="Unsatisfied"/>
    <n v="3"/>
    <s v="Weekly"/>
    <s v="Poor"/>
    <x v="0"/>
  </r>
  <r>
    <s v="EMP0981"/>
    <n v="26"/>
    <s v="Non-binary"/>
    <s v="Data Scientist"/>
    <s v="Healthcare"/>
    <n v="5"/>
    <s v="Onsite"/>
    <n v="26"/>
    <n v="10"/>
    <n v="2"/>
    <s v="High"/>
    <s v="None"/>
    <s v="Yes"/>
    <s v="Decrease"/>
    <n v="2"/>
    <s v="Neutral"/>
    <n v="4"/>
    <s v="Weekly"/>
    <s v="Average"/>
    <x v="3"/>
  </r>
  <r>
    <s v="EMP0982"/>
    <n v="32"/>
    <s v="Female"/>
    <s v="Designer"/>
    <s v="IT"/>
    <n v="32"/>
    <s v="Hybrid"/>
    <n v="26"/>
    <n v="5"/>
    <n v="3"/>
    <s v="High"/>
    <s v="None"/>
    <s v="Yes"/>
    <s v="Decrease"/>
    <n v="5"/>
    <s v="Unsatisfied"/>
    <n v="1"/>
    <s v="Weekly"/>
    <s v="Poor"/>
    <x v="0"/>
  </r>
  <r>
    <s v="EMP0983"/>
    <n v="28"/>
    <s v="Female"/>
    <s v="Data Scientist"/>
    <s v="Education"/>
    <n v="14"/>
    <s v="Onsite"/>
    <n v="30"/>
    <n v="9"/>
    <n v="2"/>
    <s v="High"/>
    <s v="None"/>
    <s v="No"/>
    <s v="No Change"/>
    <n v="1"/>
    <s v="Unsatisfied"/>
    <n v="3"/>
    <s v="Weekly"/>
    <s v="Average"/>
    <x v="0"/>
  </r>
  <r>
    <s v="EMP0984"/>
    <n v="32"/>
    <s v="Prefer not to say"/>
    <s v="Project Manager"/>
    <s v="Consulting"/>
    <n v="33"/>
    <s v="Onsite"/>
    <n v="50"/>
    <n v="7"/>
    <n v="3"/>
    <s v="High"/>
    <s v="None"/>
    <s v="Yes"/>
    <s v="No Change"/>
    <n v="4"/>
    <s v="Satisfied"/>
    <n v="2"/>
    <s v="None"/>
    <s v="Good"/>
    <x v="2"/>
  </r>
  <r>
    <s v="EMP0985"/>
    <n v="25"/>
    <s v="Non-binary"/>
    <s v="Project Manager"/>
    <s v="IT"/>
    <n v="24"/>
    <s v="Hybrid"/>
    <n v="60"/>
    <n v="10"/>
    <n v="4"/>
    <s v="Medium"/>
    <s v="Anxiety"/>
    <s v="Yes"/>
    <s v="No Change"/>
    <n v="3"/>
    <s v="Unsatisfied"/>
    <n v="3"/>
    <s v="Daily"/>
    <s v="Average"/>
    <x v="3"/>
  </r>
  <r>
    <s v="EMP0986"/>
    <n v="57"/>
    <s v="Non-binary"/>
    <s v="Software Engineer"/>
    <s v="Finance"/>
    <n v="17"/>
    <s v="Onsite"/>
    <n v="49"/>
    <n v="6"/>
    <n v="5"/>
    <s v="Low"/>
    <s v="Depression"/>
    <s v="No"/>
    <s v="No Change"/>
    <n v="2"/>
    <s v="Unsatisfied"/>
    <n v="5"/>
    <s v="None"/>
    <s v="Good"/>
    <x v="0"/>
  </r>
  <r>
    <s v="EMP0987"/>
    <n v="28"/>
    <s v="Non-binary"/>
    <s v="Marketing"/>
    <s v="Healthcare"/>
    <n v="2"/>
    <s v="Remote"/>
    <n v="48"/>
    <n v="9"/>
    <n v="2"/>
    <s v="Medium"/>
    <s v="Anxiety"/>
    <s v="No"/>
    <s v="Increase"/>
    <n v="3"/>
    <s v="Neutral"/>
    <n v="5"/>
    <s v="None"/>
    <s v="Poor"/>
    <x v="0"/>
  </r>
  <r>
    <s v="EMP0988"/>
    <n v="51"/>
    <s v="Male"/>
    <s v="HR"/>
    <s v="IT"/>
    <n v="9"/>
    <s v="Remote"/>
    <n v="39"/>
    <n v="4"/>
    <n v="5"/>
    <s v="Low"/>
    <s v="Burnout"/>
    <s v="No"/>
    <s v="Increase"/>
    <n v="2"/>
    <s v="Unsatisfied"/>
    <n v="1"/>
    <s v="Weekly"/>
    <s v="Average"/>
    <x v="5"/>
  </r>
  <r>
    <s v="EMP0989"/>
    <n v="60"/>
    <s v="Prefer not to say"/>
    <s v="Marketing"/>
    <s v="IT"/>
    <n v="8"/>
    <s v="Hybrid"/>
    <n v="52"/>
    <n v="15"/>
    <n v="2"/>
    <s v="High"/>
    <s v="None"/>
    <s v="No"/>
    <s v="No Change"/>
    <n v="4"/>
    <s v="Neutral"/>
    <n v="3"/>
    <s v="Weekly"/>
    <s v="Good"/>
    <x v="4"/>
  </r>
  <r>
    <s v="EMP0990"/>
    <n v="49"/>
    <s v="Female"/>
    <s v="Software Engineer"/>
    <s v="Healthcare"/>
    <n v="8"/>
    <s v="Remote"/>
    <n v="23"/>
    <n v="5"/>
    <n v="3"/>
    <s v="Medium"/>
    <s v="Anxiety"/>
    <s v="Yes"/>
    <s v="Increase"/>
    <n v="3"/>
    <s v="Satisfied"/>
    <n v="4"/>
    <s v="Weekly"/>
    <s v="Good"/>
    <x v="3"/>
  </r>
  <r>
    <s v="EMP0991"/>
    <n v="30"/>
    <s v="Male"/>
    <s v="Software Engineer"/>
    <s v="IT"/>
    <n v="1"/>
    <s v="Hybrid"/>
    <n v="51"/>
    <n v="8"/>
    <n v="4"/>
    <s v="Medium"/>
    <s v="Burnout"/>
    <s v="Yes"/>
    <s v="Decrease"/>
    <n v="5"/>
    <s v="Unsatisfied"/>
    <n v="5"/>
    <s v="None"/>
    <s v="Poor"/>
    <x v="2"/>
  </r>
  <r>
    <s v="EMP0992"/>
    <n v="35"/>
    <s v="Prefer not to say"/>
    <s v="Designer"/>
    <s v="Manufacturing"/>
    <n v="32"/>
    <s v="Onsite"/>
    <n v="28"/>
    <n v="14"/>
    <n v="5"/>
    <s v="Medium"/>
    <s v="Depression"/>
    <s v="No"/>
    <s v="Increase"/>
    <n v="1"/>
    <s v="Satisfied"/>
    <n v="1"/>
    <s v="Weekly"/>
    <s v="Poor"/>
    <x v="1"/>
  </r>
  <r>
    <s v="EMP0993"/>
    <n v="45"/>
    <s v="Non-binary"/>
    <s v="Software Engineer"/>
    <s v="Finance"/>
    <n v="21"/>
    <s v="Onsite"/>
    <n v="22"/>
    <n v="15"/>
    <n v="5"/>
    <s v="Low"/>
    <s v="None"/>
    <s v="Yes"/>
    <s v="No Change"/>
    <n v="3"/>
    <s v="Neutral"/>
    <n v="1"/>
    <s v="Weekly"/>
    <s v="Average"/>
    <x v="2"/>
  </r>
  <r>
    <s v="EMP0994"/>
    <n v="42"/>
    <s v="Non-binary"/>
    <s v="Project Manager"/>
    <s v="Education"/>
    <n v="13"/>
    <s v="Remote"/>
    <n v="50"/>
    <n v="1"/>
    <n v="3"/>
    <s v="Medium"/>
    <s v="Burnout"/>
    <s v="No"/>
    <s v="No Change"/>
    <n v="2"/>
    <s v="Satisfied"/>
    <n v="3"/>
    <s v="Daily"/>
    <s v="Poor"/>
    <x v="5"/>
  </r>
  <r>
    <s v="EMP0995"/>
    <n v="38"/>
    <s v="Non-binary"/>
    <s v="Software Engineer"/>
    <s v="Retail"/>
    <n v="24"/>
    <s v="Remote"/>
    <n v="21"/>
    <n v="13"/>
    <n v="3"/>
    <s v="Low"/>
    <s v="None"/>
    <s v="Yes"/>
    <s v="Increase"/>
    <n v="4"/>
    <s v="Satisfied"/>
    <n v="3"/>
    <s v="None"/>
    <s v="Poor"/>
    <x v="4"/>
  </r>
  <r>
    <s v="EMP0996"/>
    <n v="36"/>
    <s v="Non-binary"/>
    <s v="Sales"/>
    <s v="IT"/>
    <n v="5"/>
    <s v="Remote"/>
    <n v="28"/>
    <n v="14"/>
    <n v="1"/>
    <s v="Medium"/>
    <s v="None"/>
    <s v="No"/>
    <s v="Decrease"/>
    <n v="2"/>
    <s v="Neutral"/>
    <n v="2"/>
    <s v="Weekly"/>
    <s v="Poor"/>
    <x v="0"/>
  </r>
  <r>
    <s v="EMP0997"/>
    <n v="23"/>
    <s v="Female"/>
    <s v="Project Manager"/>
    <s v="Healthcare"/>
    <n v="12"/>
    <s v="Onsite"/>
    <n v="21"/>
    <n v="14"/>
    <n v="3"/>
    <s v="Low"/>
    <s v="Depression"/>
    <s v="No"/>
    <s v="No Change"/>
    <n v="4"/>
    <s v="Neutral"/>
    <n v="5"/>
    <s v="Daily"/>
    <s v="Good"/>
    <x v="5"/>
  </r>
  <r>
    <s v="EMP0998"/>
    <n v="41"/>
    <s v="Non-binary"/>
    <s v="Project Manager"/>
    <s v="Manufacturing"/>
    <n v="8"/>
    <s v="Hybrid"/>
    <n v="58"/>
    <n v="15"/>
    <n v="4"/>
    <s v="Low"/>
    <s v="None"/>
    <s v="No"/>
    <s v="Decrease"/>
    <n v="2"/>
    <s v="Satisfied"/>
    <n v="2"/>
    <s v="Daily"/>
    <s v="Poor"/>
    <x v="3"/>
  </r>
  <r>
    <s v="EMP0999"/>
    <n v="43"/>
    <s v="Male"/>
    <s v="Marketing"/>
    <s v="Retail"/>
    <n v="10"/>
    <s v="Onsite"/>
    <n v="28"/>
    <n v="5"/>
    <n v="4"/>
    <s v="Low"/>
    <s v="Burnout"/>
    <s v="Yes"/>
    <s v="No Change"/>
    <n v="5"/>
    <s v="Unsatisfied"/>
    <n v="3"/>
    <s v="None"/>
    <s v="Average"/>
    <x v="4"/>
  </r>
  <r>
    <s v="EMP1000"/>
    <n v="53"/>
    <s v="Non-binary"/>
    <s v="Designer"/>
    <s v="Retail"/>
    <n v="10"/>
    <s v="Remote"/>
    <n v="41"/>
    <n v="2"/>
    <n v="1"/>
    <s v="High"/>
    <s v="Anxiety"/>
    <s v="Yes"/>
    <s v="Increase"/>
    <n v="5"/>
    <s v="Neutral"/>
    <n v="1"/>
    <s v="None"/>
    <s v="Poor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BA61D-3059-49EF-821D-B3F08DE225F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057A3-A65E-47FA-B6C5-0EA0AD7E49B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Age Group">
  <location ref="H3:I8" firstHeaderRow="1" firstDataRow="1" firstDataCol="1"/>
  <pivotFields count="6"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4DC75-580C-47A7-BF27-867E5B12F9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Employee ID" colHeaderCaption="">
  <location ref="A3:F1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type="topRight" dataOnly="0" labelOnly="1" outline="0" fieldPosition="0"/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2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 Details!$A$1:$E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5D016-3740-4104-9E92-DE5C1995B51F}" name="PivotTable1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9" firstHeaderRow="1" firstDataRow="1" firstDataCol="1"/>
  <pivotFields count="20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5563-AAD0-48CE-AD61-67B25E14B0B2}">
  <dimension ref="A1:T1001"/>
  <sheetViews>
    <sheetView topLeftCell="K1" zoomScaleNormal="100" workbookViewId="0">
      <selection activeCell="I17" sqref="I17"/>
    </sheetView>
  </sheetViews>
  <sheetFormatPr defaultRowHeight="14.4" x14ac:dyDescent="0.3"/>
  <cols>
    <col min="1" max="1" width="12.88671875" customWidth="1"/>
    <col min="2" max="2" width="6.6640625" bestFit="1" customWidth="1"/>
    <col min="3" max="3" width="14.6640625" bestFit="1" customWidth="1"/>
    <col min="4" max="4" width="16" bestFit="1" customWidth="1"/>
    <col min="5" max="5" width="13.109375" bestFit="1" customWidth="1"/>
    <col min="6" max="6" width="21.5546875" bestFit="1" customWidth="1"/>
    <col min="7" max="7" width="16.88671875" bestFit="1" customWidth="1"/>
    <col min="8" max="8" width="26.6640625" bestFit="1" customWidth="1"/>
    <col min="9" max="9" width="29.6640625" bestFit="1" customWidth="1"/>
    <col min="10" max="10" width="26.6640625" bestFit="1" customWidth="1"/>
    <col min="11" max="11" width="13.88671875" bestFit="1" customWidth="1"/>
    <col min="12" max="12" width="26.77734375" bestFit="1" customWidth="1"/>
    <col min="13" max="13" width="36.33203125" bestFit="1" customWidth="1"/>
    <col min="14" max="14" width="22.109375" bestFit="1" customWidth="1"/>
    <col min="15" max="15" width="24" bestFit="1" customWidth="1"/>
    <col min="16" max="16" width="32.77734375" bestFit="1" customWidth="1"/>
    <col min="17" max="17" width="37.33203125" bestFit="1" customWidth="1"/>
    <col min="18" max="18" width="18.21875" bestFit="1" customWidth="1"/>
    <col min="19" max="19" width="15.6640625" bestFit="1" customWidth="1"/>
    <col min="20" max="20" width="12.88671875" bestFit="1" customWidth="1"/>
  </cols>
  <sheetData>
    <row r="1" spans="1:20" s="2" customFormat="1" ht="15.6" x14ac:dyDescent="0.3">
      <c r="A1" s="18" t="s">
        <v>1065</v>
      </c>
      <c r="B1" s="19" t="s">
        <v>0</v>
      </c>
      <c r="C1" s="18" t="s">
        <v>1</v>
      </c>
      <c r="D1" s="18" t="s">
        <v>1051</v>
      </c>
      <c r="E1" s="18" t="s">
        <v>2</v>
      </c>
      <c r="F1" s="19" t="s">
        <v>1062</v>
      </c>
      <c r="G1" s="18" t="s">
        <v>1066</v>
      </c>
      <c r="H1" s="19" t="s">
        <v>1063</v>
      </c>
      <c r="I1" s="19" t="s">
        <v>1064</v>
      </c>
      <c r="J1" s="19" t="s">
        <v>1054</v>
      </c>
      <c r="K1" s="18" t="s">
        <v>1053</v>
      </c>
      <c r="L1" s="18" t="s">
        <v>1052</v>
      </c>
      <c r="M1" s="18" t="s">
        <v>1060</v>
      </c>
      <c r="N1" s="18" t="s">
        <v>1058</v>
      </c>
      <c r="O1" s="19" t="s">
        <v>1057</v>
      </c>
      <c r="P1" s="18" t="s">
        <v>1059</v>
      </c>
      <c r="Q1" s="19" t="s">
        <v>1061</v>
      </c>
      <c r="R1" s="18" t="s">
        <v>1056</v>
      </c>
      <c r="S1" s="18" t="s">
        <v>1055</v>
      </c>
      <c r="T1" s="18" t="s">
        <v>3</v>
      </c>
    </row>
    <row r="2" spans="1:20" x14ac:dyDescent="0.3">
      <c r="A2" t="s">
        <v>4</v>
      </c>
      <c r="B2">
        <v>32</v>
      </c>
      <c r="C2" t="s">
        <v>5</v>
      </c>
      <c r="D2" t="s">
        <v>6</v>
      </c>
      <c r="E2" t="s">
        <v>7</v>
      </c>
      <c r="F2">
        <v>13</v>
      </c>
      <c r="G2" t="s">
        <v>8</v>
      </c>
      <c r="H2">
        <v>47</v>
      </c>
      <c r="I2">
        <v>7</v>
      </c>
      <c r="J2">
        <v>2</v>
      </c>
      <c r="K2" t="s">
        <v>9</v>
      </c>
      <c r="L2" t="s">
        <v>10</v>
      </c>
      <c r="M2" t="s">
        <v>11</v>
      </c>
      <c r="N2" t="s">
        <v>12</v>
      </c>
      <c r="O2">
        <v>1</v>
      </c>
      <c r="P2" t="s">
        <v>13</v>
      </c>
      <c r="Q2">
        <v>1</v>
      </c>
      <c r="R2" t="s">
        <v>14</v>
      </c>
      <c r="S2" t="s">
        <v>15</v>
      </c>
      <c r="T2" t="s">
        <v>16</v>
      </c>
    </row>
    <row r="3" spans="1:20" x14ac:dyDescent="0.3">
      <c r="A3" t="s">
        <v>17</v>
      </c>
      <c r="B3">
        <v>40</v>
      </c>
      <c r="C3" t="s">
        <v>18</v>
      </c>
      <c r="D3" t="s">
        <v>19</v>
      </c>
      <c r="E3" t="s">
        <v>20</v>
      </c>
      <c r="F3">
        <v>3</v>
      </c>
      <c r="G3" t="s">
        <v>21</v>
      </c>
      <c r="H3">
        <v>52</v>
      </c>
      <c r="I3">
        <v>4</v>
      </c>
      <c r="J3">
        <v>1</v>
      </c>
      <c r="K3" t="s">
        <v>9</v>
      </c>
      <c r="L3" t="s">
        <v>22</v>
      </c>
      <c r="M3" t="s">
        <v>11</v>
      </c>
      <c r="N3" t="s">
        <v>23</v>
      </c>
      <c r="O3">
        <v>3</v>
      </c>
      <c r="P3" t="s">
        <v>24</v>
      </c>
      <c r="Q3">
        <v>2</v>
      </c>
      <c r="R3" t="s">
        <v>14</v>
      </c>
      <c r="S3" t="s">
        <v>15</v>
      </c>
      <c r="T3" t="s">
        <v>25</v>
      </c>
    </row>
    <row r="4" spans="1:20" x14ac:dyDescent="0.3">
      <c r="A4" t="s">
        <v>26</v>
      </c>
      <c r="B4">
        <v>59</v>
      </c>
      <c r="C4" t="s">
        <v>5</v>
      </c>
      <c r="D4" t="s">
        <v>27</v>
      </c>
      <c r="E4" t="s">
        <v>28</v>
      </c>
      <c r="F4">
        <v>22</v>
      </c>
      <c r="G4" t="s">
        <v>8</v>
      </c>
      <c r="H4">
        <v>46</v>
      </c>
      <c r="I4">
        <v>11</v>
      </c>
      <c r="J4">
        <v>5</v>
      </c>
      <c r="K4" t="s">
        <v>9</v>
      </c>
      <c r="L4" t="s">
        <v>22</v>
      </c>
      <c r="M4" t="s">
        <v>11</v>
      </c>
      <c r="N4" t="s">
        <v>29</v>
      </c>
      <c r="O4">
        <v>4</v>
      </c>
      <c r="P4" t="s">
        <v>13</v>
      </c>
      <c r="Q4">
        <v>5</v>
      </c>
      <c r="R4" t="s">
        <v>30</v>
      </c>
      <c r="S4" t="s">
        <v>31</v>
      </c>
      <c r="T4" t="s">
        <v>32</v>
      </c>
    </row>
    <row r="5" spans="1:20" x14ac:dyDescent="0.3">
      <c r="A5" t="s">
        <v>33</v>
      </c>
      <c r="B5">
        <v>27</v>
      </c>
      <c r="C5" t="s">
        <v>34</v>
      </c>
      <c r="D5" t="s">
        <v>27</v>
      </c>
      <c r="E5" t="s">
        <v>35</v>
      </c>
      <c r="F5">
        <v>20</v>
      </c>
      <c r="G5" t="s">
        <v>36</v>
      </c>
      <c r="H5">
        <v>32</v>
      </c>
      <c r="I5">
        <v>8</v>
      </c>
      <c r="J5">
        <v>4</v>
      </c>
      <c r="K5" t="s">
        <v>37</v>
      </c>
      <c r="L5" t="s">
        <v>10</v>
      </c>
      <c r="M5" t="s">
        <v>38</v>
      </c>
      <c r="N5" t="s">
        <v>23</v>
      </c>
      <c r="O5">
        <v>3</v>
      </c>
      <c r="P5" t="s">
        <v>13</v>
      </c>
      <c r="Q5">
        <v>3</v>
      </c>
      <c r="R5" t="s">
        <v>30</v>
      </c>
      <c r="S5" t="s">
        <v>31</v>
      </c>
      <c r="T5" t="s">
        <v>16</v>
      </c>
    </row>
    <row r="6" spans="1:20" x14ac:dyDescent="0.3">
      <c r="A6" t="s">
        <v>39</v>
      </c>
      <c r="B6">
        <v>49</v>
      </c>
      <c r="C6" t="s">
        <v>34</v>
      </c>
      <c r="D6" t="s">
        <v>40</v>
      </c>
      <c r="E6" t="s">
        <v>41</v>
      </c>
      <c r="F6">
        <v>32</v>
      </c>
      <c r="G6" t="s">
        <v>36</v>
      </c>
      <c r="H6">
        <v>35</v>
      </c>
      <c r="I6">
        <v>12</v>
      </c>
      <c r="J6">
        <v>2</v>
      </c>
      <c r="K6" t="s">
        <v>37</v>
      </c>
      <c r="L6" t="s">
        <v>30</v>
      </c>
      <c r="M6" t="s">
        <v>38</v>
      </c>
      <c r="N6" t="s">
        <v>12</v>
      </c>
      <c r="O6">
        <v>3</v>
      </c>
      <c r="P6" t="s">
        <v>13</v>
      </c>
      <c r="Q6">
        <v>3</v>
      </c>
      <c r="R6" t="s">
        <v>14</v>
      </c>
      <c r="S6" t="s">
        <v>42</v>
      </c>
      <c r="T6" t="s">
        <v>32</v>
      </c>
    </row>
    <row r="7" spans="1:20" x14ac:dyDescent="0.3">
      <c r="A7" t="s">
        <v>43</v>
      </c>
      <c r="B7">
        <v>59</v>
      </c>
      <c r="C7" t="s">
        <v>5</v>
      </c>
      <c r="D7" t="s">
        <v>40</v>
      </c>
      <c r="E7" t="s">
        <v>20</v>
      </c>
      <c r="F7">
        <v>31</v>
      </c>
      <c r="G7" t="s">
        <v>8</v>
      </c>
      <c r="H7">
        <v>39</v>
      </c>
      <c r="I7">
        <v>3</v>
      </c>
      <c r="J7">
        <v>4</v>
      </c>
      <c r="K7" t="s">
        <v>37</v>
      </c>
      <c r="L7" t="s">
        <v>30</v>
      </c>
      <c r="M7" t="s">
        <v>11</v>
      </c>
      <c r="N7" t="s">
        <v>23</v>
      </c>
      <c r="O7">
        <v>5</v>
      </c>
      <c r="P7" t="s">
        <v>13</v>
      </c>
      <c r="Q7">
        <v>1</v>
      </c>
      <c r="R7" t="s">
        <v>30</v>
      </c>
      <c r="S7" t="s">
        <v>42</v>
      </c>
      <c r="T7" t="s">
        <v>44</v>
      </c>
    </row>
    <row r="8" spans="1:20" x14ac:dyDescent="0.3">
      <c r="A8" t="s">
        <v>45</v>
      </c>
      <c r="B8">
        <v>31</v>
      </c>
      <c r="C8" t="s">
        <v>46</v>
      </c>
      <c r="D8" t="s">
        <v>40</v>
      </c>
      <c r="E8" t="s">
        <v>20</v>
      </c>
      <c r="F8">
        <v>24</v>
      </c>
      <c r="G8" t="s">
        <v>21</v>
      </c>
      <c r="H8">
        <v>51</v>
      </c>
      <c r="I8">
        <v>7</v>
      </c>
      <c r="J8">
        <v>3</v>
      </c>
      <c r="K8" t="s">
        <v>47</v>
      </c>
      <c r="L8" t="s">
        <v>22</v>
      </c>
      <c r="M8" t="s">
        <v>38</v>
      </c>
      <c r="N8" t="s">
        <v>12</v>
      </c>
      <c r="O8">
        <v>5</v>
      </c>
      <c r="P8" t="s">
        <v>48</v>
      </c>
      <c r="Q8">
        <v>3</v>
      </c>
      <c r="R8" t="s">
        <v>49</v>
      </c>
      <c r="S8" t="s">
        <v>31</v>
      </c>
      <c r="T8" t="s">
        <v>25</v>
      </c>
    </row>
    <row r="9" spans="1:20" x14ac:dyDescent="0.3">
      <c r="A9" t="s">
        <v>50</v>
      </c>
      <c r="B9">
        <v>42</v>
      </c>
      <c r="C9" t="s">
        <v>5</v>
      </c>
      <c r="D9" t="s">
        <v>19</v>
      </c>
      <c r="E9" t="s">
        <v>51</v>
      </c>
      <c r="F9">
        <v>6</v>
      </c>
      <c r="G9" t="s">
        <v>36</v>
      </c>
      <c r="H9">
        <v>54</v>
      </c>
      <c r="I9">
        <v>7</v>
      </c>
      <c r="J9">
        <v>3</v>
      </c>
      <c r="K9" t="s">
        <v>9</v>
      </c>
      <c r="L9" t="s">
        <v>10</v>
      </c>
      <c r="M9" t="s">
        <v>11</v>
      </c>
      <c r="N9" t="s">
        <v>12</v>
      </c>
      <c r="O9">
        <v>5</v>
      </c>
      <c r="P9" t="s">
        <v>24</v>
      </c>
      <c r="Q9">
        <v>4</v>
      </c>
      <c r="R9" t="s">
        <v>30</v>
      </c>
      <c r="S9" t="s">
        <v>42</v>
      </c>
      <c r="T9" t="s">
        <v>32</v>
      </c>
    </row>
    <row r="10" spans="1:20" x14ac:dyDescent="0.3">
      <c r="A10" t="s">
        <v>52</v>
      </c>
      <c r="B10">
        <v>56</v>
      </c>
      <c r="C10" t="s">
        <v>46</v>
      </c>
      <c r="D10" t="s">
        <v>19</v>
      </c>
      <c r="E10" t="s">
        <v>7</v>
      </c>
      <c r="F10">
        <v>9</v>
      </c>
      <c r="G10" t="s">
        <v>8</v>
      </c>
      <c r="H10">
        <v>24</v>
      </c>
      <c r="I10">
        <v>4</v>
      </c>
      <c r="J10">
        <v>2</v>
      </c>
      <c r="K10" t="s">
        <v>37</v>
      </c>
      <c r="L10" t="s">
        <v>30</v>
      </c>
      <c r="M10" t="s">
        <v>38</v>
      </c>
      <c r="N10" t="s">
        <v>12</v>
      </c>
      <c r="O10">
        <v>2</v>
      </c>
      <c r="P10" t="s">
        <v>13</v>
      </c>
      <c r="Q10">
        <v>4</v>
      </c>
      <c r="R10" t="s">
        <v>49</v>
      </c>
      <c r="S10" t="s">
        <v>31</v>
      </c>
      <c r="T10" t="s">
        <v>16</v>
      </c>
    </row>
    <row r="11" spans="1:20" x14ac:dyDescent="0.3">
      <c r="A11" t="s">
        <v>53</v>
      </c>
      <c r="B11">
        <v>30</v>
      </c>
      <c r="C11" t="s">
        <v>18</v>
      </c>
      <c r="D11" t="s">
        <v>6</v>
      </c>
      <c r="E11" t="s">
        <v>20</v>
      </c>
      <c r="F11">
        <v>28</v>
      </c>
      <c r="G11" t="s">
        <v>8</v>
      </c>
      <c r="H11">
        <v>57</v>
      </c>
      <c r="I11">
        <v>6</v>
      </c>
      <c r="J11">
        <v>1</v>
      </c>
      <c r="K11" t="s">
        <v>47</v>
      </c>
      <c r="L11" t="s">
        <v>10</v>
      </c>
      <c r="M11" t="s">
        <v>38</v>
      </c>
      <c r="N11" t="s">
        <v>12</v>
      </c>
      <c r="O11">
        <v>2</v>
      </c>
      <c r="P11" t="s">
        <v>48</v>
      </c>
      <c r="Q11">
        <v>1</v>
      </c>
      <c r="R11" t="s">
        <v>14</v>
      </c>
      <c r="S11" t="s">
        <v>31</v>
      </c>
      <c r="T11" t="s">
        <v>32</v>
      </c>
    </row>
    <row r="12" spans="1:20" x14ac:dyDescent="0.3">
      <c r="A12" t="s">
        <v>54</v>
      </c>
      <c r="B12">
        <v>33</v>
      </c>
      <c r="C12" t="s">
        <v>5</v>
      </c>
      <c r="D12" t="s">
        <v>27</v>
      </c>
      <c r="E12" t="s">
        <v>35</v>
      </c>
      <c r="F12">
        <v>17</v>
      </c>
      <c r="G12" t="s">
        <v>21</v>
      </c>
      <c r="H12">
        <v>48</v>
      </c>
      <c r="I12">
        <v>3</v>
      </c>
      <c r="J12">
        <v>3</v>
      </c>
      <c r="K12" t="s">
        <v>37</v>
      </c>
      <c r="L12" t="s">
        <v>30</v>
      </c>
      <c r="M12" t="s">
        <v>38</v>
      </c>
      <c r="N12" t="s">
        <v>12</v>
      </c>
      <c r="O12">
        <v>4</v>
      </c>
      <c r="P12" t="s">
        <v>24</v>
      </c>
      <c r="Q12">
        <v>2</v>
      </c>
      <c r="R12" t="s">
        <v>14</v>
      </c>
      <c r="S12" t="s">
        <v>42</v>
      </c>
      <c r="T12" t="s">
        <v>55</v>
      </c>
    </row>
    <row r="13" spans="1:20" x14ac:dyDescent="0.3">
      <c r="A13" t="s">
        <v>56</v>
      </c>
      <c r="B13">
        <v>47</v>
      </c>
      <c r="C13" t="s">
        <v>18</v>
      </c>
      <c r="D13" t="s">
        <v>57</v>
      </c>
      <c r="E13" t="s">
        <v>41</v>
      </c>
      <c r="F13">
        <v>31</v>
      </c>
      <c r="G13" t="s">
        <v>8</v>
      </c>
      <c r="H13">
        <v>26</v>
      </c>
      <c r="I13">
        <v>12</v>
      </c>
      <c r="J13">
        <v>4</v>
      </c>
      <c r="K13" t="s">
        <v>9</v>
      </c>
      <c r="L13" t="s">
        <v>30</v>
      </c>
      <c r="M13" t="s">
        <v>38</v>
      </c>
      <c r="N13" t="s">
        <v>29</v>
      </c>
      <c r="O13">
        <v>4</v>
      </c>
      <c r="P13" t="s">
        <v>48</v>
      </c>
      <c r="Q13">
        <v>3</v>
      </c>
      <c r="R13" t="s">
        <v>14</v>
      </c>
      <c r="S13" t="s">
        <v>31</v>
      </c>
      <c r="T13" t="s">
        <v>58</v>
      </c>
    </row>
    <row r="14" spans="1:20" x14ac:dyDescent="0.3">
      <c r="A14" t="s">
        <v>59</v>
      </c>
      <c r="B14">
        <v>40</v>
      </c>
      <c r="C14" t="s">
        <v>18</v>
      </c>
      <c r="D14" t="s">
        <v>57</v>
      </c>
      <c r="E14" t="s">
        <v>41</v>
      </c>
      <c r="F14">
        <v>1</v>
      </c>
      <c r="G14" t="s">
        <v>21</v>
      </c>
      <c r="H14">
        <v>21</v>
      </c>
      <c r="I14">
        <v>7</v>
      </c>
      <c r="J14">
        <v>2</v>
      </c>
      <c r="K14" t="s">
        <v>37</v>
      </c>
      <c r="L14" t="s">
        <v>10</v>
      </c>
      <c r="M14" t="s">
        <v>38</v>
      </c>
      <c r="N14" t="s">
        <v>12</v>
      </c>
      <c r="O14">
        <v>2</v>
      </c>
      <c r="P14" t="s">
        <v>48</v>
      </c>
      <c r="Q14">
        <v>1</v>
      </c>
      <c r="R14" t="s">
        <v>14</v>
      </c>
      <c r="S14" t="s">
        <v>15</v>
      </c>
      <c r="T14" t="s">
        <v>16</v>
      </c>
    </row>
    <row r="15" spans="1:20" x14ac:dyDescent="0.3">
      <c r="A15" t="s">
        <v>60</v>
      </c>
      <c r="B15">
        <v>51</v>
      </c>
      <c r="C15" t="s">
        <v>5</v>
      </c>
      <c r="D15" t="s">
        <v>61</v>
      </c>
      <c r="E15" t="s">
        <v>51</v>
      </c>
      <c r="F15">
        <v>5</v>
      </c>
      <c r="G15" t="s">
        <v>8</v>
      </c>
      <c r="H15">
        <v>45</v>
      </c>
      <c r="I15">
        <v>13</v>
      </c>
      <c r="J15">
        <v>1</v>
      </c>
      <c r="K15" t="s">
        <v>47</v>
      </c>
      <c r="L15" t="s">
        <v>22</v>
      </c>
      <c r="M15" t="s">
        <v>11</v>
      </c>
      <c r="N15" t="s">
        <v>12</v>
      </c>
      <c r="O15">
        <v>2</v>
      </c>
      <c r="P15" t="s">
        <v>24</v>
      </c>
      <c r="Q15">
        <v>5</v>
      </c>
      <c r="R15" t="s">
        <v>14</v>
      </c>
      <c r="S15" t="s">
        <v>31</v>
      </c>
      <c r="T15" t="s">
        <v>32</v>
      </c>
    </row>
    <row r="16" spans="1:20" x14ac:dyDescent="0.3">
      <c r="A16" t="s">
        <v>62</v>
      </c>
      <c r="B16">
        <v>36</v>
      </c>
      <c r="C16" t="s">
        <v>46</v>
      </c>
      <c r="D16" t="s">
        <v>63</v>
      </c>
      <c r="E16" t="s">
        <v>64</v>
      </c>
      <c r="F16">
        <v>23</v>
      </c>
      <c r="G16" t="s">
        <v>21</v>
      </c>
      <c r="H16">
        <v>59</v>
      </c>
      <c r="I16">
        <v>11</v>
      </c>
      <c r="J16">
        <v>3</v>
      </c>
      <c r="K16" t="s">
        <v>37</v>
      </c>
      <c r="L16" t="s">
        <v>22</v>
      </c>
      <c r="M16" t="s">
        <v>38</v>
      </c>
      <c r="N16" t="s">
        <v>12</v>
      </c>
      <c r="O16">
        <v>5</v>
      </c>
      <c r="P16" t="s">
        <v>48</v>
      </c>
      <c r="Q16">
        <v>3</v>
      </c>
      <c r="R16" t="s">
        <v>14</v>
      </c>
      <c r="S16" t="s">
        <v>42</v>
      </c>
      <c r="T16" t="s">
        <v>55</v>
      </c>
    </row>
    <row r="17" spans="1:20" x14ac:dyDescent="0.3">
      <c r="A17" t="s">
        <v>65</v>
      </c>
      <c r="B17">
        <v>56</v>
      </c>
      <c r="C17" t="s">
        <v>18</v>
      </c>
      <c r="D17" t="s">
        <v>40</v>
      </c>
      <c r="E17" t="s">
        <v>7</v>
      </c>
      <c r="F17">
        <v>13</v>
      </c>
      <c r="G17" t="s">
        <v>21</v>
      </c>
      <c r="H17">
        <v>44</v>
      </c>
      <c r="I17">
        <v>11</v>
      </c>
      <c r="J17">
        <v>4</v>
      </c>
      <c r="K17" t="s">
        <v>47</v>
      </c>
      <c r="L17" t="s">
        <v>22</v>
      </c>
      <c r="M17" t="s">
        <v>11</v>
      </c>
      <c r="N17" t="s">
        <v>29</v>
      </c>
      <c r="O17">
        <v>5</v>
      </c>
      <c r="P17" t="s">
        <v>24</v>
      </c>
      <c r="Q17">
        <v>4</v>
      </c>
      <c r="R17" t="s">
        <v>14</v>
      </c>
      <c r="S17" t="s">
        <v>42</v>
      </c>
      <c r="T17" t="s">
        <v>58</v>
      </c>
    </row>
    <row r="18" spans="1:20" x14ac:dyDescent="0.3">
      <c r="A18" t="s">
        <v>66</v>
      </c>
      <c r="B18">
        <v>33</v>
      </c>
      <c r="C18" t="s">
        <v>46</v>
      </c>
      <c r="D18" t="s">
        <v>6</v>
      </c>
      <c r="E18" t="s">
        <v>28</v>
      </c>
      <c r="F18">
        <v>3</v>
      </c>
      <c r="G18" t="s">
        <v>36</v>
      </c>
      <c r="H18">
        <v>52</v>
      </c>
      <c r="I18">
        <v>9</v>
      </c>
      <c r="J18">
        <v>2</v>
      </c>
      <c r="K18" t="s">
        <v>9</v>
      </c>
      <c r="L18" t="s">
        <v>30</v>
      </c>
      <c r="M18" t="s">
        <v>11</v>
      </c>
      <c r="N18" t="s">
        <v>29</v>
      </c>
      <c r="O18">
        <v>1</v>
      </c>
      <c r="P18" t="s">
        <v>24</v>
      </c>
      <c r="Q18">
        <v>1</v>
      </c>
      <c r="R18" t="s">
        <v>14</v>
      </c>
      <c r="S18" t="s">
        <v>15</v>
      </c>
      <c r="T18" t="s">
        <v>58</v>
      </c>
    </row>
    <row r="19" spans="1:20" x14ac:dyDescent="0.3">
      <c r="A19" t="s">
        <v>67</v>
      </c>
      <c r="B19">
        <v>45</v>
      </c>
      <c r="C19" t="s">
        <v>5</v>
      </c>
      <c r="D19" t="s">
        <v>19</v>
      </c>
      <c r="E19" t="s">
        <v>41</v>
      </c>
      <c r="F19">
        <v>20</v>
      </c>
      <c r="G19" t="s">
        <v>36</v>
      </c>
      <c r="H19">
        <v>37</v>
      </c>
      <c r="I19">
        <v>8</v>
      </c>
      <c r="J19">
        <v>3</v>
      </c>
      <c r="K19" t="s">
        <v>47</v>
      </c>
      <c r="L19" t="s">
        <v>68</v>
      </c>
      <c r="M19" t="s">
        <v>38</v>
      </c>
      <c r="N19" t="s">
        <v>12</v>
      </c>
      <c r="O19">
        <v>5</v>
      </c>
      <c r="P19" t="s">
        <v>48</v>
      </c>
      <c r="Q19">
        <v>5</v>
      </c>
      <c r="R19" t="s">
        <v>14</v>
      </c>
      <c r="S19" t="s">
        <v>15</v>
      </c>
      <c r="T19" t="s">
        <v>16</v>
      </c>
    </row>
    <row r="20" spans="1:20" x14ac:dyDescent="0.3">
      <c r="A20" t="s">
        <v>69</v>
      </c>
      <c r="B20">
        <v>49</v>
      </c>
      <c r="C20" t="s">
        <v>5</v>
      </c>
      <c r="D20" t="s">
        <v>27</v>
      </c>
      <c r="E20" t="s">
        <v>20</v>
      </c>
      <c r="F20">
        <v>30</v>
      </c>
      <c r="G20" t="s">
        <v>21</v>
      </c>
      <c r="H20">
        <v>36</v>
      </c>
      <c r="I20">
        <v>6</v>
      </c>
      <c r="J20">
        <v>1</v>
      </c>
      <c r="K20" t="s">
        <v>37</v>
      </c>
      <c r="L20" t="s">
        <v>22</v>
      </c>
      <c r="M20" t="s">
        <v>11</v>
      </c>
      <c r="N20" t="s">
        <v>29</v>
      </c>
      <c r="O20">
        <v>3</v>
      </c>
      <c r="P20" t="s">
        <v>24</v>
      </c>
      <c r="Q20">
        <v>2</v>
      </c>
      <c r="R20" t="s">
        <v>14</v>
      </c>
      <c r="S20" t="s">
        <v>15</v>
      </c>
      <c r="T20" t="s">
        <v>55</v>
      </c>
    </row>
    <row r="21" spans="1:20" x14ac:dyDescent="0.3">
      <c r="A21" t="s">
        <v>70</v>
      </c>
      <c r="B21">
        <v>59</v>
      </c>
      <c r="C21" t="s">
        <v>34</v>
      </c>
      <c r="D21" t="s">
        <v>27</v>
      </c>
      <c r="E21" t="s">
        <v>41</v>
      </c>
      <c r="F21">
        <v>13</v>
      </c>
      <c r="G21" t="s">
        <v>21</v>
      </c>
      <c r="H21">
        <v>59</v>
      </c>
      <c r="I21">
        <v>4</v>
      </c>
      <c r="J21">
        <v>3</v>
      </c>
      <c r="K21" t="s">
        <v>9</v>
      </c>
      <c r="L21" t="s">
        <v>22</v>
      </c>
      <c r="M21" t="s">
        <v>11</v>
      </c>
      <c r="N21" t="s">
        <v>12</v>
      </c>
      <c r="O21">
        <v>4</v>
      </c>
      <c r="P21" t="s">
        <v>48</v>
      </c>
      <c r="Q21">
        <v>1</v>
      </c>
      <c r="R21" t="s">
        <v>49</v>
      </c>
      <c r="S21" t="s">
        <v>42</v>
      </c>
      <c r="T21" t="s">
        <v>44</v>
      </c>
    </row>
    <row r="22" spans="1:20" x14ac:dyDescent="0.3">
      <c r="A22" t="s">
        <v>71</v>
      </c>
      <c r="B22">
        <v>26</v>
      </c>
      <c r="C22" t="s">
        <v>18</v>
      </c>
      <c r="D22" t="s">
        <v>40</v>
      </c>
      <c r="E22" t="s">
        <v>64</v>
      </c>
      <c r="F22">
        <v>33</v>
      </c>
      <c r="G22" t="s">
        <v>8</v>
      </c>
      <c r="H22">
        <v>21</v>
      </c>
      <c r="I22">
        <v>1</v>
      </c>
      <c r="J22">
        <v>2</v>
      </c>
      <c r="K22" t="s">
        <v>47</v>
      </c>
      <c r="L22" t="s">
        <v>68</v>
      </c>
      <c r="M22" t="s">
        <v>11</v>
      </c>
      <c r="N22" t="s">
        <v>23</v>
      </c>
      <c r="O22">
        <v>2</v>
      </c>
      <c r="P22" t="s">
        <v>24</v>
      </c>
      <c r="Q22">
        <v>1</v>
      </c>
      <c r="R22" t="s">
        <v>14</v>
      </c>
      <c r="S22" t="s">
        <v>31</v>
      </c>
      <c r="T22" t="s">
        <v>44</v>
      </c>
    </row>
    <row r="23" spans="1:20" x14ac:dyDescent="0.3">
      <c r="A23" t="s">
        <v>72</v>
      </c>
      <c r="B23">
        <v>26</v>
      </c>
      <c r="C23" t="s">
        <v>5</v>
      </c>
      <c r="D23" t="s">
        <v>40</v>
      </c>
      <c r="E23" t="s">
        <v>28</v>
      </c>
      <c r="F23">
        <v>21</v>
      </c>
      <c r="G23" t="s">
        <v>36</v>
      </c>
      <c r="H23">
        <v>54</v>
      </c>
      <c r="I23">
        <v>12</v>
      </c>
      <c r="J23">
        <v>3</v>
      </c>
      <c r="K23" t="s">
        <v>9</v>
      </c>
      <c r="L23" t="s">
        <v>10</v>
      </c>
      <c r="M23" t="s">
        <v>11</v>
      </c>
      <c r="N23" t="s">
        <v>12</v>
      </c>
      <c r="O23">
        <v>3</v>
      </c>
      <c r="P23" t="s">
        <v>13</v>
      </c>
      <c r="Q23">
        <v>4</v>
      </c>
      <c r="R23" t="s">
        <v>49</v>
      </c>
      <c r="S23" t="s">
        <v>31</v>
      </c>
      <c r="T23" t="s">
        <v>32</v>
      </c>
    </row>
    <row r="24" spans="1:20" x14ac:dyDescent="0.3">
      <c r="A24" t="s">
        <v>73</v>
      </c>
      <c r="B24">
        <v>43</v>
      </c>
      <c r="C24" t="s">
        <v>46</v>
      </c>
      <c r="D24" t="s">
        <v>40</v>
      </c>
      <c r="E24" t="s">
        <v>35</v>
      </c>
      <c r="F24">
        <v>21</v>
      </c>
      <c r="G24" t="s">
        <v>36</v>
      </c>
      <c r="H24">
        <v>57</v>
      </c>
      <c r="I24">
        <v>1</v>
      </c>
      <c r="J24">
        <v>3</v>
      </c>
      <c r="K24" t="s">
        <v>47</v>
      </c>
      <c r="L24" t="s">
        <v>10</v>
      </c>
      <c r="M24" t="s">
        <v>38</v>
      </c>
      <c r="N24" t="s">
        <v>23</v>
      </c>
      <c r="O24">
        <v>3</v>
      </c>
      <c r="P24" t="s">
        <v>24</v>
      </c>
      <c r="Q24">
        <v>4</v>
      </c>
      <c r="R24" t="s">
        <v>49</v>
      </c>
      <c r="S24" t="s">
        <v>42</v>
      </c>
      <c r="T24" t="s">
        <v>58</v>
      </c>
    </row>
    <row r="25" spans="1:20" x14ac:dyDescent="0.3">
      <c r="A25" t="s">
        <v>74</v>
      </c>
      <c r="B25">
        <v>53</v>
      </c>
      <c r="C25" t="s">
        <v>5</v>
      </c>
      <c r="D25" t="s">
        <v>57</v>
      </c>
      <c r="E25" t="s">
        <v>41</v>
      </c>
      <c r="F25">
        <v>11</v>
      </c>
      <c r="G25" t="s">
        <v>36</v>
      </c>
      <c r="H25">
        <v>22</v>
      </c>
      <c r="I25">
        <v>12</v>
      </c>
      <c r="J25">
        <v>5</v>
      </c>
      <c r="K25" t="s">
        <v>47</v>
      </c>
      <c r="L25" t="s">
        <v>10</v>
      </c>
      <c r="M25" t="s">
        <v>11</v>
      </c>
      <c r="N25" t="s">
        <v>29</v>
      </c>
      <c r="O25">
        <v>2</v>
      </c>
      <c r="P25" t="s">
        <v>48</v>
      </c>
      <c r="Q25">
        <v>3</v>
      </c>
      <c r="R25" t="s">
        <v>14</v>
      </c>
      <c r="S25" t="s">
        <v>31</v>
      </c>
      <c r="T25" t="s">
        <v>25</v>
      </c>
    </row>
    <row r="26" spans="1:20" x14ac:dyDescent="0.3">
      <c r="A26" t="s">
        <v>75</v>
      </c>
      <c r="B26">
        <v>56</v>
      </c>
      <c r="C26" t="s">
        <v>34</v>
      </c>
      <c r="D26" t="s">
        <v>40</v>
      </c>
      <c r="E26" t="s">
        <v>35</v>
      </c>
      <c r="F26">
        <v>6</v>
      </c>
      <c r="G26" t="s">
        <v>21</v>
      </c>
      <c r="H26">
        <v>54</v>
      </c>
      <c r="I26">
        <v>15</v>
      </c>
      <c r="J26">
        <v>3</v>
      </c>
      <c r="K26" t="s">
        <v>47</v>
      </c>
      <c r="L26" t="s">
        <v>68</v>
      </c>
      <c r="M26" t="s">
        <v>11</v>
      </c>
      <c r="N26" t="s">
        <v>23</v>
      </c>
      <c r="O26">
        <v>2</v>
      </c>
      <c r="P26" t="s">
        <v>48</v>
      </c>
      <c r="Q26">
        <v>4</v>
      </c>
      <c r="R26" t="s">
        <v>49</v>
      </c>
      <c r="S26" t="s">
        <v>42</v>
      </c>
      <c r="T26" t="s">
        <v>32</v>
      </c>
    </row>
    <row r="27" spans="1:20" x14ac:dyDescent="0.3">
      <c r="A27" t="s">
        <v>76</v>
      </c>
      <c r="B27">
        <v>49</v>
      </c>
      <c r="C27" t="s">
        <v>34</v>
      </c>
      <c r="D27" t="s">
        <v>63</v>
      </c>
      <c r="E27" t="s">
        <v>7</v>
      </c>
      <c r="F27">
        <v>23</v>
      </c>
      <c r="G27" t="s">
        <v>36</v>
      </c>
      <c r="H27">
        <v>21</v>
      </c>
      <c r="I27">
        <v>14</v>
      </c>
      <c r="J27">
        <v>4</v>
      </c>
      <c r="K27" t="s">
        <v>37</v>
      </c>
      <c r="L27" t="s">
        <v>68</v>
      </c>
      <c r="M27" t="s">
        <v>11</v>
      </c>
      <c r="N27" t="s">
        <v>29</v>
      </c>
      <c r="O27">
        <v>4</v>
      </c>
      <c r="P27" t="s">
        <v>48</v>
      </c>
      <c r="Q27">
        <v>3</v>
      </c>
      <c r="R27" t="s">
        <v>30</v>
      </c>
      <c r="S27" t="s">
        <v>15</v>
      </c>
      <c r="T27" t="s">
        <v>44</v>
      </c>
    </row>
    <row r="28" spans="1:20" x14ac:dyDescent="0.3">
      <c r="A28" t="s">
        <v>77</v>
      </c>
      <c r="B28">
        <v>36</v>
      </c>
      <c r="C28" t="s">
        <v>5</v>
      </c>
      <c r="D28" t="s">
        <v>63</v>
      </c>
      <c r="E28" t="s">
        <v>64</v>
      </c>
      <c r="F28">
        <v>30</v>
      </c>
      <c r="G28" t="s">
        <v>36</v>
      </c>
      <c r="H28">
        <v>24</v>
      </c>
      <c r="I28">
        <v>12</v>
      </c>
      <c r="J28">
        <v>3</v>
      </c>
      <c r="K28" t="s">
        <v>37</v>
      </c>
      <c r="L28" t="s">
        <v>30</v>
      </c>
      <c r="M28" t="s">
        <v>11</v>
      </c>
      <c r="N28" t="s">
        <v>12</v>
      </c>
      <c r="O28">
        <v>4</v>
      </c>
      <c r="P28" t="s">
        <v>13</v>
      </c>
      <c r="Q28">
        <v>4</v>
      </c>
      <c r="R28" t="s">
        <v>30</v>
      </c>
      <c r="S28" t="s">
        <v>31</v>
      </c>
      <c r="T28" t="s">
        <v>32</v>
      </c>
    </row>
    <row r="29" spans="1:20" x14ac:dyDescent="0.3">
      <c r="A29" t="s">
        <v>78</v>
      </c>
      <c r="B29">
        <v>53</v>
      </c>
      <c r="C29" t="s">
        <v>18</v>
      </c>
      <c r="D29" t="s">
        <v>63</v>
      </c>
      <c r="E29" t="s">
        <v>64</v>
      </c>
      <c r="F29">
        <v>31</v>
      </c>
      <c r="G29" t="s">
        <v>36</v>
      </c>
      <c r="H29">
        <v>56</v>
      </c>
      <c r="I29">
        <v>4</v>
      </c>
      <c r="J29">
        <v>4</v>
      </c>
      <c r="K29" t="s">
        <v>47</v>
      </c>
      <c r="L29" t="s">
        <v>10</v>
      </c>
      <c r="M29" t="s">
        <v>11</v>
      </c>
      <c r="N29" t="s">
        <v>29</v>
      </c>
      <c r="O29">
        <v>4</v>
      </c>
      <c r="P29" t="s">
        <v>13</v>
      </c>
      <c r="Q29">
        <v>4</v>
      </c>
      <c r="R29" t="s">
        <v>30</v>
      </c>
      <c r="S29" t="s">
        <v>31</v>
      </c>
      <c r="T29" t="s">
        <v>55</v>
      </c>
    </row>
    <row r="30" spans="1:20" x14ac:dyDescent="0.3">
      <c r="A30" t="s">
        <v>79</v>
      </c>
      <c r="B30">
        <v>47</v>
      </c>
      <c r="C30" t="s">
        <v>46</v>
      </c>
      <c r="D30" t="s">
        <v>40</v>
      </c>
      <c r="E30" t="s">
        <v>20</v>
      </c>
      <c r="F30">
        <v>22</v>
      </c>
      <c r="G30" t="s">
        <v>36</v>
      </c>
      <c r="H30">
        <v>33</v>
      </c>
      <c r="I30">
        <v>10</v>
      </c>
      <c r="J30">
        <v>3</v>
      </c>
      <c r="K30" t="s">
        <v>37</v>
      </c>
      <c r="L30" t="s">
        <v>10</v>
      </c>
      <c r="M30" t="s">
        <v>38</v>
      </c>
      <c r="N30" t="s">
        <v>12</v>
      </c>
      <c r="O30">
        <v>4</v>
      </c>
      <c r="P30" t="s">
        <v>24</v>
      </c>
      <c r="Q30">
        <v>1</v>
      </c>
      <c r="R30" t="s">
        <v>49</v>
      </c>
      <c r="S30" t="s">
        <v>31</v>
      </c>
      <c r="T30" t="s">
        <v>16</v>
      </c>
    </row>
    <row r="31" spans="1:20" x14ac:dyDescent="0.3">
      <c r="A31" t="s">
        <v>80</v>
      </c>
      <c r="B31">
        <v>59</v>
      </c>
      <c r="C31" t="s">
        <v>34</v>
      </c>
      <c r="D31" t="s">
        <v>27</v>
      </c>
      <c r="E31" t="s">
        <v>7</v>
      </c>
      <c r="F31">
        <v>34</v>
      </c>
      <c r="G31" t="s">
        <v>21</v>
      </c>
      <c r="H31">
        <v>25</v>
      </c>
      <c r="I31">
        <v>15</v>
      </c>
      <c r="J31">
        <v>2</v>
      </c>
      <c r="K31" t="s">
        <v>37</v>
      </c>
      <c r="L31" t="s">
        <v>10</v>
      </c>
      <c r="M31" t="s">
        <v>38</v>
      </c>
      <c r="N31" t="s">
        <v>29</v>
      </c>
      <c r="O31">
        <v>3</v>
      </c>
      <c r="P31" t="s">
        <v>24</v>
      </c>
      <c r="Q31">
        <v>1</v>
      </c>
      <c r="R31" t="s">
        <v>14</v>
      </c>
      <c r="S31" t="s">
        <v>31</v>
      </c>
      <c r="T31" t="s">
        <v>32</v>
      </c>
    </row>
    <row r="32" spans="1:20" x14ac:dyDescent="0.3">
      <c r="A32" t="s">
        <v>81</v>
      </c>
      <c r="B32">
        <v>22</v>
      </c>
      <c r="C32" t="s">
        <v>18</v>
      </c>
      <c r="D32" t="s">
        <v>19</v>
      </c>
      <c r="E32" t="s">
        <v>20</v>
      </c>
      <c r="F32">
        <v>22</v>
      </c>
      <c r="G32" t="s">
        <v>36</v>
      </c>
      <c r="H32">
        <v>20</v>
      </c>
      <c r="I32">
        <v>11</v>
      </c>
      <c r="J32">
        <v>1</v>
      </c>
      <c r="K32" t="s">
        <v>47</v>
      </c>
      <c r="L32" t="s">
        <v>22</v>
      </c>
      <c r="M32" t="s">
        <v>38</v>
      </c>
      <c r="N32" t="s">
        <v>29</v>
      </c>
      <c r="O32">
        <v>5</v>
      </c>
      <c r="P32" t="s">
        <v>48</v>
      </c>
      <c r="Q32">
        <v>2</v>
      </c>
      <c r="R32" t="s">
        <v>14</v>
      </c>
      <c r="S32" t="s">
        <v>42</v>
      </c>
      <c r="T32" t="s">
        <v>25</v>
      </c>
    </row>
    <row r="33" spans="1:20" x14ac:dyDescent="0.3">
      <c r="A33" t="s">
        <v>82</v>
      </c>
      <c r="B33">
        <v>37</v>
      </c>
      <c r="C33" t="s">
        <v>46</v>
      </c>
      <c r="D33" t="s">
        <v>57</v>
      </c>
      <c r="E33" t="s">
        <v>51</v>
      </c>
      <c r="F33">
        <v>4</v>
      </c>
      <c r="G33" t="s">
        <v>8</v>
      </c>
      <c r="H33">
        <v>33</v>
      </c>
      <c r="I33">
        <v>14</v>
      </c>
      <c r="J33">
        <v>2</v>
      </c>
      <c r="K33" t="s">
        <v>9</v>
      </c>
      <c r="L33" t="s">
        <v>10</v>
      </c>
      <c r="M33" t="s">
        <v>11</v>
      </c>
      <c r="N33" t="s">
        <v>12</v>
      </c>
      <c r="O33">
        <v>3</v>
      </c>
      <c r="P33" t="s">
        <v>24</v>
      </c>
      <c r="Q33">
        <v>5</v>
      </c>
      <c r="R33" t="s">
        <v>30</v>
      </c>
      <c r="S33" t="s">
        <v>42</v>
      </c>
      <c r="T33" t="s">
        <v>32</v>
      </c>
    </row>
    <row r="34" spans="1:20" x14ac:dyDescent="0.3">
      <c r="A34" t="s">
        <v>83</v>
      </c>
      <c r="B34">
        <v>45</v>
      </c>
      <c r="C34" t="s">
        <v>46</v>
      </c>
      <c r="D34" t="s">
        <v>63</v>
      </c>
      <c r="E34" t="s">
        <v>51</v>
      </c>
      <c r="F34">
        <v>29</v>
      </c>
      <c r="G34" t="s">
        <v>21</v>
      </c>
      <c r="H34">
        <v>20</v>
      </c>
      <c r="I34">
        <v>14</v>
      </c>
      <c r="J34">
        <v>2</v>
      </c>
      <c r="K34" t="s">
        <v>9</v>
      </c>
      <c r="L34" t="s">
        <v>22</v>
      </c>
      <c r="M34" t="s">
        <v>38</v>
      </c>
      <c r="N34" t="s">
        <v>12</v>
      </c>
      <c r="O34">
        <v>5</v>
      </c>
      <c r="P34" t="s">
        <v>24</v>
      </c>
      <c r="Q34">
        <v>5</v>
      </c>
      <c r="R34" t="s">
        <v>49</v>
      </c>
      <c r="S34" t="s">
        <v>15</v>
      </c>
      <c r="T34" t="s">
        <v>32</v>
      </c>
    </row>
    <row r="35" spans="1:20" x14ac:dyDescent="0.3">
      <c r="A35" t="s">
        <v>84</v>
      </c>
      <c r="B35">
        <v>48</v>
      </c>
      <c r="C35" t="s">
        <v>34</v>
      </c>
      <c r="D35" t="s">
        <v>27</v>
      </c>
      <c r="E35" t="s">
        <v>7</v>
      </c>
      <c r="F35">
        <v>27</v>
      </c>
      <c r="G35" t="s">
        <v>21</v>
      </c>
      <c r="H35">
        <v>26</v>
      </c>
      <c r="I35">
        <v>9</v>
      </c>
      <c r="J35">
        <v>3</v>
      </c>
      <c r="K35" t="s">
        <v>9</v>
      </c>
      <c r="L35" t="s">
        <v>22</v>
      </c>
      <c r="M35" t="s">
        <v>38</v>
      </c>
      <c r="N35" t="s">
        <v>29</v>
      </c>
      <c r="O35">
        <v>5</v>
      </c>
      <c r="P35" t="s">
        <v>48</v>
      </c>
      <c r="Q35">
        <v>4</v>
      </c>
      <c r="R35" t="s">
        <v>49</v>
      </c>
      <c r="S35" t="s">
        <v>42</v>
      </c>
      <c r="T35" t="s">
        <v>32</v>
      </c>
    </row>
    <row r="36" spans="1:20" x14ac:dyDescent="0.3">
      <c r="A36" t="s">
        <v>85</v>
      </c>
      <c r="B36">
        <v>36</v>
      </c>
      <c r="C36" t="s">
        <v>34</v>
      </c>
      <c r="D36" t="s">
        <v>61</v>
      </c>
      <c r="E36" t="s">
        <v>20</v>
      </c>
      <c r="F36">
        <v>24</v>
      </c>
      <c r="G36" t="s">
        <v>8</v>
      </c>
      <c r="H36">
        <v>22</v>
      </c>
      <c r="I36">
        <v>6</v>
      </c>
      <c r="J36">
        <v>4</v>
      </c>
      <c r="K36" t="s">
        <v>9</v>
      </c>
      <c r="L36" t="s">
        <v>10</v>
      </c>
      <c r="M36" t="s">
        <v>11</v>
      </c>
      <c r="N36" t="s">
        <v>29</v>
      </c>
      <c r="O36">
        <v>1</v>
      </c>
      <c r="P36" t="s">
        <v>13</v>
      </c>
      <c r="Q36">
        <v>3</v>
      </c>
      <c r="R36" t="s">
        <v>14</v>
      </c>
      <c r="S36" t="s">
        <v>42</v>
      </c>
      <c r="T36" t="s">
        <v>16</v>
      </c>
    </row>
    <row r="37" spans="1:20" x14ac:dyDescent="0.3">
      <c r="A37" t="s">
        <v>86</v>
      </c>
      <c r="B37">
        <v>46</v>
      </c>
      <c r="C37" t="s">
        <v>46</v>
      </c>
      <c r="D37" t="s">
        <v>40</v>
      </c>
      <c r="E37" t="s">
        <v>7</v>
      </c>
      <c r="F37">
        <v>28</v>
      </c>
      <c r="G37" t="s">
        <v>8</v>
      </c>
      <c r="H37">
        <v>57</v>
      </c>
      <c r="I37">
        <v>8</v>
      </c>
      <c r="J37">
        <v>4</v>
      </c>
      <c r="K37" t="s">
        <v>47</v>
      </c>
      <c r="L37" t="s">
        <v>30</v>
      </c>
      <c r="M37" t="s">
        <v>38</v>
      </c>
      <c r="N37" t="s">
        <v>29</v>
      </c>
      <c r="O37">
        <v>1</v>
      </c>
      <c r="P37" t="s">
        <v>48</v>
      </c>
      <c r="Q37">
        <v>5</v>
      </c>
      <c r="R37" t="s">
        <v>30</v>
      </c>
      <c r="S37" t="s">
        <v>31</v>
      </c>
      <c r="T37" t="s">
        <v>16</v>
      </c>
    </row>
    <row r="38" spans="1:20" x14ac:dyDescent="0.3">
      <c r="A38" t="s">
        <v>87</v>
      </c>
      <c r="B38">
        <v>48</v>
      </c>
      <c r="C38" t="s">
        <v>34</v>
      </c>
      <c r="D38" t="s">
        <v>40</v>
      </c>
      <c r="E38" t="s">
        <v>35</v>
      </c>
      <c r="F38">
        <v>10</v>
      </c>
      <c r="G38" t="s">
        <v>36</v>
      </c>
      <c r="H38">
        <v>30</v>
      </c>
      <c r="I38">
        <v>12</v>
      </c>
      <c r="J38">
        <v>1</v>
      </c>
      <c r="K38" t="s">
        <v>47</v>
      </c>
      <c r="L38" t="s">
        <v>10</v>
      </c>
      <c r="M38" t="s">
        <v>38</v>
      </c>
      <c r="N38" t="s">
        <v>12</v>
      </c>
      <c r="O38">
        <v>5</v>
      </c>
      <c r="P38" t="s">
        <v>24</v>
      </c>
      <c r="Q38">
        <v>3</v>
      </c>
      <c r="R38" t="s">
        <v>30</v>
      </c>
      <c r="S38" t="s">
        <v>31</v>
      </c>
      <c r="T38" t="s">
        <v>25</v>
      </c>
    </row>
    <row r="39" spans="1:20" x14ac:dyDescent="0.3">
      <c r="A39" t="s">
        <v>88</v>
      </c>
      <c r="B39">
        <v>31</v>
      </c>
      <c r="C39" t="s">
        <v>18</v>
      </c>
      <c r="D39" t="s">
        <v>61</v>
      </c>
      <c r="E39" t="s">
        <v>7</v>
      </c>
      <c r="F39">
        <v>18</v>
      </c>
      <c r="G39" t="s">
        <v>21</v>
      </c>
      <c r="H39">
        <v>47</v>
      </c>
      <c r="I39">
        <v>14</v>
      </c>
      <c r="J39">
        <v>2</v>
      </c>
      <c r="K39" t="s">
        <v>47</v>
      </c>
      <c r="L39" t="s">
        <v>30</v>
      </c>
      <c r="M39" t="s">
        <v>38</v>
      </c>
      <c r="N39" t="s">
        <v>23</v>
      </c>
      <c r="O39">
        <v>2</v>
      </c>
      <c r="P39" t="s">
        <v>24</v>
      </c>
      <c r="Q39">
        <v>5</v>
      </c>
      <c r="R39" t="s">
        <v>49</v>
      </c>
      <c r="S39" t="s">
        <v>15</v>
      </c>
      <c r="T39" t="s">
        <v>25</v>
      </c>
    </row>
    <row r="40" spans="1:20" x14ac:dyDescent="0.3">
      <c r="A40" t="s">
        <v>89</v>
      </c>
      <c r="B40">
        <v>24</v>
      </c>
      <c r="C40" t="s">
        <v>5</v>
      </c>
      <c r="D40" t="s">
        <v>40</v>
      </c>
      <c r="E40" t="s">
        <v>20</v>
      </c>
      <c r="F40">
        <v>21</v>
      </c>
      <c r="G40" t="s">
        <v>36</v>
      </c>
      <c r="H40">
        <v>48</v>
      </c>
      <c r="I40">
        <v>12</v>
      </c>
      <c r="J40">
        <v>4</v>
      </c>
      <c r="K40" t="s">
        <v>47</v>
      </c>
      <c r="L40" t="s">
        <v>22</v>
      </c>
      <c r="M40" t="s">
        <v>38</v>
      </c>
      <c r="N40" t="s">
        <v>29</v>
      </c>
      <c r="O40">
        <v>3</v>
      </c>
      <c r="P40" t="s">
        <v>48</v>
      </c>
      <c r="Q40">
        <v>1</v>
      </c>
      <c r="R40" t="s">
        <v>14</v>
      </c>
      <c r="S40" t="s">
        <v>42</v>
      </c>
      <c r="T40" t="s">
        <v>58</v>
      </c>
    </row>
    <row r="41" spans="1:20" x14ac:dyDescent="0.3">
      <c r="A41" t="s">
        <v>90</v>
      </c>
      <c r="B41">
        <v>49</v>
      </c>
      <c r="C41" t="s">
        <v>34</v>
      </c>
      <c r="D41" t="s">
        <v>57</v>
      </c>
      <c r="E41" t="s">
        <v>41</v>
      </c>
      <c r="F41">
        <v>20</v>
      </c>
      <c r="G41" t="s">
        <v>8</v>
      </c>
      <c r="H41">
        <v>20</v>
      </c>
      <c r="I41">
        <v>1</v>
      </c>
      <c r="J41">
        <v>3</v>
      </c>
      <c r="K41" t="s">
        <v>37</v>
      </c>
      <c r="L41" t="s">
        <v>30</v>
      </c>
      <c r="M41" t="s">
        <v>11</v>
      </c>
      <c r="N41" t="s">
        <v>23</v>
      </c>
      <c r="O41">
        <v>1</v>
      </c>
      <c r="P41" t="s">
        <v>13</v>
      </c>
      <c r="Q41">
        <v>5</v>
      </c>
      <c r="R41" t="s">
        <v>14</v>
      </c>
      <c r="S41" t="s">
        <v>31</v>
      </c>
      <c r="T41" t="s">
        <v>25</v>
      </c>
    </row>
    <row r="42" spans="1:20" x14ac:dyDescent="0.3">
      <c r="A42" t="s">
        <v>91</v>
      </c>
      <c r="B42">
        <v>30</v>
      </c>
      <c r="C42" t="s">
        <v>5</v>
      </c>
      <c r="D42" t="s">
        <v>19</v>
      </c>
      <c r="E42" t="s">
        <v>20</v>
      </c>
      <c r="F42">
        <v>22</v>
      </c>
      <c r="G42" t="s">
        <v>21</v>
      </c>
      <c r="H42">
        <v>44</v>
      </c>
      <c r="I42">
        <v>15</v>
      </c>
      <c r="J42">
        <v>4</v>
      </c>
      <c r="K42" t="s">
        <v>37</v>
      </c>
      <c r="L42" t="s">
        <v>68</v>
      </c>
      <c r="M42" t="s">
        <v>11</v>
      </c>
      <c r="N42" t="s">
        <v>12</v>
      </c>
      <c r="O42">
        <v>1</v>
      </c>
      <c r="P42" t="s">
        <v>48</v>
      </c>
      <c r="Q42">
        <v>5</v>
      </c>
      <c r="R42" t="s">
        <v>49</v>
      </c>
      <c r="S42" t="s">
        <v>31</v>
      </c>
      <c r="T42" t="s">
        <v>16</v>
      </c>
    </row>
    <row r="43" spans="1:20" x14ac:dyDescent="0.3">
      <c r="A43" t="s">
        <v>92</v>
      </c>
      <c r="B43">
        <v>53</v>
      </c>
      <c r="C43" t="s">
        <v>34</v>
      </c>
      <c r="D43" t="s">
        <v>63</v>
      </c>
      <c r="E43" t="s">
        <v>20</v>
      </c>
      <c r="F43">
        <v>14</v>
      </c>
      <c r="G43" t="s">
        <v>36</v>
      </c>
      <c r="H43">
        <v>29</v>
      </c>
      <c r="I43">
        <v>13</v>
      </c>
      <c r="J43">
        <v>2</v>
      </c>
      <c r="K43" t="s">
        <v>47</v>
      </c>
      <c r="L43" t="s">
        <v>30</v>
      </c>
      <c r="M43" t="s">
        <v>11</v>
      </c>
      <c r="N43" t="s">
        <v>29</v>
      </c>
      <c r="O43">
        <v>1</v>
      </c>
      <c r="P43" t="s">
        <v>13</v>
      </c>
      <c r="Q43">
        <v>5</v>
      </c>
      <c r="R43" t="s">
        <v>30</v>
      </c>
      <c r="S43" t="s">
        <v>15</v>
      </c>
      <c r="T43" t="s">
        <v>32</v>
      </c>
    </row>
    <row r="44" spans="1:20" x14ac:dyDescent="0.3">
      <c r="A44" t="s">
        <v>93</v>
      </c>
      <c r="B44">
        <v>54</v>
      </c>
      <c r="C44" t="s">
        <v>46</v>
      </c>
      <c r="D44" t="s">
        <v>63</v>
      </c>
      <c r="E44" t="s">
        <v>35</v>
      </c>
      <c r="F44">
        <v>26</v>
      </c>
      <c r="G44" t="s">
        <v>21</v>
      </c>
      <c r="H44">
        <v>58</v>
      </c>
      <c r="I44">
        <v>6</v>
      </c>
      <c r="J44">
        <v>3</v>
      </c>
      <c r="K44" t="s">
        <v>37</v>
      </c>
      <c r="L44" t="s">
        <v>30</v>
      </c>
      <c r="M44" t="s">
        <v>38</v>
      </c>
      <c r="N44" t="s">
        <v>23</v>
      </c>
      <c r="O44">
        <v>3</v>
      </c>
      <c r="P44" t="s">
        <v>13</v>
      </c>
      <c r="Q44">
        <v>3</v>
      </c>
      <c r="R44" t="s">
        <v>14</v>
      </c>
      <c r="S44" t="s">
        <v>31</v>
      </c>
      <c r="T44" t="s">
        <v>16</v>
      </c>
    </row>
    <row r="45" spans="1:20" x14ac:dyDescent="0.3">
      <c r="A45" t="s">
        <v>94</v>
      </c>
      <c r="B45">
        <v>54</v>
      </c>
      <c r="C45" t="s">
        <v>18</v>
      </c>
      <c r="D45" t="s">
        <v>61</v>
      </c>
      <c r="E45" t="s">
        <v>51</v>
      </c>
      <c r="F45">
        <v>12</v>
      </c>
      <c r="G45" t="s">
        <v>21</v>
      </c>
      <c r="H45">
        <v>53</v>
      </c>
      <c r="I45">
        <v>12</v>
      </c>
      <c r="J45">
        <v>4</v>
      </c>
      <c r="K45" t="s">
        <v>9</v>
      </c>
      <c r="L45" t="s">
        <v>10</v>
      </c>
      <c r="M45" t="s">
        <v>38</v>
      </c>
      <c r="N45" t="s">
        <v>29</v>
      </c>
      <c r="O45">
        <v>1</v>
      </c>
      <c r="P45" t="s">
        <v>13</v>
      </c>
      <c r="Q45">
        <v>3</v>
      </c>
      <c r="R45" t="s">
        <v>30</v>
      </c>
      <c r="S45" t="s">
        <v>42</v>
      </c>
      <c r="T45" t="s">
        <v>16</v>
      </c>
    </row>
    <row r="46" spans="1:20" x14ac:dyDescent="0.3">
      <c r="A46" t="s">
        <v>95</v>
      </c>
      <c r="B46">
        <v>57</v>
      </c>
      <c r="C46" t="s">
        <v>46</v>
      </c>
      <c r="D46" t="s">
        <v>6</v>
      </c>
      <c r="E46" t="s">
        <v>64</v>
      </c>
      <c r="F46">
        <v>13</v>
      </c>
      <c r="G46" t="s">
        <v>21</v>
      </c>
      <c r="H46">
        <v>23</v>
      </c>
      <c r="I46">
        <v>6</v>
      </c>
      <c r="J46">
        <v>3</v>
      </c>
      <c r="K46" t="s">
        <v>37</v>
      </c>
      <c r="L46" t="s">
        <v>22</v>
      </c>
      <c r="M46" t="s">
        <v>38</v>
      </c>
      <c r="N46" t="s">
        <v>29</v>
      </c>
      <c r="O46">
        <v>5</v>
      </c>
      <c r="P46" t="s">
        <v>48</v>
      </c>
      <c r="Q46">
        <v>2</v>
      </c>
      <c r="R46" t="s">
        <v>49</v>
      </c>
      <c r="S46" t="s">
        <v>15</v>
      </c>
      <c r="T46" t="s">
        <v>44</v>
      </c>
    </row>
    <row r="47" spans="1:20" x14ac:dyDescent="0.3">
      <c r="A47" t="s">
        <v>96</v>
      </c>
      <c r="B47">
        <v>32</v>
      </c>
      <c r="C47" t="s">
        <v>34</v>
      </c>
      <c r="D47" t="s">
        <v>57</v>
      </c>
      <c r="E47" t="s">
        <v>64</v>
      </c>
      <c r="F47">
        <v>24</v>
      </c>
      <c r="G47" t="s">
        <v>21</v>
      </c>
      <c r="H47">
        <v>42</v>
      </c>
      <c r="I47">
        <v>8</v>
      </c>
      <c r="J47">
        <v>2</v>
      </c>
      <c r="K47" t="s">
        <v>9</v>
      </c>
      <c r="L47" t="s">
        <v>68</v>
      </c>
      <c r="M47" t="s">
        <v>11</v>
      </c>
      <c r="N47" t="s">
        <v>29</v>
      </c>
      <c r="O47">
        <v>2</v>
      </c>
      <c r="P47" t="s">
        <v>48</v>
      </c>
      <c r="Q47">
        <v>3</v>
      </c>
      <c r="R47" t="s">
        <v>49</v>
      </c>
      <c r="S47" t="s">
        <v>31</v>
      </c>
      <c r="T47" t="s">
        <v>32</v>
      </c>
    </row>
    <row r="48" spans="1:20" x14ac:dyDescent="0.3">
      <c r="A48" t="s">
        <v>97</v>
      </c>
      <c r="B48">
        <v>33</v>
      </c>
      <c r="C48" t="s">
        <v>34</v>
      </c>
      <c r="D48" t="s">
        <v>19</v>
      </c>
      <c r="E48" t="s">
        <v>28</v>
      </c>
      <c r="F48">
        <v>33</v>
      </c>
      <c r="G48" t="s">
        <v>21</v>
      </c>
      <c r="H48">
        <v>35</v>
      </c>
      <c r="I48">
        <v>15</v>
      </c>
      <c r="J48">
        <v>1</v>
      </c>
      <c r="K48" t="s">
        <v>9</v>
      </c>
      <c r="L48" t="s">
        <v>68</v>
      </c>
      <c r="M48" t="s">
        <v>38</v>
      </c>
      <c r="N48" t="s">
        <v>12</v>
      </c>
      <c r="O48">
        <v>1</v>
      </c>
      <c r="P48" t="s">
        <v>13</v>
      </c>
      <c r="Q48">
        <v>5</v>
      </c>
      <c r="R48" t="s">
        <v>14</v>
      </c>
      <c r="S48" t="s">
        <v>15</v>
      </c>
      <c r="T48" t="s">
        <v>44</v>
      </c>
    </row>
    <row r="49" spans="1:20" x14ac:dyDescent="0.3">
      <c r="A49" t="s">
        <v>98</v>
      </c>
      <c r="B49">
        <v>30</v>
      </c>
      <c r="C49" t="s">
        <v>18</v>
      </c>
      <c r="D49" t="s">
        <v>40</v>
      </c>
      <c r="E49" t="s">
        <v>41</v>
      </c>
      <c r="F49">
        <v>4</v>
      </c>
      <c r="G49" t="s">
        <v>21</v>
      </c>
      <c r="H49">
        <v>39</v>
      </c>
      <c r="I49">
        <v>2</v>
      </c>
      <c r="J49">
        <v>5</v>
      </c>
      <c r="K49" t="s">
        <v>37</v>
      </c>
      <c r="L49" t="s">
        <v>30</v>
      </c>
      <c r="M49" t="s">
        <v>11</v>
      </c>
      <c r="N49" t="s">
        <v>12</v>
      </c>
      <c r="O49">
        <v>1</v>
      </c>
      <c r="P49" t="s">
        <v>13</v>
      </c>
      <c r="Q49">
        <v>4</v>
      </c>
      <c r="R49" t="s">
        <v>30</v>
      </c>
      <c r="S49" t="s">
        <v>15</v>
      </c>
      <c r="T49" t="s">
        <v>55</v>
      </c>
    </row>
    <row r="50" spans="1:20" x14ac:dyDescent="0.3">
      <c r="A50" t="s">
        <v>99</v>
      </c>
      <c r="B50">
        <v>22</v>
      </c>
      <c r="C50" t="s">
        <v>18</v>
      </c>
      <c r="D50" t="s">
        <v>6</v>
      </c>
      <c r="E50" t="s">
        <v>7</v>
      </c>
      <c r="F50">
        <v>7</v>
      </c>
      <c r="G50" t="s">
        <v>36</v>
      </c>
      <c r="H50">
        <v>29</v>
      </c>
      <c r="I50">
        <v>9</v>
      </c>
      <c r="J50">
        <v>4</v>
      </c>
      <c r="K50" t="s">
        <v>47</v>
      </c>
      <c r="L50" t="s">
        <v>30</v>
      </c>
      <c r="M50" t="s">
        <v>11</v>
      </c>
      <c r="N50" t="s">
        <v>23</v>
      </c>
      <c r="O50">
        <v>2</v>
      </c>
      <c r="P50" t="s">
        <v>48</v>
      </c>
      <c r="Q50">
        <v>3</v>
      </c>
      <c r="R50" t="s">
        <v>49</v>
      </c>
      <c r="S50" t="s">
        <v>31</v>
      </c>
      <c r="T50" t="s">
        <v>58</v>
      </c>
    </row>
    <row r="51" spans="1:20" x14ac:dyDescent="0.3">
      <c r="A51" t="s">
        <v>100</v>
      </c>
      <c r="B51">
        <v>35</v>
      </c>
      <c r="C51" t="s">
        <v>34</v>
      </c>
      <c r="D51" t="s">
        <v>63</v>
      </c>
      <c r="E51" t="s">
        <v>64</v>
      </c>
      <c r="F51">
        <v>11</v>
      </c>
      <c r="G51" t="s">
        <v>36</v>
      </c>
      <c r="H51">
        <v>37</v>
      </c>
      <c r="I51">
        <v>3</v>
      </c>
      <c r="J51">
        <v>4</v>
      </c>
      <c r="K51" t="s">
        <v>9</v>
      </c>
      <c r="L51" t="s">
        <v>68</v>
      </c>
      <c r="M51" t="s">
        <v>11</v>
      </c>
      <c r="N51" t="s">
        <v>29</v>
      </c>
      <c r="O51">
        <v>1</v>
      </c>
      <c r="P51" t="s">
        <v>24</v>
      </c>
      <c r="Q51">
        <v>3</v>
      </c>
      <c r="R51" t="s">
        <v>30</v>
      </c>
      <c r="S51" t="s">
        <v>42</v>
      </c>
      <c r="T51" t="s">
        <v>16</v>
      </c>
    </row>
    <row r="52" spans="1:20" x14ac:dyDescent="0.3">
      <c r="A52" t="s">
        <v>101</v>
      </c>
      <c r="B52">
        <v>26</v>
      </c>
      <c r="C52" t="s">
        <v>5</v>
      </c>
      <c r="D52" t="s">
        <v>6</v>
      </c>
      <c r="E52" t="s">
        <v>51</v>
      </c>
      <c r="F52">
        <v>34</v>
      </c>
      <c r="G52" t="s">
        <v>36</v>
      </c>
      <c r="H52">
        <v>28</v>
      </c>
      <c r="I52">
        <v>10</v>
      </c>
      <c r="J52">
        <v>4</v>
      </c>
      <c r="K52" t="s">
        <v>37</v>
      </c>
      <c r="L52" t="s">
        <v>22</v>
      </c>
      <c r="M52" t="s">
        <v>38</v>
      </c>
      <c r="N52" t="s">
        <v>12</v>
      </c>
      <c r="O52">
        <v>5</v>
      </c>
      <c r="P52" t="s">
        <v>24</v>
      </c>
      <c r="Q52">
        <v>4</v>
      </c>
      <c r="R52" t="s">
        <v>49</v>
      </c>
      <c r="S52" t="s">
        <v>15</v>
      </c>
      <c r="T52" t="s">
        <v>16</v>
      </c>
    </row>
    <row r="53" spans="1:20" x14ac:dyDescent="0.3">
      <c r="A53" t="s">
        <v>102</v>
      </c>
      <c r="B53">
        <v>47</v>
      </c>
      <c r="C53" t="s">
        <v>34</v>
      </c>
      <c r="D53" t="s">
        <v>40</v>
      </c>
      <c r="E53" t="s">
        <v>41</v>
      </c>
      <c r="F53">
        <v>25</v>
      </c>
      <c r="G53" t="s">
        <v>21</v>
      </c>
      <c r="H53">
        <v>31</v>
      </c>
      <c r="I53">
        <v>9</v>
      </c>
      <c r="J53">
        <v>5</v>
      </c>
      <c r="K53" t="s">
        <v>47</v>
      </c>
      <c r="L53" t="s">
        <v>30</v>
      </c>
      <c r="M53" t="s">
        <v>11</v>
      </c>
      <c r="N53" t="s">
        <v>12</v>
      </c>
      <c r="O53">
        <v>4</v>
      </c>
      <c r="P53" t="s">
        <v>24</v>
      </c>
      <c r="Q53">
        <v>1</v>
      </c>
      <c r="R53" t="s">
        <v>30</v>
      </c>
      <c r="S53" t="s">
        <v>15</v>
      </c>
      <c r="T53" t="s">
        <v>44</v>
      </c>
    </row>
    <row r="54" spans="1:20" x14ac:dyDescent="0.3">
      <c r="A54" t="s">
        <v>103</v>
      </c>
      <c r="B54">
        <v>42</v>
      </c>
      <c r="C54" t="s">
        <v>18</v>
      </c>
      <c r="D54" t="s">
        <v>27</v>
      </c>
      <c r="E54" t="s">
        <v>64</v>
      </c>
      <c r="F54">
        <v>3</v>
      </c>
      <c r="G54" t="s">
        <v>36</v>
      </c>
      <c r="H54">
        <v>26</v>
      </c>
      <c r="I54">
        <v>14</v>
      </c>
      <c r="J54">
        <v>3</v>
      </c>
      <c r="K54" t="s">
        <v>9</v>
      </c>
      <c r="L54" t="s">
        <v>30</v>
      </c>
      <c r="M54" t="s">
        <v>11</v>
      </c>
      <c r="N54" t="s">
        <v>12</v>
      </c>
      <c r="O54">
        <v>2</v>
      </c>
      <c r="P54" t="s">
        <v>24</v>
      </c>
      <c r="Q54">
        <v>2</v>
      </c>
      <c r="R54" t="s">
        <v>49</v>
      </c>
      <c r="S54" t="s">
        <v>15</v>
      </c>
      <c r="T54" t="s">
        <v>44</v>
      </c>
    </row>
    <row r="55" spans="1:20" x14ac:dyDescent="0.3">
      <c r="A55" t="s">
        <v>104</v>
      </c>
      <c r="B55">
        <v>60</v>
      </c>
      <c r="C55" t="s">
        <v>46</v>
      </c>
      <c r="D55" t="s">
        <v>63</v>
      </c>
      <c r="E55" t="s">
        <v>7</v>
      </c>
      <c r="F55">
        <v>34</v>
      </c>
      <c r="G55" t="s">
        <v>36</v>
      </c>
      <c r="H55">
        <v>46</v>
      </c>
      <c r="I55">
        <v>15</v>
      </c>
      <c r="J55">
        <v>2</v>
      </c>
      <c r="K55" t="s">
        <v>9</v>
      </c>
      <c r="L55" t="s">
        <v>10</v>
      </c>
      <c r="M55" t="s">
        <v>38</v>
      </c>
      <c r="N55" t="s">
        <v>29</v>
      </c>
      <c r="O55">
        <v>1</v>
      </c>
      <c r="P55" t="s">
        <v>48</v>
      </c>
      <c r="Q55">
        <v>1</v>
      </c>
      <c r="R55" t="s">
        <v>30</v>
      </c>
      <c r="S55" t="s">
        <v>42</v>
      </c>
      <c r="T55" t="s">
        <v>25</v>
      </c>
    </row>
    <row r="56" spans="1:20" x14ac:dyDescent="0.3">
      <c r="A56" t="s">
        <v>105</v>
      </c>
      <c r="B56">
        <v>26</v>
      </c>
      <c r="C56" t="s">
        <v>18</v>
      </c>
      <c r="D56" t="s">
        <v>27</v>
      </c>
      <c r="E56" t="s">
        <v>28</v>
      </c>
      <c r="F56">
        <v>5</v>
      </c>
      <c r="G56" t="s">
        <v>8</v>
      </c>
      <c r="H56">
        <v>55</v>
      </c>
      <c r="I56">
        <v>6</v>
      </c>
      <c r="J56">
        <v>1</v>
      </c>
      <c r="K56" t="s">
        <v>9</v>
      </c>
      <c r="L56" t="s">
        <v>68</v>
      </c>
      <c r="M56" t="s">
        <v>38</v>
      </c>
      <c r="N56" t="s">
        <v>12</v>
      </c>
      <c r="O56">
        <v>4</v>
      </c>
      <c r="P56" t="s">
        <v>24</v>
      </c>
      <c r="Q56">
        <v>1</v>
      </c>
      <c r="R56" t="s">
        <v>49</v>
      </c>
      <c r="S56" t="s">
        <v>31</v>
      </c>
      <c r="T56" t="s">
        <v>25</v>
      </c>
    </row>
    <row r="57" spans="1:20" x14ac:dyDescent="0.3">
      <c r="A57" t="s">
        <v>106</v>
      </c>
      <c r="B57">
        <v>30</v>
      </c>
      <c r="C57" t="s">
        <v>5</v>
      </c>
      <c r="D57" t="s">
        <v>63</v>
      </c>
      <c r="E57" t="s">
        <v>28</v>
      </c>
      <c r="F57">
        <v>8</v>
      </c>
      <c r="G57" t="s">
        <v>8</v>
      </c>
      <c r="H57">
        <v>47</v>
      </c>
      <c r="I57">
        <v>12</v>
      </c>
      <c r="J57">
        <v>3</v>
      </c>
      <c r="K57" t="s">
        <v>47</v>
      </c>
      <c r="L57" t="s">
        <v>22</v>
      </c>
      <c r="M57" t="s">
        <v>11</v>
      </c>
      <c r="N57" t="s">
        <v>23</v>
      </c>
      <c r="O57">
        <v>3</v>
      </c>
      <c r="P57" t="s">
        <v>48</v>
      </c>
      <c r="Q57">
        <v>5</v>
      </c>
      <c r="R57" t="s">
        <v>49</v>
      </c>
      <c r="S57" t="s">
        <v>15</v>
      </c>
      <c r="T57" t="s">
        <v>58</v>
      </c>
    </row>
    <row r="58" spans="1:20" x14ac:dyDescent="0.3">
      <c r="A58" t="s">
        <v>107</v>
      </c>
      <c r="B58">
        <v>42</v>
      </c>
      <c r="C58" t="s">
        <v>34</v>
      </c>
      <c r="D58" t="s">
        <v>27</v>
      </c>
      <c r="E58" t="s">
        <v>20</v>
      </c>
      <c r="F58">
        <v>14</v>
      </c>
      <c r="G58" t="s">
        <v>21</v>
      </c>
      <c r="H58">
        <v>48</v>
      </c>
      <c r="I58">
        <v>13</v>
      </c>
      <c r="J58">
        <v>5</v>
      </c>
      <c r="K58" t="s">
        <v>47</v>
      </c>
      <c r="L58" t="s">
        <v>10</v>
      </c>
      <c r="M58" t="s">
        <v>38</v>
      </c>
      <c r="N58" t="s">
        <v>23</v>
      </c>
      <c r="O58">
        <v>4</v>
      </c>
      <c r="P58" t="s">
        <v>48</v>
      </c>
      <c r="Q58">
        <v>5</v>
      </c>
      <c r="R58" t="s">
        <v>30</v>
      </c>
      <c r="S58" t="s">
        <v>15</v>
      </c>
      <c r="T58" t="s">
        <v>25</v>
      </c>
    </row>
    <row r="59" spans="1:20" x14ac:dyDescent="0.3">
      <c r="A59" t="s">
        <v>108</v>
      </c>
      <c r="B59">
        <v>53</v>
      </c>
      <c r="C59" t="s">
        <v>46</v>
      </c>
      <c r="D59" t="s">
        <v>6</v>
      </c>
      <c r="E59" t="s">
        <v>20</v>
      </c>
      <c r="F59">
        <v>7</v>
      </c>
      <c r="G59" t="s">
        <v>36</v>
      </c>
      <c r="H59">
        <v>49</v>
      </c>
      <c r="I59">
        <v>6</v>
      </c>
      <c r="J59">
        <v>5</v>
      </c>
      <c r="K59" t="s">
        <v>47</v>
      </c>
      <c r="L59" t="s">
        <v>30</v>
      </c>
      <c r="M59" t="s">
        <v>11</v>
      </c>
      <c r="N59" t="s">
        <v>29</v>
      </c>
      <c r="O59">
        <v>4</v>
      </c>
      <c r="P59" t="s">
        <v>24</v>
      </c>
      <c r="Q59">
        <v>3</v>
      </c>
      <c r="R59" t="s">
        <v>30</v>
      </c>
      <c r="S59" t="s">
        <v>42</v>
      </c>
      <c r="T59" t="s">
        <v>44</v>
      </c>
    </row>
    <row r="60" spans="1:20" x14ac:dyDescent="0.3">
      <c r="A60" t="s">
        <v>109</v>
      </c>
      <c r="B60">
        <v>26</v>
      </c>
      <c r="C60" t="s">
        <v>46</v>
      </c>
      <c r="D60" t="s">
        <v>61</v>
      </c>
      <c r="E60" t="s">
        <v>51</v>
      </c>
      <c r="F60">
        <v>31</v>
      </c>
      <c r="G60" t="s">
        <v>21</v>
      </c>
      <c r="H60">
        <v>51</v>
      </c>
      <c r="I60">
        <v>4</v>
      </c>
      <c r="J60">
        <v>1</v>
      </c>
      <c r="K60" t="s">
        <v>47</v>
      </c>
      <c r="L60" t="s">
        <v>30</v>
      </c>
      <c r="M60" t="s">
        <v>11</v>
      </c>
      <c r="N60" t="s">
        <v>12</v>
      </c>
      <c r="O60">
        <v>2</v>
      </c>
      <c r="P60" t="s">
        <v>13</v>
      </c>
      <c r="Q60">
        <v>3</v>
      </c>
      <c r="R60" t="s">
        <v>49</v>
      </c>
      <c r="S60" t="s">
        <v>42</v>
      </c>
      <c r="T60" t="s">
        <v>55</v>
      </c>
    </row>
    <row r="61" spans="1:20" x14ac:dyDescent="0.3">
      <c r="A61" t="s">
        <v>110</v>
      </c>
      <c r="B61">
        <v>26</v>
      </c>
      <c r="C61" t="s">
        <v>46</v>
      </c>
      <c r="D61" t="s">
        <v>19</v>
      </c>
      <c r="E61" t="s">
        <v>20</v>
      </c>
      <c r="F61">
        <v>17</v>
      </c>
      <c r="G61" t="s">
        <v>21</v>
      </c>
      <c r="H61">
        <v>57</v>
      </c>
      <c r="I61">
        <v>13</v>
      </c>
      <c r="J61">
        <v>2</v>
      </c>
      <c r="K61" t="s">
        <v>9</v>
      </c>
      <c r="L61" t="s">
        <v>30</v>
      </c>
      <c r="M61" t="s">
        <v>38</v>
      </c>
      <c r="N61" t="s">
        <v>29</v>
      </c>
      <c r="O61">
        <v>1</v>
      </c>
      <c r="P61" t="s">
        <v>24</v>
      </c>
      <c r="Q61">
        <v>5</v>
      </c>
      <c r="R61" t="s">
        <v>49</v>
      </c>
      <c r="S61" t="s">
        <v>31</v>
      </c>
      <c r="T61" t="s">
        <v>55</v>
      </c>
    </row>
    <row r="62" spans="1:20" x14ac:dyDescent="0.3">
      <c r="A62" t="s">
        <v>111</v>
      </c>
      <c r="B62">
        <v>25</v>
      </c>
      <c r="C62" t="s">
        <v>5</v>
      </c>
      <c r="D62" t="s">
        <v>40</v>
      </c>
      <c r="E62" t="s">
        <v>41</v>
      </c>
      <c r="F62">
        <v>4</v>
      </c>
      <c r="G62" t="s">
        <v>8</v>
      </c>
      <c r="H62">
        <v>33</v>
      </c>
      <c r="I62">
        <v>14</v>
      </c>
      <c r="J62">
        <v>4</v>
      </c>
      <c r="K62" t="s">
        <v>9</v>
      </c>
      <c r="L62" t="s">
        <v>10</v>
      </c>
      <c r="M62" t="s">
        <v>38</v>
      </c>
      <c r="N62" t="s">
        <v>29</v>
      </c>
      <c r="O62">
        <v>1</v>
      </c>
      <c r="P62" t="s">
        <v>13</v>
      </c>
      <c r="Q62">
        <v>2</v>
      </c>
      <c r="R62" t="s">
        <v>49</v>
      </c>
      <c r="S62" t="s">
        <v>15</v>
      </c>
      <c r="T62" t="s">
        <v>16</v>
      </c>
    </row>
    <row r="63" spans="1:20" x14ac:dyDescent="0.3">
      <c r="A63" t="s">
        <v>112</v>
      </c>
      <c r="B63">
        <v>33</v>
      </c>
      <c r="C63" t="s">
        <v>18</v>
      </c>
      <c r="D63" t="s">
        <v>40</v>
      </c>
      <c r="E63" t="s">
        <v>20</v>
      </c>
      <c r="F63">
        <v>14</v>
      </c>
      <c r="G63" t="s">
        <v>21</v>
      </c>
      <c r="H63">
        <v>30</v>
      </c>
      <c r="I63">
        <v>15</v>
      </c>
      <c r="J63">
        <v>2</v>
      </c>
      <c r="K63" t="s">
        <v>9</v>
      </c>
      <c r="L63" t="s">
        <v>10</v>
      </c>
      <c r="M63" t="s">
        <v>38</v>
      </c>
      <c r="N63" t="s">
        <v>23</v>
      </c>
      <c r="O63">
        <v>5</v>
      </c>
      <c r="P63" t="s">
        <v>13</v>
      </c>
      <c r="Q63">
        <v>5</v>
      </c>
      <c r="R63" t="s">
        <v>49</v>
      </c>
      <c r="S63" t="s">
        <v>15</v>
      </c>
      <c r="T63" t="s">
        <v>32</v>
      </c>
    </row>
    <row r="64" spans="1:20" x14ac:dyDescent="0.3">
      <c r="A64" t="s">
        <v>113</v>
      </c>
      <c r="B64">
        <v>25</v>
      </c>
      <c r="C64" t="s">
        <v>5</v>
      </c>
      <c r="D64" t="s">
        <v>63</v>
      </c>
      <c r="E64" t="s">
        <v>35</v>
      </c>
      <c r="F64">
        <v>20</v>
      </c>
      <c r="G64" t="s">
        <v>8</v>
      </c>
      <c r="H64">
        <v>28</v>
      </c>
      <c r="I64">
        <v>4</v>
      </c>
      <c r="J64">
        <v>3</v>
      </c>
      <c r="K64" t="s">
        <v>9</v>
      </c>
      <c r="L64" t="s">
        <v>10</v>
      </c>
      <c r="M64" t="s">
        <v>11</v>
      </c>
      <c r="N64" t="s">
        <v>29</v>
      </c>
      <c r="O64">
        <v>3</v>
      </c>
      <c r="P64" t="s">
        <v>24</v>
      </c>
      <c r="Q64">
        <v>2</v>
      </c>
      <c r="R64" t="s">
        <v>30</v>
      </c>
      <c r="S64" t="s">
        <v>31</v>
      </c>
      <c r="T64" t="s">
        <v>25</v>
      </c>
    </row>
    <row r="65" spans="1:20" x14ac:dyDescent="0.3">
      <c r="A65" t="s">
        <v>114</v>
      </c>
      <c r="B65">
        <v>22</v>
      </c>
      <c r="C65" t="s">
        <v>18</v>
      </c>
      <c r="D65" t="s">
        <v>27</v>
      </c>
      <c r="E65" t="s">
        <v>7</v>
      </c>
      <c r="F65">
        <v>5</v>
      </c>
      <c r="G65" t="s">
        <v>36</v>
      </c>
      <c r="H65">
        <v>31</v>
      </c>
      <c r="I65">
        <v>15</v>
      </c>
      <c r="J65">
        <v>3</v>
      </c>
      <c r="K65" t="s">
        <v>9</v>
      </c>
      <c r="L65" t="s">
        <v>10</v>
      </c>
      <c r="M65" t="s">
        <v>38</v>
      </c>
      <c r="N65" t="s">
        <v>29</v>
      </c>
      <c r="O65">
        <v>2</v>
      </c>
      <c r="P65" t="s">
        <v>24</v>
      </c>
      <c r="Q65">
        <v>5</v>
      </c>
      <c r="R65" t="s">
        <v>30</v>
      </c>
      <c r="S65" t="s">
        <v>15</v>
      </c>
      <c r="T65" t="s">
        <v>44</v>
      </c>
    </row>
    <row r="66" spans="1:20" x14ac:dyDescent="0.3">
      <c r="A66" t="s">
        <v>115</v>
      </c>
      <c r="B66">
        <v>60</v>
      </c>
      <c r="C66" t="s">
        <v>46</v>
      </c>
      <c r="D66" t="s">
        <v>19</v>
      </c>
      <c r="E66" t="s">
        <v>7</v>
      </c>
      <c r="F66">
        <v>18</v>
      </c>
      <c r="G66" t="s">
        <v>8</v>
      </c>
      <c r="H66">
        <v>37</v>
      </c>
      <c r="I66">
        <v>0</v>
      </c>
      <c r="J66">
        <v>4</v>
      </c>
      <c r="K66" t="s">
        <v>9</v>
      </c>
      <c r="L66" t="s">
        <v>68</v>
      </c>
      <c r="M66" t="s">
        <v>11</v>
      </c>
      <c r="N66" t="s">
        <v>29</v>
      </c>
      <c r="O66">
        <v>2</v>
      </c>
      <c r="P66" t="s">
        <v>13</v>
      </c>
      <c r="Q66">
        <v>2</v>
      </c>
      <c r="R66" t="s">
        <v>30</v>
      </c>
      <c r="S66" t="s">
        <v>15</v>
      </c>
      <c r="T66" t="s">
        <v>55</v>
      </c>
    </row>
    <row r="67" spans="1:20" x14ac:dyDescent="0.3">
      <c r="A67" t="s">
        <v>116</v>
      </c>
      <c r="B67">
        <v>56</v>
      </c>
      <c r="C67" t="s">
        <v>34</v>
      </c>
      <c r="D67" t="s">
        <v>6</v>
      </c>
      <c r="E67" t="s">
        <v>35</v>
      </c>
      <c r="F67">
        <v>9</v>
      </c>
      <c r="G67" t="s">
        <v>21</v>
      </c>
      <c r="H67">
        <v>31</v>
      </c>
      <c r="I67">
        <v>3</v>
      </c>
      <c r="J67">
        <v>4</v>
      </c>
      <c r="K67" t="s">
        <v>9</v>
      </c>
      <c r="L67" t="s">
        <v>22</v>
      </c>
      <c r="M67" t="s">
        <v>38</v>
      </c>
      <c r="N67" t="s">
        <v>23</v>
      </c>
      <c r="O67">
        <v>4</v>
      </c>
      <c r="P67" t="s">
        <v>24</v>
      </c>
      <c r="Q67">
        <v>4</v>
      </c>
      <c r="R67" t="s">
        <v>14</v>
      </c>
      <c r="S67" t="s">
        <v>31</v>
      </c>
      <c r="T67" t="s">
        <v>16</v>
      </c>
    </row>
    <row r="68" spans="1:20" x14ac:dyDescent="0.3">
      <c r="A68" t="s">
        <v>117</v>
      </c>
      <c r="B68">
        <v>45</v>
      </c>
      <c r="C68" t="s">
        <v>5</v>
      </c>
      <c r="D68" t="s">
        <v>27</v>
      </c>
      <c r="E68" t="s">
        <v>20</v>
      </c>
      <c r="F68">
        <v>6</v>
      </c>
      <c r="G68" t="s">
        <v>8</v>
      </c>
      <c r="H68">
        <v>46</v>
      </c>
      <c r="I68">
        <v>3</v>
      </c>
      <c r="J68">
        <v>1</v>
      </c>
      <c r="K68" t="s">
        <v>9</v>
      </c>
      <c r="L68" t="s">
        <v>68</v>
      </c>
      <c r="M68" t="s">
        <v>11</v>
      </c>
      <c r="N68" t="s">
        <v>23</v>
      </c>
      <c r="O68">
        <v>3</v>
      </c>
      <c r="P68" t="s">
        <v>24</v>
      </c>
      <c r="Q68">
        <v>2</v>
      </c>
      <c r="R68" t="s">
        <v>49</v>
      </c>
      <c r="S68" t="s">
        <v>15</v>
      </c>
      <c r="T68" t="s">
        <v>55</v>
      </c>
    </row>
    <row r="69" spans="1:20" x14ac:dyDescent="0.3">
      <c r="A69" t="s">
        <v>118</v>
      </c>
      <c r="B69">
        <v>60</v>
      </c>
      <c r="C69" t="s">
        <v>18</v>
      </c>
      <c r="D69" t="s">
        <v>57</v>
      </c>
      <c r="E69" t="s">
        <v>28</v>
      </c>
      <c r="F69">
        <v>32</v>
      </c>
      <c r="G69" t="s">
        <v>21</v>
      </c>
      <c r="H69">
        <v>20</v>
      </c>
      <c r="I69">
        <v>6</v>
      </c>
      <c r="J69">
        <v>2</v>
      </c>
      <c r="K69" t="s">
        <v>37</v>
      </c>
      <c r="L69" t="s">
        <v>30</v>
      </c>
      <c r="M69" t="s">
        <v>38</v>
      </c>
      <c r="N69" t="s">
        <v>12</v>
      </c>
      <c r="O69">
        <v>3</v>
      </c>
      <c r="P69" t="s">
        <v>13</v>
      </c>
      <c r="Q69">
        <v>4</v>
      </c>
      <c r="R69" t="s">
        <v>14</v>
      </c>
      <c r="S69" t="s">
        <v>31</v>
      </c>
      <c r="T69" t="s">
        <v>55</v>
      </c>
    </row>
    <row r="70" spans="1:20" x14ac:dyDescent="0.3">
      <c r="A70" t="s">
        <v>119</v>
      </c>
      <c r="B70">
        <v>32</v>
      </c>
      <c r="C70" t="s">
        <v>18</v>
      </c>
      <c r="D70" t="s">
        <v>61</v>
      </c>
      <c r="E70" t="s">
        <v>51</v>
      </c>
      <c r="F70">
        <v>23</v>
      </c>
      <c r="G70" t="s">
        <v>36</v>
      </c>
      <c r="H70">
        <v>51</v>
      </c>
      <c r="I70">
        <v>8</v>
      </c>
      <c r="J70">
        <v>2</v>
      </c>
      <c r="K70" t="s">
        <v>37</v>
      </c>
      <c r="L70" t="s">
        <v>22</v>
      </c>
      <c r="M70" t="s">
        <v>38</v>
      </c>
      <c r="N70" t="s">
        <v>12</v>
      </c>
      <c r="O70">
        <v>3</v>
      </c>
      <c r="P70" t="s">
        <v>48</v>
      </c>
      <c r="Q70">
        <v>1</v>
      </c>
      <c r="R70" t="s">
        <v>49</v>
      </c>
      <c r="S70" t="s">
        <v>42</v>
      </c>
      <c r="T70" t="s">
        <v>44</v>
      </c>
    </row>
    <row r="71" spans="1:20" x14ac:dyDescent="0.3">
      <c r="A71" t="s">
        <v>120</v>
      </c>
      <c r="B71">
        <v>25</v>
      </c>
      <c r="C71" t="s">
        <v>18</v>
      </c>
      <c r="D71" t="s">
        <v>57</v>
      </c>
      <c r="E71" t="s">
        <v>35</v>
      </c>
      <c r="F71">
        <v>6</v>
      </c>
      <c r="G71" t="s">
        <v>21</v>
      </c>
      <c r="H71">
        <v>28</v>
      </c>
      <c r="I71">
        <v>13</v>
      </c>
      <c r="J71">
        <v>2</v>
      </c>
      <c r="K71" t="s">
        <v>47</v>
      </c>
      <c r="L71" t="s">
        <v>30</v>
      </c>
      <c r="M71" t="s">
        <v>11</v>
      </c>
      <c r="N71" t="s">
        <v>29</v>
      </c>
      <c r="O71">
        <v>5</v>
      </c>
      <c r="P71" t="s">
        <v>48</v>
      </c>
      <c r="Q71">
        <v>1</v>
      </c>
      <c r="R71" t="s">
        <v>49</v>
      </c>
      <c r="S71" t="s">
        <v>15</v>
      </c>
      <c r="T71" t="s">
        <v>32</v>
      </c>
    </row>
    <row r="72" spans="1:20" x14ac:dyDescent="0.3">
      <c r="A72" t="s">
        <v>121</v>
      </c>
      <c r="B72">
        <v>43</v>
      </c>
      <c r="C72" t="s">
        <v>46</v>
      </c>
      <c r="D72" t="s">
        <v>57</v>
      </c>
      <c r="E72" t="s">
        <v>41</v>
      </c>
      <c r="F72">
        <v>23</v>
      </c>
      <c r="G72" t="s">
        <v>36</v>
      </c>
      <c r="H72">
        <v>39</v>
      </c>
      <c r="I72">
        <v>4</v>
      </c>
      <c r="J72">
        <v>4</v>
      </c>
      <c r="K72" t="s">
        <v>9</v>
      </c>
      <c r="L72" t="s">
        <v>22</v>
      </c>
      <c r="M72" t="s">
        <v>11</v>
      </c>
      <c r="N72" t="s">
        <v>23</v>
      </c>
      <c r="O72">
        <v>4</v>
      </c>
      <c r="P72" t="s">
        <v>24</v>
      </c>
      <c r="Q72">
        <v>1</v>
      </c>
      <c r="R72" t="s">
        <v>14</v>
      </c>
      <c r="S72" t="s">
        <v>42</v>
      </c>
      <c r="T72" t="s">
        <v>32</v>
      </c>
    </row>
    <row r="73" spans="1:20" x14ac:dyDescent="0.3">
      <c r="A73" t="s">
        <v>122</v>
      </c>
      <c r="B73">
        <v>50</v>
      </c>
      <c r="C73" t="s">
        <v>46</v>
      </c>
      <c r="D73" t="s">
        <v>61</v>
      </c>
      <c r="E73" t="s">
        <v>41</v>
      </c>
      <c r="F73">
        <v>25</v>
      </c>
      <c r="G73" t="s">
        <v>21</v>
      </c>
      <c r="H73">
        <v>29</v>
      </c>
      <c r="I73">
        <v>13</v>
      </c>
      <c r="J73">
        <v>1</v>
      </c>
      <c r="K73" t="s">
        <v>9</v>
      </c>
      <c r="L73" t="s">
        <v>10</v>
      </c>
      <c r="M73" t="s">
        <v>38</v>
      </c>
      <c r="N73" t="s">
        <v>29</v>
      </c>
      <c r="O73">
        <v>2</v>
      </c>
      <c r="P73" t="s">
        <v>48</v>
      </c>
      <c r="Q73">
        <v>2</v>
      </c>
      <c r="R73" t="s">
        <v>14</v>
      </c>
      <c r="S73" t="s">
        <v>42</v>
      </c>
      <c r="T73" t="s">
        <v>55</v>
      </c>
    </row>
    <row r="74" spans="1:20" x14ac:dyDescent="0.3">
      <c r="A74" t="s">
        <v>123</v>
      </c>
      <c r="B74">
        <v>28</v>
      </c>
      <c r="C74" t="s">
        <v>46</v>
      </c>
      <c r="D74" t="s">
        <v>61</v>
      </c>
      <c r="E74" t="s">
        <v>64</v>
      </c>
      <c r="F74">
        <v>15</v>
      </c>
      <c r="G74" t="s">
        <v>36</v>
      </c>
      <c r="H74">
        <v>30</v>
      </c>
      <c r="I74">
        <v>14</v>
      </c>
      <c r="J74">
        <v>5</v>
      </c>
      <c r="K74" t="s">
        <v>37</v>
      </c>
      <c r="L74" t="s">
        <v>68</v>
      </c>
      <c r="M74" t="s">
        <v>38</v>
      </c>
      <c r="N74" t="s">
        <v>29</v>
      </c>
      <c r="O74">
        <v>2</v>
      </c>
      <c r="P74" t="s">
        <v>13</v>
      </c>
      <c r="Q74">
        <v>1</v>
      </c>
      <c r="R74" t="s">
        <v>14</v>
      </c>
      <c r="S74" t="s">
        <v>15</v>
      </c>
      <c r="T74" t="s">
        <v>58</v>
      </c>
    </row>
    <row r="75" spans="1:20" x14ac:dyDescent="0.3">
      <c r="A75" t="s">
        <v>124</v>
      </c>
      <c r="B75">
        <v>23</v>
      </c>
      <c r="C75" t="s">
        <v>5</v>
      </c>
      <c r="D75" t="s">
        <v>27</v>
      </c>
      <c r="E75" t="s">
        <v>20</v>
      </c>
      <c r="F75">
        <v>29</v>
      </c>
      <c r="G75" t="s">
        <v>8</v>
      </c>
      <c r="H75">
        <v>53</v>
      </c>
      <c r="I75">
        <v>7</v>
      </c>
      <c r="J75">
        <v>3</v>
      </c>
      <c r="K75" t="s">
        <v>37</v>
      </c>
      <c r="L75" t="s">
        <v>22</v>
      </c>
      <c r="M75" t="s">
        <v>38</v>
      </c>
      <c r="N75" t="s">
        <v>12</v>
      </c>
      <c r="O75">
        <v>1</v>
      </c>
      <c r="P75" t="s">
        <v>48</v>
      </c>
      <c r="Q75">
        <v>1</v>
      </c>
      <c r="R75" t="s">
        <v>30</v>
      </c>
      <c r="S75" t="s">
        <v>31</v>
      </c>
      <c r="T75" t="s">
        <v>58</v>
      </c>
    </row>
    <row r="76" spans="1:20" x14ac:dyDescent="0.3">
      <c r="A76" t="s">
        <v>125</v>
      </c>
      <c r="B76">
        <v>38</v>
      </c>
      <c r="C76" t="s">
        <v>46</v>
      </c>
      <c r="D76" t="s">
        <v>63</v>
      </c>
      <c r="E76" t="s">
        <v>41</v>
      </c>
      <c r="F76">
        <v>35</v>
      </c>
      <c r="G76" t="s">
        <v>36</v>
      </c>
      <c r="H76">
        <v>57</v>
      </c>
      <c r="I76">
        <v>10</v>
      </c>
      <c r="J76">
        <v>2</v>
      </c>
      <c r="K76" t="s">
        <v>9</v>
      </c>
      <c r="L76" t="s">
        <v>68</v>
      </c>
      <c r="M76" t="s">
        <v>11</v>
      </c>
      <c r="N76" t="s">
        <v>29</v>
      </c>
      <c r="O76">
        <v>3</v>
      </c>
      <c r="P76" t="s">
        <v>48</v>
      </c>
      <c r="Q76">
        <v>3</v>
      </c>
      <c r="R76" t="s">
        <v>14</v>
      </c>
      <c r="S76" t="s">
        <v>31</v>
      </c>
      <c r="T76" t="s">
        <v>58</v>
      </c>
    </row>
    <row r="77" spans="1:20" x14ac:dyDescent="0.3">
      <c r="A77" t="s">
        <v>126</v>
      </c>
      <c r="B77">
        <v>42</v>
      </c>
      <c r="C77" t="s">
        <v>34</v>
      </c>
      <c r="D77" t="s">
        <v>57</v>
      </c>
      <c r="E77" t="s">
        <v>64</v>
      </c>
      <c r="F77">
        <v>27</v>
      </c>
      <c r="G77" t="s">
        <v>36</v>
      </c>
      <c r="H77">
        <v>49</v>
      </c>
      <c r="I77">
        <v>3</v>
      </c>
      <c r="J77">
        <v>5</v>
      </c>
      <c r="K77" t="s">
        <v>37</v>
      </c>
      <c r="L77" t="s">
        <v>22</v>
      </c>
      <c r="M77" t="s">
        <v>38</v>
      </c>
      <c r="N77" t="s">
        <v>29</v>
      </c>
      <c r="O77">
        <v>4</v>
      </c>
      <c r="P77" t="s">
        <v>24</v>
      </c>
      <c r="Q77">
        <v>3</v>
      </c>
      <c r="R77" t="s">
        <v>30</v>
      </c>
      <c r="S77" t="s">
        <v>15</v>
      </c>
      <c r="T77" t="s">
        <v>25</v>
      </c>
    </row>
    <row r="78" spans="1:20" x14ac:dyDescent="0.3">
      <c r="A78" t="s">
        <v>127</v>
      </c>
      <c r="B78">
        <v>31</v>
      </c>
      <c r="C78" t="s">
        <v>5</v>
      </c>
      <c r="D78" t="s">
        <v>6</v>
      </c>
      <c r="E78" t="s">
        <v>41</v>
      </c>
      <c r="F78">
        <v>4</v>
      </c>
      <c r="G78" t="s">
        <v>36</v>
      </c>
      <c r="H78">
        <v>55</v>
      </c>
      <c r="I78">
        <v>8</v>
      </c>
      <c r="J78">
        <v>4</v>
      </c>
      <c r="K78" t="s">
        <v>37</v>
      </c>
      <c r="L78" t="s">
        <v>10</v>
      </c>
      <c r="M78" t="s">
        <v>11</v>
      </c>
      <c r="N78" t="s">
        <v>29</v>
      </c>
      <c r="O78">
        <v>1</v>
      </c>
      <c r="P78" t="s">
        <v>13</v>
      </c>
      <c r="Q78">
        <v>2</v>
      </c>
      <c r="R78" t="s">
        <v>14</v>
      </c>
      <c r="S78" t="s">
        <v>15</v>
      </c>
      <c r="T78" t="s">
        <v>16</v>
      </c>
    </row>
    <row r="79" spans="1:20" x14ac:dyDescent="0.3">
      <c r="A79" t="s">
        <v>128</v>
      </c>
      <c r="B79">
        <v>28</v>
      </c>
      <c r="C79" t="s">
        <v>18</v>
      </c>
      <c r="D79" t="s">
        <v>57</v>
      </c>
      <c r="E79" t="s">
        <v>7</v>
      </c>
      <c r="F79">
        <v>25</v>
      </c>
      <c r="G79" t="s">
        <v>21</v>
      </c>
      <c r="H79">
        <v>37</v>
      </c>
      <c r="I79">
        <v>10</v>
      </c>
      <c r="J79">
        <v>5</v>
      </c>
      <c r="K79" t="s">
        <v>9</v>
      </c>
      <c r="L79" t="s">
        <v>22</v>
      </c>
      <c r="M79" t="s">
        <v>38</v>
      </c>
      <c r="N79" t="s">
        <v>29</v>
      </c>
      <c r="O79">
        <v>1</v>
      </c>
      <c r="P79" t="s">
        <v>24</v>
      </c>
      <c r="Q79">
        <v>1</v>
      </c>
      <c r="R79" t="s">
        <v>49</v>
      </c>
      <c r="S79" t="s">
        <v>42</v>
      </c>
      <c r="T79" t="s">
        <v>44</v>
      </c>
    </row>
    <row r="80" spans="1:20" x14ac:dyDescent="0.3">
      <c r="A80" t="s">
        <v>129</v>
      </c>
      <c r="B80">
        <v>29</v>
      </c>
      <c r="C80" t="s">
        <v>34</v>
      </c>
      <c r="D80" t="s">
        <v>19</v>
      </c>
      <c r="E80" t="s">
        <v>51</v>
      </c>
      <c r="F80">
        <v>15</v>
      </c>
      <c r="G80" t="s">
        <v>21</v>
      </c>
      <c r="H80">
        <v>51</v>
      </c>
      <c r="I80">
        <v>5</v>
      </c>
      <c r="J80">
        <v>2</v>
      </c>
      <c r="K80" t="s">
        <v>37</v>
      </c>
      <c r="L80" t="s">
        <v>68</v>
      </c>
      <c r="M80" t="s">
        <v>38</v>
      </c>
      <c r="N80" t="s">
        <v>23</v>
      </c>
      <c r="O80">
        <v>2</v>
      </c>
      <c r="P80" t="s">
        <v>48</v>
      </c>
      <c r="Q80">
        <v>1</v>
      </c>
      <c r="R80" t="s">
        <v>49</v>
      </c>
      <c r="S80" t="s">
        <v>42</v>
      </c>
      <c r="T80" t="s">
        <v>44</v>
      </c>
    </row>
    <row r="81" spans="1:20" x14ac:dyDescent="0.3">
      <c r="A81" t="s">
        <v>130</v>
      </c>
      <c r="B81">
        <v>27</v>
      </c>
      <c r="C81" t="s">
        <v>34</v>
      </c>
      <c r="D81" t="s">
        <v>63</v>
      </c>
      <c r="E81" t="s">
        <v>41</v>
      </c>
      <c r="F81">
        <v>21</v>
      </c>
      <c r="G81" t="s">
        <v>8</v>
      </c>
      <c r="H81">
        <v>21</v>
      </c>
      <c r="I81">
        <v>7</v>
      </c>
      <c r="J81">
        <v>5</v>
      </c>
      <c r="K81" t="s">
        <v>47</v>
      </c>
      <c r="L81" t="s">
        <v>68</v>
      </c>
      <c r="M81" t="s">
        <v>11</v>
      </c>
      <c r="N81" t="s">
        <v>29</v>
      </c>
      <c r="O81">
        <v>4</v>
      </c>
      <c r="P81" t="s">
        <v>13</v>
      </c>
      <c r="Q81">
        <v>3</v>
      </c>
      <c r="R81" t="s">
        <v>14</v>
      </c>
      <c r="S81" t="s">
        <v>42</v>
      </c>
      <c r="T81" t="s">
        <v>25</v>
      </c>
    </row>
    <row r="82" spans="1:20" x14ac:dyDescent="0.3">
      <c r="A82" t="s">
        <v>131</v>
      </c>
      <c r="B82">
        <v>54</v>
      </c>
      <c r="C82" t="s">
        <v>18</v>
      </c>
      <c r="D82" t="s">
        <v>19</v>
      </c>
      <c r="E82" t="s">
        <v>28</v>
      </c>
      <c r="F82">
        <v>5</v>
      </c>
      <c r="G82" t="s">
        <v>8</v>
      </c>
      <c r="H82">
        <v>21</v>
      </c>
      <c r="I82">
        <v>10</v>
      </c>
      <c r="J82">
        <v>3</v>
      </c>
      <c r="K82" t="s">
        <v>37</v>
      </c>
      <c r="L82" t="s">
        <v>68</v>
      </c>
      <c r="M82" t="s">
        <v>11</v>
      </c>
      <c r="N82" t="s">
        <v>12</v>
      </c>
      <c r="O82">
        <v>4</v>
      </c>
      <c r="P82" t="s">
        <v>24</v>
      </c>
      <c r="Q82">
        <v>4</v>
      </c>
      <c r="R82" t="s">
        <v>30</v>
      </c>
      <c r="S82" t="s">
        <v>31</v>
      </c>
      <c r="T82" t="s">
        <v>25</v>
      </c>
    </row>
    <row r="83" spans="1:20" x14ac:dyDescent="0.3">
      <c r="A83" t="s">
        <v>132</v>
      </c>
      <c r="B83">
        <v>42</v>
      </c>
      <c r="C83" t="s">
        <v>5</v>
      </c>
      <c r="D83" t="s">
        <v>27</v>
      </c>
      <c r="E83" t="s">
        <v>35</v>
      </c>
      <c r="F83">
        <v>33</v>
      </c>
      <c r="G83" t="s">
        <v>36</v>
      </c>
      <c r="H83">
        <v>44</v>
      </c>
      <c r="I83">
        <v>9</v>
      </c>
      <c r="J83">
        <v>4</v>
      </c>
      <c r="K83" t="s">
        <v>37</v>
      </c>
      <c r="L83" t="s">
        <v>10</v>
      </c>
      <c r="M83" t="s">
        <v>38</v>
      </c>
      <c r="N83" t="s">
        <v>23</v>
      </c>
      <c r="O83">
        <v>3</v>
      </c>
      <c r="P83" t="s">
        <v>48</v>
      </c>
      <c r="Q83">
        <v>2</v>
      </c>
      <c r="R83" t="s">
        <v>49</v>
      </c>
      <c r="S83" t="s">
        <v>31</v>
      </c>
      <c r="T83" t="s">
        <v>44</v>
      </c>
    </row>
    <row r="84" spans="1:20" x14ac:dyDescent="0.3">
      <c r="A84" t="s">
        <v>133</v>
      </c>
      <c r="B84">
        <v>58</v>
      </c>
      <c r="C84" t="s">
        <v>46</v>
      </c>
      <c r="D84" t="s">
        <v>6</v>
      </c>
      <c r="E84" t="s">
        <v>28</v>
      </c>
      <c r="F84">
        <v>32</v>
      </c>
      <c r="G84" t="s">
        <v>8</v>
      </c>
      <c r="H84">
        <v>26</v>
      </c>
      <c r="I84">
        <v>10</v>
      </c>
      <c r="J84">
        <v>3</v>
      </c>
      <c r="K84" t="s">
        <v>37</v>
      </c>
      <c r="L84" t="s">
        <v>10</v>
      </c>
      <c r="M84" t="s">
        <v>38</v>
      </c>
      <c r="N84" t="s">
        <v>23</v>
      </c>
      <c r="O84">
        <v>5</v>
      </c>
      <c r="P84" t="s">
        <v>13</v>
      </c>
      <c r="Q84">
        <v>2</v>
      </c>
      <c r="R84" t="s">
        <v>14</v>
      </c>
      <c r="S84" t="s">
        <v>15</v>
      </c>
      <c r="T84" t="s">
        <v>32</v>
      </c>
    </row>
    <row r="85" spans="1:20" x14ac:dyDescent="0.3">
      <c r="A85" t="s">
        <v>134</v>
      </c>
      <c r="B85">
        <v>26</v>
      </c>
      <c r="C85" t="s">
        <v>18</v>
      </c>
      <c r="D85" t="s">
        <v>63</v>
      </c>
      <c r="E85" t="s">
        <v>7</v>
      </c>
      <c r="F85">
        <v>15</v>
      </c>
      <c r="G85" t="s">
        <v>8</v>
      </c>
      <c r="H85">
        <v>43</v>
      </c>
      <c r="I85">
        <v>6</v>
      </c>
      <c r="J85">
        <v>4</v>
      </c>
      <c r="K85" t="s">
        <v>37</v>
      </c>
      <c r="L85" t="s">
        <v>68</v>
      </c>
      <c r="M85" t="s">
        <v>38</v>
      </c>
      <c r="N85" t="s">
        <v>23</v>
      </c>
      <c r="O85">
        <v>5</v>
      </c>
      <c r="P85" t="s">
        <v>13</v>
      </c>
      <c r="Q85">
        <v>3</v>
      </c>
      <c r="R85" t="s">
        <v>30</v>
      </c>
      <c r="S85" t="s">
        <v>31</v>
      </c>
      <c r="T85" t="s">
        <v>16</v>
      </c>
    </row>
    <row r="86" spans="1:20" x14ac:dyDescent="0.3">
      <c r="A86" t="s">
        <v>135</v>
      </c>
      <c r="B86">
        <v>56</v>
      </c>
      <c r="C86" t="s">
        <v>34</v>
      </c>
      <c r="D86" t="s">
        <v>61</v>
      </c>
      <c r="E86" t="s">
        <v>64</v>
      </c>
      <c r="F86">
        <v>9</v>
      </c>
      <c r="G86" t="s">
        <v>8</v>
      </c>
      <c r="H86">
        <v>42</v>
      </c>
      <c r="I86">
        <v>14</v>
      </c>
      <c r="J86">
        <v>4</v>
      </c>
      <c r="K86" t="s">
        <v>47</v>
      </c>
      <c r="L86" t="s">
        <v>30</v>
      </c>
      <c r="M86" t="s">
        <v>38</v>
      </c>
      <c r="N86" t="s">
        <v>12</v>
      </c>
      <c r="O86">
        <v>2</v>
      </c>
      <c r="P86" t="s">
        <v>13</v>
      </c>
      <c r="Q86">
        <v>5</v>
      </c>
      <c r="R86" t="s">
        <v>30</v>
      </c>
      <c r="S86" t="s">
        <v>15</v>
      </c>
      <c r="T86" t="s">
        <v>55</v>
      </c>
    </row>
    <row r="87" spans="1:20" x14ac:dyDescent="0.3">
      <c r="A87" t="s">
        <v>136</v>
      </c>
      <c r="B87">
        <v>50</v>
      </c>
      <c r="C87" t="s">
        <v>34</v>
      </c>
      <c r="D87" t="s">
        <v>61</v>
      </c>
      <c r="E87" t="s">
        <v>35</v>
      </c>
      <c r="F87">
        <v>20</v>
      </c>
      <c r="G87" t="s">
        <v>8</v>
      </c>
      <c r="H87">
        <v>44</v>
      </c>
      <c r="I87">
        <v>8</v>
      </c>
      <c r="J87">
        <v>4</v>
      </c>
      <c r="K87" t="s">
        <v>47</v>
      </c>
      <c r="L87" t="s">
        <v>68</v>
      </c>
      <c r="M87" t="s">
        <v>11</v>
      </c>
      <c r="N87" t="s">
        <v>29</v>
      </c>
      <c r="O87">
        <v>2</v>
      </c>
      <c r="P87" t="s">
        <v>13</v>
      </c>
      <c r="Q87">
        <v>4</v>
      </c>
      <c r="R87" t="s">
        <v>49</v>
      </c>
      <c r="S87" t="s">
        <v>31</v>
      </c>
      <c r="T87" t="s">
        <v>25</v>
      </c>
    </row>
    <row r="88" spans="1:20" x14ac:dyDescent="0.3">
      <c r="A88" t="s">
        <v>137</v>
      </c>
      <c r="B88">
        <v>55</v>
      </c>
      <c r="C88" t="s">
        <v>46</v>
      </c>
      <c r="D88" t="s">
        <v>63</v>
      </c>
      <c r="E88" t="s">
        <v>51</v>
      </c>
      <c r="F88">
        <v>10</v>
      </c>
      <c r="G88" t="s">
        <v>36</v>
      </c>
      <c r="H88">
        <v>27</v>
      </c>
      <c r="I88">
        <v>0</v>
      </c>
      <c r="J88">
        <v>1</v>
      </c>
      <c r="K88" t="s">
        <v>47</v>
      </c>
      <c r="L88" t="s">
        <v>22</v>
      </c>
      <c r="M88" t="s">
        <v>11</v>
      </c>
      <c r="N88" t="s">
        <v>12</v>
      </c>
      <c r="O88">
        <v>1</v>
      </c>
      <c r="P88" t="s">
        <v>24</v>
      </c>
      <c r="Q88">
        <v>1</v>
      </c>
      <c r="R88" t="s">
        <v>14</v>
      </c>
      <c r="S88" t="s">
        <v>31</v>
      </c>
      <c r="T88" t="s">
        <v>32</v>
      </c>
    </row>
    <row r="89" spans="1:20" x14ac:dyDescent="0.3">
      <c r="A89" t="s">
        <v>138</v>
      </c>
      <c r="B89">
        <v>22</v>
      </c>
      <c r="C89" t="s">
        <v>46</v>
      </c>
      <c r="D89" t="s">
        <v>19</v>
      </c>
      <c r="E89" t="s">
        <v>28</v>
      </c>
      <c r="F89">
        <v>26</v>
      </c>
      <c r="G89" t="s">
        <v>8</v>
      </c>
      <c r="H89">
        <v>43</v>
      </c>
      <c r="I89">
        <v>5</v>
      </c>
      <c r="J89">
        <v>1</v>
      </c>
      <c r="K89" t="s">
        <v>9</v>
      </c>
      <c r="L89" t="s">
        <v>30</v>
      </c>
      <c r="M89" t="s">
        <v>38</v>
      </c>
      <c r="N89" t="s">
        <v>23</v>
      </c>
      <c r="O89">
        <v>2</v>
      </c>
      <c r="P89" t="s">
        <v>13</v>
      </c>
      <c r="Q89">
        <v>2</v>
      </c>
      <c r="R89" t="s">
        <v>14</v>
      </c>
      <c r="S89" t="s">
        <v>31</v>
      </c>
      <c r="T89" t="s">
        <v>58</v>
      </c>
    </row>
    <row r="90" spans="1:20" x14ac:dyDescent="0.3">
      <c r="A90" t="s">
        <v>139</v>
      </c>
      <c r="B90">
        <v>24</v>
      </c>
      <c r="C90" t="s">
        <v>18</v>
      </c>
      <c r="D90" t="s">
        <v>61</v>
      </c>
      <c r="E90" t="s">
        <v>41</v>
      </c>
      <c r="F90">
        <v>11</v>
      </c>
      <c r="G90" t="s">
        <v>21</v>
      </c>
      <c r="H90">
        <v>38</v>
      </c>
      <c r="I90">
        <v>0</v>
      </c>
      <c r="J90">
        <v>5</v>
      </c>
      <c r="K90" t="s">
        <v>37</v>
      </c>
      <c r="L90" t="s">
        <v>22</v>
      </c>
      <c r="M90" t="s">
        <v>38</v>
      </c>
      <c r="N90" t="s">
        <v>23</v>
      </c>
      <c r="O90">
        <v>5</v>
      </c>
      <c r="P90" t="s">
        <v>48</v>
      </c>
      <c r="Q90">
        <v>2</v>
      </c>
      <c r="R90" t="s">
        <v>30</v>
      </c>
      <c r="S90" t="s">
        <v>31</v>
      </c>
      <c r="T90" t="s">
        <v>32</v>
      </c>
    </row>
    <row r="91" spans="1:20" x14ac:dyDescent="0.3">
      <c r="A91" t="s">
        <v>140</v>
      </c>
      <c r="B91">
        <v>53</v>
      </c>
      <c r="C91" t="s">
        <v>46</v>
      </c>
      <c r="D91" t="s">
        <v>57</v>
      </c>
      <c r="E91" t="s">
        <v>7</v>
      </c>
      <c r="F91">
        <v>23</v>
      </c>
      <c r="G91" t="s">
        <v>8</v>
      </c>
      <c r="H91">
        <v>38</v>
      </c>
      <c r="I91">
        <v>4</v>
      </c>
      <c r="J91">
        <v>4</v>
      </c>
      <c r="K91" t="s">
        <v>47</v>
      </c>
      <c r="L91" t="s">
        <v>10</v>
      </c>
      <c r="M91" t="s">
        <v>38</v>
      </c>
      <c r="N91" t="s">
        <v>23</v>
      </c>
      <c r="O91">
        <v>5</v>
      </c>
      <c r="P91" t="s">
        <v>13</v>
      </c>
      <c r="Q91">
        <v>4</v>
      </c>
      <c r="R91" t="s">
        <v>49</v>
      </c>
      <c r="S91" t="s">
        <v>31</v>
      </c>
      <c r="T91" t="s">
        <v>55</v>
      </c>
    </row>
    <row r="92" spans="1:20" x14ac:dyDescent="0.3">
      <c r="A92" t="s">
        <v>141</v>
      </c>
      <c r="B92">
        <v>57</v>
      </c>
      <c r="C92" t="s">
        <v>18</v>
      </c>
      <c r="D92" t="s">
        <v>19</v>
      </c>
      <c r="E92" t="s">
        <v>64</v>
      </c>
      <c r="F92">
        <v>2</v>
      </c>
      <c r="G92" t="s">
        <v>36</v>
      </c>
      <c r="H92">
        <v>57</v>
      </c>
      <c r="I92">
        <v>4</v>
      </c>
      <c r="J92">
        <v>4</v>
      </c>
      <c r="K92" t="s">
        <v>9</v>
      </c>
      <c r="L92" t="s">
        <v>10</v>
      </c>
      <c r="M92" t="s">
        <v>11</v>
      </c>
      <c r="N92" t="s">
        <v>29</v>
      </c>
      <c r="O92">
        <v>4</v>
      </c>
      <c r="P92" t="s">
        <v>13</v>
      </c>
      <c r="Q92">
        <v>2</v>
      </c>
      <c r="R92" t="s">
        <v>14</v>
      </c>
      <c r="S92" t="s">
        <v>42</v>
      </c>
      <c r="T92" t="s">
        <v>58</v>
      </c>
    </row>
    <row r="93" spans="1:20" x14ac:dyDescent="0.3">
      <c r="A93" t="s">
        <v>142</v>
      </c>
      <c r="B93">
        <v>22</v>
      </c>
      <c r="C93" t="s">
        <v>18</v>
      </c>
      <c r="D93" t="s">
        <v>27</v>
      </c>
      <c r="E93" t="s">
        <v>51</v>
      </c>
      <c r="F93">
        <v>9</v>
      </c>
      <c r="G93" t="s">
        <v>36</v>
      </c>
      <c r="H93">
        <v>60</v>
      </c>
      <c r="I93">
        <v>3</v>
      </c>
      <c r="J93">
        <v>1</v>
      </c>
      <c r="K93" t="s">
        <v>37</v>
      </c>
      <c r="L93" t="s">
        <v>68</v>
      </c>
      <c r="M93" t="s">
        <v>11</v>
      </c>
      <c r="N93" t="s">
        <v>12</v>
      </c>
      <c r="O93">
        <v>3</v>
      </c>
      <c r="P93" t="s">
        <v>24</v>
      </c>
      <c r="Q93">
        <v>5</v>
      </c>
      <c r="R93" t="s">
        <v>14</v>
      </c>
      <c r="S93" t="s">
        <v>15</v>
      </c>
      <c r="T93" t="s">
        <v>44</v>
      </c>
    </row>
    <row r="94" spans="1:20" x14ac:dyDescent="0.3">
      <c r="A94" t="s">
        <v>143</v>
      </c>
      <c r="B94">
        <v>41</v>
      </c>
      <c r="C94" t="s">
        <v>34</v>
      </c>
      <c r="D94" t="s">
        <v>19</v>
      </c>
      <c r="E94" t="s">
        <v>20</v>
      </c>
      <c r="F94">
        <v>31</v>
      </c>
      <c r="G94" t="s">
        <v>36</v>
      </c>
      <c r="H94">
        <v>29</v>
      </c>
      <c r="I94">
        <v>0</v>
      </c>
      <c r="J94">
        <v>5</v>
      </c>
      <c r="K94" t="s">
        <v>9</v>
      </c>
      <c r="L94" t="s">
        <v>68</v>
      </c>
      <c r="M94" t="s">
        <v>11</v>
      </c>
      <c r="N94" t="s">
        <v>23</v>
      </c>
      <c r="O94">
        <v>3</v>
      </c>
      <c r="P94" t="s">
        <v>24</v>
      </c>
      <c r="Q94">
        <v>5</v>
      </c>
      <c r="R94" t="s">
        <v>30</v>
      </c>
      <c r="S94" t="s">
        <v>31</v>
      </c>
      <c r="T94" t="s">
        <v>25</v>
      </c>
    </row>
    <row r="95" spans="1:20" x14ac:dyDescent="0.3">
      <c r="A95" t="s">
        <v>144</v>
      </c>
      <c r="B95">
        <v>46</v>
      </c>
      <c r="C95" t="s">
        <v>5</v>
      </c>
      <c r="D95" t="s">
        <v>19</v>
      </c>
      <c r="E95" t="s">
        <v>28</v>
      </c>
      <c r="F95">
        <v>34</v>
      </c>
      <c r="G95" t="s">
        <v>21</v>
      </c>
      <c r="H95">
        <v>54</v>
      </c>
      <c r="I95">
        <v>12</v>
      </c>
      <c r="J95">
        <v>4</v>
      </c>
      <c r="K95" t="s">
        <v>37</v>
      </c>
      <c r="L95" t="s">
        <v>10</v>
      </c>
      <c r="M95" t="s">
        <v>38</v>
      </c>
      <c r="N95" t="s">
        <v>12</v>
      </c>
      <c r="O95">
        <v>2</v>
      </c>
      <c r="P95" t="s">
        <v>24</v>
      </c>
      <c r="Q95">
        <v>4</v>
      </c>
      <c r="R95" t="s">
        <v>30</v>
      </c>
      <c r="S95" t="s">
        <v>42</v>
      </c>
      <c r="T95" t="s">
        <v>16</v>
      </c>
    </row>
    <row r="96" spans="1:20" x14ac:dyDescent="0.3">
      <c r="A96" t="s">
        <v>145</v>
      </c>
      <c r="B96">
        <v>60</v>
      </c>
      <c r="C96" t="s">
        <v>5</v>
      </c>
      <c r="D96" t="s">
        <v>63</v>
      </c>
      <c r="E96" t="s">
        <v>28</v>
      </c>
      <c r="F96">
        <v>11</v>
      </c>
      <c r="G96" t="s">
        <v>36</v>
      </c>
      <c r="H96">
        <v>31</v>
      </c>
      <c r="I96">
        <v>11</v>
      </c>
      <c r="J96">
        <v>5</v>
      </c>
      <c r="K96" t="s">
        <v>37</v>
      </c>
      <c r="L96" t="s">
        <v>30</v>
      </c>
      <c r="M96" t="s">
        <v>11</v>
      </c>
      <c r="N96" t="s">
        <v>12</v>
      </c>
      <c r="O96">
        <v>2</v>
      </c>
      <c r="P96" t="s">
        <v>48</v>
      </c>
      <c r="Q96">
        <v>4</v>
      </c>
      <c r="R96" t="s">
        <v>14</v>
      </c>
      <c r="S96" t="s">
        <v>42</v>
      </c>
      <c r="T96" t="s">
        <v>58</v>
      </c>
    </row>
    <row r="97" spans="1:20" x14ac:dyDescent="0.3">
      <c r="A97" t="s">
        <v>146</v>
      </c>
      <c r="B97">
        <v>44</v>
      </c>
      <c r="C97" t="s">
        <v>18</v>
      </c>
      <c r="D97" t="s">
        <v>63</v>
      </c>
      <c r="E97" t="s">
        <v>51</v>
      </c>
      <c r="F97">
        <v>2</v>
      </c>
      <c r="G97" t="s">
        <v>21</v>
      </c>
      <c r="H97">
        <v>54</v>
      </c>
      <c r="I97">
        <v>8</v>
      </c>
      <c r="J97">
        <v>5</v>
      </c>
      <c r="K97" t="s">
        <v>47</v>
      </c>
      <c r="L97" t="s">
        <v>68</v>
      </c>
      <c r="M97" t="s">
        <v>11</v>
      </c>
      <c r="N97" t="s">
        <v>12</v>
      </c>
      <c r="O97">
        <v>1</v>
      </c>
      <c r="P97" t="s">
        <v>24</v>
      </c>
      <c r="Q97">
        <v>3</v>
      </c>
      <c r="R97" t="s">
        <v>30</v>
      </c>
      <c r="S97" t="s">
        <v>15</v>
      </c>
      <c r="T97" t="s">
        <v>25</v>
      </c>
    </row>
    <row r="98" spans="1:20" x14ac:dyDescent="0.3">
      <c r="A98" t="s">
        <v>147</v>
      </c>
      <c r="B98">
        <v>35</v>
      </c>
      <c r="C98" t="s">
        <v>34</v>
      </c>
      <c r="D98" t="s">
        <v>19</v>
      </c>
      <c r="E98" t="s">
        <v>7</v>
      </c>
      <c r="F98">
        <v>31</v>
      </c>
      <c r="G98" t="s">
        <v>8</v>
      </c>
      <c r="H98">
        <v>33</v>
      </c>
      <c r="I98">
        <v>11</v>
      </c>
      <c r="J98">
        <v>1</v>
      </c>
      <c r="K98" t="s">
        <v>37</v>
      </c>
      <c r="L98" t="s">
        <v>68</v>
      </c>
      <c r="M98" t="s">
        <v>11</v>
      </c>
      <c r="N98" t="s">
        <v>12</v>
      </c>
      <c r="O98">
        <v>5</v>
      </c>
      <c r="P98" t="s">
        <v>48</v>
      </c>
      <c r="Q98">
        <v>5</v>
      </c>
      <c r="R98" t="s">
        <v>14</v>
      </c>
      <c r="S98" t="s">
        <v>31</v>
      </c>
      <c r="T98" t="s">
        <v>58</v>
      </c>
    </row>
    <row r="99" spans="1:20" x14ac:dyDescent="0.3">
      <c r="A99" t="s">
        <v>148</v>
      </c>
      <c r="B99">
        <v>48</v>
      </c>
      <c r="C99" t="s">
        <v>34</v>
      </c>
      <c r="D99" t="s">
        <v>61</v>
      </c>
      <c r="E99" t="s">
        <v>20</v>
      </c>
      <c r="F99">
        <v>32</v>
      </c>
      <c r="G99" t="s">
        <v>8</v>
      </c>
      <c r="H99">
        <v>25</v>
      </c>
      <c r="I99">
        <v>1</v>
      </c>
      <c r="J99">
        <v>4</v>
      </c>
      <c r="K99" t="s">
        <v>47</v>
      </c>
      <c r="L99" t="s">
        <v>68</v>
      </c>
      <c r="M99" t="s">
        <v>11</v>
      </c>
      <c r="N99" t="s">
        <v>23</v>
      </c>
      <c r="O99">
        <v>4</v>
      </c>
      <c r="P99" t="s">
        <v>48</v>
      </c>
      <c r="Q99">
        <v>3</v>
      </c>
      <c r="R99" t="s">
        <v>14</v>
      </c>
      <c r="S99" t="s">
        <v>42</v>
      </c>
      <c r="T99" t="s">
        <v>44</v>
      </c>
    </row>
    <row r="100" spans="1:20" x14ac:dyDescent="0.3">
      <c r="A100" t="s">
        <v>149</v>
      </c>
      <c r="B100">
        <v>31</v>
      </c>
      <c r="C100" t="s">
        <v>46</v>
      </c>
      <c r="D100" t="s">
        <v>19</v>
      </c>
      <c r="E100" t="s">
        <v>7</v>
      </c>
      <c r="F100">
        <v>19</v>
      </c>
      <c r="G100" t="s">
        <v>36</v>
      </c>
      <c r="H100">
        <v>21</v>
      </c>
      <c r="I100">
        <v>15</v>
      </c>
      <c r="J100">
        <v>1</v>
      </c>
      <c r="K100" t="s">
        <v>47</v>
      </c>
      <c r="L100" t="s">
        <v>68</v>
      </c>
      <c r="M100" t="s">
        <v>11</v>
      </c>
      <c r="N100" t="s">
        <v>29</v>
      </c>
      <c r="O100">
        <v>4</v>
      </c>
      <c r="P100" t="s">
        <v>24</v>
      </c>
      <c r="Q100">
        <v>5</v>
      </c>
      <c r="R100" t="s">
        <v>49</v>
      </c>
      <c r="S100" t="s">
        <v>15</v>
      </c>
      <c r="T100" t="s">
        <v>25</v>
      </c>
    </row>
    <row r="101" spans="1:20" x14ac:dyDescent="0.3">
      <c r="A101" t="s">
        <v>150</v>
      </c>
      <c r="B101">
        <v>53</v>
      </c>
      <c r="C101" t="s">
        <v>34</v>
      </c>
      <c r="D101" t="s">
        <v>63</v>
      </c>
      <c r="E101" t="s">
        <v>20</v>
      </c>
      <c r="F101">
        <v>12</v>
      </c>
      <c r="G101" t="s">
        <v>8</v>
      </c>
      <c r="H101">
        <v>45</v>
      </c>
      <c r="I101">
        <v>10</v>
      </c>
      <c r="J101">
        <v>2</v>
      </c>
      <c r="K101" t="s">
        <v>9</v>
      </c>
      <c r="L101" t="s">
        <v>30</v>
      </c>
      <c r="M101" t="s">
        <v>11</v>
      </c>
      <c r="N101" t="s">
        <v>12</v>
      </c>
      <c r="O101">
        <v>3</v>
      </c>
      <c r="P101" t="s">
        <v>24</v>
      </c>
      <c r="Q101">
        <v>4</v>
      </c>
      <c r="R101" t="s">
        <v>49</v>
      </c>
      <c r="S101" t="s">
        <v>15</v>
      </c>
      <c r="T101" t="s">
        <v>58</v>
      </c>
    </row>
    <row r="102" spans="1:20" x14ac:dyDescent="0.3">
      <c r="A102" t="s">
        <v>151</v>
      </c>
      <c r="B102">
        <v>32</v>
      </c>
      <c r="C102" t="s">
        <v>46</v>
      </c>
      <c r="D102" t="s">
        <v>61</v>
      </c>
      <c r="E102" t="s">
        <v>51</v>
      </c>
      <c r="F102">
        <v>32</v>
      </c>
      <c r="G102" t="s">
        <v>36</v>
      </c>
      <c r="H102">
        <v>53</v>
      </c>
      <c r="I102">
        <v>5</v>
      </c>
      <c r="J102">
        <v>1</v>
      </c>
      <c r="K102" t="s">
        <v>9</v>
      </c>
      <c r="L102" t="s">
        <v>10</v>
      </c>
      <c r="M102" t="s">
        <v>11</v>
      </c>
      <c r="N102" t="s">
        <v>23</v>
      </c>
      <c r="O102">
        <v>5</v>
      </c>
      <c r="P102" t="s">
        <v>24</v>
      </c>
      <c r="Q102">
        <v>1</v>
      </c>
      <c r="R102" t="s">
        <v>30</v>
      </c>
      <c r="S102" t="s">
        <v>31</v>
      </c>
      <c r="T102" t="s">
        <v>25</v>
      </c>
    </row>
    <row r="103" spans="1:20" x14ac:dyDescent="0.3">
      <c r="A103" t="s">
        <v>152</v>
      </c>
      <c r="B103">
        <v>33</v>
      </c>
      <c r="C103" t="s">
        <v>46</v>
      </c>
      <c r="D103" t="s">
        <v>40</v>
      </c>
      <c r="E103" t="s">
        <v>41</v>
      </c>
      <c r="F103">
        <v>9</v>
      </c>
      <c r="G103" t="s">
        <v>8</v>
      </c>
      <c r="H103">
        <v>46</v>
      </c>
      <c r="I103">
        <v>12</v>
      </c>
      <c r="J103">
        <v>1</v>
      </c>
      <c r="K103" t="s">
        <v>37</v>
      </c>
      <c r="L103" t="s">
        <v>68</v>
      </c>
      <c r="M103" t="s">
        <v>11</v>
      </c>
      <c r="N103" t="s">
        <v>23</v>
      </c>
      <c r="O103">
        <v>2</v>
      </c>
      <c r="P103" t="s">
        <v>48</v>
      </c>
      <c r="Q103">
        <v>2</v>
      </c>
      <c r="R103" t="s">
        <v>49</v>
      </c>
      <c r="S103" t="s">
        <v>31</v>
      </c>
      <c r="T103" t="s">
        <v>58</v>
      </c>
    </row>
    <row r="104" spans="1:20" x14ac:dyDescent="0.3">
      <c r="A104" t="s">
        <v>153</v>
      </c>
      <c r="B104">
        <v>45</v>
      </c>
      <c r="C104" t="s">
        <v>46</v>
      </c>
      <c r="D104" t="s">
        <v>40</v>
      </c>
      <c r="E104" t="s">
        <v>20</v>
      </c>
      <c r="F104">
        <v>3</v>
      </c>
      <c r="G104" t="s">
        <v>8</v>
      </c>
      <c r="H104">
        <v>22</v>
      </c>
      <c r="I104">
        <v>9</v>
      </c>
      <c r="J104">
        <v>4</v>
      </c>
      <c r="K104" t="s">
        <v>37</v>
      </c>
      <c r="L104" t="s">
        <v>68</v>
      </c>
      <c r="M104" t="s">
        <v>11</v>
      </c>
      <c r="N104" t="s">
        <v>29</v>
      </c>
      <c r="O104">
        <v>4</v>
      </c>
      <c r="P104" t="s">
        <v>24</v>
      </c>
      <c r="Q104">
        <v>4</v>
      </c>
      <c r="R104" t="s">
        <v>30</v>
      </c>
      <c r="S104" t="s">
        <v>15</v>
      </c>
      <c r="T104" t="s">
        <v>58</v>
      </c>
    </row>
    <row r="105" spans="1:20" x14ac:dyDescent="0.3">
      <c r="A105" t="s">
        <v>154</v>
      </c>
      <c r="B105">
        <v>50</v>
      </c>
      <c r="C105" t="s">
        <v>34</v>
      </c>
      <c r="D105" t="s">
        <v>27</v>
      </c>
      <c r="E105" t="s">
        <v>35</v>
      </c>
      <c r="F105">
        <v>18</v>
      </c>
      <c r="G105" t="s">
        <v>8</v>
      </c>
      <c r="H105">
        <v>60</v>
      </c>
      <c r="I105">
        <v>12</v>
      </c>
      <c r="J105">
        <v>4</v>
      </c>
      <c r="K105" t="s">
        <v>37</v>
      </c>
      <c r="L105" t="s">
        <v>10</v>
      </c>
      <c r="M105" t="s">
        <v>38</v>
      </c>
      <c r="N105" t="s">
        <v>23</v>
      </c>
      <c r="O105">
        <v>4</v>
      </c>
      <c r="P105" t="s">
        <v>24</v>
      </c>
      <c r="Q105">
        <v>5</v>
      </c>
      <c r="R105" t="s">
        <v>30</v>
      </c>
      <c r="S105" t="s">
        <v>15</v>
      </c>
      <c r="T105" t="s">
        <v>58</v>
      </c>
    </row>
    <row r="106" spans="1:20" x14ac:dyDescent="0.3">
      <c r="A106" t="s">
        <v>155</v>
      </c>
      <c r="B106">
        <v>41</v>
      </c>
      <c r="C106" t="s">
        <v>18</v>
      </c>
      <c r="D106" t="s">
        <v>61</v>
      </c>
      <c r="E106" t="s">
        <v>28</v>
      </c>
      <c r="F106">
        <v>30</v>
      </c>
      <c r="G106" t="s">
        <v>8</v>
      </c>
      <c r="H106">
        <v>42</v>
      </c>
      <c r="I106">
        <v>2</v>
      </c>
      <c r="J106">
        <v>4</v>
      </c>
      <c r="K106" t="s">
        <v>47</v>
      </c>
      <c r="L106" t="s">
        <v>10</v>
      </c>
      <c r="M106" t="s">
        <v>38</v>
      </c>
      <c r="N106" t="s">
        <v>12</v>
      </c>
      <c r="O106">
        <v>4</v>
      </c>
      <c r="P106" t="s">
        <v>24</v>
      </c>
      <c r="Q106">
        <v>3</v>
      </c>
      <c r="R106" t="s">
        <v>14</v>
      </c>
      <c r="S106" t="s">
        <v>42</v>
      </c>
      <c r="T106" t="s">
        <v>58</v>
      </c>
    </row>
    <row r="107" spans="1:20" x14ac:dyDescent="0.3">
      <c r="A107" t="s">
        <v>156</v>
      </c>
      <c r="B107">
        <v>43</v>
      </c>
      <c r="C107" t="s">
        <v>5</v>
      </c>
      <c r="D107" t="s">
        <v>19</v>
      </c>
      <c r="E107" t="s">
        <v>7</v>
      </c>
      <c r="F107">
        <v>18</v>
      </c>
      <c r="G107" t="s">
        <v>36</v>
      </c>
      <c r="H107">
        <v>60</v>
      </c>
      <c r="I107">
        <v>2</v>
      </c>
      <c r="J107">
        <v>3</v>
      </c>
      <c r="K107" t="s">
        <v>37</v>
      </c>
      <c r="L107" t="s">
        <v>68</v>
      </c>
      <c r="M107" t="s">
        <v>38</v>
      </c>
      <c r="N107" t="s">
        <v>23</v>
      </c>
      <c r="O107">
        <v>3</v>
      </c>
      <c r="P107" t="s">
        <v>48</v>
      </c>
      <c r="Q107">
        <v>3</v>
      </c>
      <c r="R107" t="s">
        <v>49</v>
      </c>
      <c r="S107" t="s">
        <v>15</v>
      </c>
      <c r="T107" t="s">
        <v>44</v>
      </c>
    </row>
    <row r="108" spans="1:20" x14ac:dyDescent="0.3">
      <c r="A108" t="s">
        <v>157</v>
      </c>
      <c r="B108">
        <v>29</v>
      </c>
      <c r="C108" t="s">
        <v>46</v>
      </c>
      <c r="D108" t="s">
        <v>6</v>
      </c>
      <c r="E108" t="s">
        <v>20</v>
      </c>
      <c r="F108">
        <v>25</v>
      </c>
      <c r="G108" t="s">
        <v>36</v>
      </c>
      <c r="H108">
        <v>35</v>
      </c>
      <c r="I108">
        <v>14</v>
      </c>
      <c r="J108">
        <v>1</v>
      </c>
      <c r="K108" t="s">
        <v>9</v>
      </c>
      <c r="L108" t="s">
        <v>22</v>
      </c>
      <c r="M108" t="s">
        <v>38</v>
      </c>
      <c r="N108" t="s">
        <v>12</v>
      </c>
      <c r="O108">
        <v>4</v>
      </c>
      <c r="P108" t="s">
        <v>48</v>
      </c>
      <c r="Q108">
        <v>2</v>
      </c>
      <c r="R108" t="s">
        <v>49</v>
      </c>
      <c r="S108" t="s">
        <v>15</v>
      </c>
      <c r="T108" t="s">
        <v>44</v>
      </c>
    </row>
    <row r="109" spans="1:20" x14ac:dyDescent="0.3">
      <c r="A109" t="s">
        <v>158</v>
      </c>
      <c r="B109">
        <v>44</v>
      </c>
      <c r="C109" t="s">
        <v>46</v>
      </c>
      <c r="D109" t="s">
        <v>27</v>
      </c>
      <c r="E109" t="s">
        <v>7</v>
      </c>
      <c r="F109">
        <v>27</v>
      </c>
      <c r="G109" t="s">
        <v>8</v>
      </c>
      <c r="H109">
        <v>44</v>
      </c>
      <c r="I109">
        <v>2</v>
      </c>
      <c r="J109">
        <v>2</v>
      </c>
      <c r="K109" t="s">
        <v>37</v>
      </c>
      <c r="L109" t="s">
        <v>22</v>
      </c>
      <c r="M109" t="s">
        <v>11</v>
      </c>
      <c r="N109" t="s">
        <v>12</v>
      </c>
      <c r="O109">
        <v>2</v>
      </c>
      <c r="P109" t="s">
        <v>24</v>
      </c>
      <c r="Q109">
        <v>5</v>
      </c>
      <c r="R109" t="s">
        <v>14</v>
      </c>
      <c r="S109" t="s">
        <v>31</v>
      </c>
      <c r="T109" t="s">
        <v>16</v>
      </c>
    </row>
    <row r="110" spans="1:20" x14ac:dyDescent="0.3">
      <c r="A110" t="s">
        <v>159</v>
      </c>
      <c r="B110">
        <v>50</v>
      </c>
      <c r="C110" t="s">
        <v>46</v>
      </c>
      <c r="D110" t="s">
        <v>27</v>
      </c>
      <c r="E110" t="s">
        <v>7</v>
      </c>
      <c r="F110">
        <v>2</v>
      </c>
      <c r="G110" t="s">
        <v>21</v>
      </c>
      <c r="H110">
        <v>50</v>
      </c>
      <c r="I110">
        <v>2</v>
      </c>
      <c r="J110">
        <v>4</v>
      </c>
      <c r="K110" t="s">
        <v>9</v>
      </c>
      <c r="L110" t="s">
        <v>68</v>
      </c>
      <c r="M110" t="s">
        <v>11</v>
      </c>
      <c r="N110" t="s">
        <v>29</v>
      </c>
      <c r="O110">
        <v>1</v>
      </c>
      <c r="P110" t="s">
        <v>24</v>
      </c>
      <c r="Q110">
        <v>2</v>
      </c>
      <c r="R110" t="s">
        <v>14</v>
      </c>
      <c r="S110" t="s">
        <v>31</v>
      </c>
      <c r="T110" t="s">
        <v>55</v>
      </c>
    </row>
    <row r="111" spans="1:20" x14ac:dyDescent="0.3">
      <c r="A111" t="s">
        <v>160</v>
      </c>
      <c r="B111">
        <v>36</v>
      </c>
      <c r="C111" t="s">
        <v>34</v>
      </c>
      <c r="D111" t="s">
        <v>19</v>
      </c>
      <c r="E111" t="s">
        <v>35</v>
      </c>
      <c r="F111">
        <v>4</v>
      </c>
      <c r="G111" t="s">
        <v>21</v>
      </c>
      <c r="H111">
        <v>22</v>
      </c>
      <c r="I111">
        <v>7</v>
      </c>
      <c r="J111">
        <v>5</v>
      </c>
      <c r="K111" t="s">
        <v>47</v>
      </c>
      <c r="L111" t="s">
        <v>68</v>
      </c>
      <c r="M111" t="s">
        <v>11</v>
      </c>
      <c r="N111" t="s">
        <v>29</v>
      </c>
      <c r="O111">
        <v>1</v>
      </c>
      <c r="P111" t="s">
        <v>48</v>
      </c>
      <c r="Q111">
        <v>5</v>
      </c>
      <c r="R111" t="s">
        <v>49</v>
      </c>
      <c r="S111" t="s">
        <v>15</v>
      </c>
      <c r="T111" t="s">
        <v>25</v>
      </c>
    </row>
    <row r="112" spans="1:20" x14ac:dyDescent="0.3">
      <c r="A112" t="s">
        <v>161</v>
      </c>
      <c r="B112">
        <v>34</v>
      </c>
      <c r="C112" t="s">
        <v>18</v>
      </c>
      <c r="D112" t="s">
        <v>19</v>
      </c>
      <c r="E112" t="s">
        <v>28</v>
      </c>
      <c r="F112">
        <v>29</v>
      </c>
      <c r="G112" t="s">
        <v>8</v>
      </c>
      <c r="H112">
        <v>29</v>
      </c>
      <c r="I112">
        <v>13</v>
      </c>
      <c r="J112">
        <v>3</v>
      </c>
      <c r="K112" t="s">
        <v>37</v>
      </c>
      <c r="L112" t="s">
        <v>22</v>
      </c>
      <c r="M112" t="s">
        <v>38</v>
      </c>
      <c r="N112" t="s">
        <v>23</v>
      </c>
      <c r="O112">
        <v>5</v>
      </c>
      <c r="P112" t="s">
        <v>13</v>
      </c>
      <c r="Q112">
        <v>5</v>
      </c>
      <c r="R112" t="s">
        <v>14</v>
      </c>
      <c r="S112" t="s">
        <v>42</v>
      </c>
      <c r="T112" t="s">
        <v>58</v>
      </c>
    </row>
    <row r="113" spans="1:20" x14ac:dyDescent="0.3">
      <c r="A113" t="s">
        <v>162</v>
      </c>
      <c r="B113">
        <v>49</v>
      </c>
      <c r="C113" t="s">
        <v>34</v>
      </c>
      <c r="D113" t="s">
        <v>6</v>
      </c>
      <c r="E113" t="s">
        <v>35</v>
      </c>
      <c r="F113">
        <v>30</v>
      </c>
      <c r="G113" t="s">
        <v>21</v>
      </c>
      <c r="H113">
        <v>34</v>
      </c>
      <c r="I113">
        <v>8</v>
      </c>
      <c r="J113">
        <v>5</v>
      </c>
      <c r="K113" t="s">
        <v>47</v>
      </c>
      <c r="L113" t="s">
        <v>68</v>
      </c>
      <c r="M113" t="s">
        <v>11</v>
      </c>
      <c r="N113" t="s">
        <v>12</v>
      </c>
      <c r="O113">
        <v>5</v>
      </c>
      <c r="P113" t="s">
        <v>13</v>
      </c>
      <c r="Q113">
        <v>1</v>
      </c>
      <c r="R113" t="s">
        <v>14</v>
      </c>
      <c r="S113" t="s">
        <v>15</v>
      </c>
      <c r="T113" t="s">
        <v>58</v>
      </c>
    </row>
    <row r="114" spans="1:20" x14ac:dyDescent="0.3">
      <c r="A114" t="s">
        <v>163</v>
      </c>
      <c r="B114">
        <v>45</v>
      </c>
      <c r="C114" t="s">
        <v>18</v>
      </c>
      <c r="D114" t="s">
        <v>57</v>
      </c>
      <c r="E114" t="s">
        <v>64</v>
      </c>
      <c r="F114">
        <v>10</v>
      </c>
      <c r="G114" t="s">
        <v>21</v>
      </c>
      <c r="H114">
        <v>30</v>
      </c>
      <c r="I114">
        <v>7</v>
      </c>
      <c r="J114">
        <v>1</v>
      </c>
      <c r="K114" t="s">
        <v>47</v>
      </c>
      <c r="L114" t="s">
        <v>10</v>
      </c>
      <c r="M114" t="s">
        <v>38</v>
      </c>
      <c r="N114" t="s">
        <v>23</v>
      </c>
      <c r="O114">
        <v>1</v>
      </c>
      <c r="P114" t="s">
        <v>24</v>
      </c>
      <c r="Q114">
        <v>5</v>
      </c>
      <c r="R114" t="s">
        <v>30</v>
      </c>
      <c r="S114" t="s">
        <v>31</v>
      </c>
      <c r="T114" t="s">
        <v>16</v>
      </c>
    </row>
    <row r="115" spans="1:20" x14ac:dyDescent="0.3">
      <c r="A115" t="s">
        <v>164</v>
      </c>
      <c r="B115">
        <v>45</v>
      </c>
      <c r="C115" t="s">
        <v>46</v>
      </c>
      <c r="D115" t="s">
        <v>19</v>
      </c>
      <c r="E115" t="s">
        <v>64</v>
      </c>
      <c r="F115">
        <v>21</v>
      </c>
      <c r="G115" t="s">
        <v>36</v>
      </c>
      <c r="H115">
        <v>53</v>
      </c>
      <c r="I115">
        <v>0</v>
      </c>
      <c r="J115">
        <v>3</v>
      </c>
      <c r="K115" t="s">
        <v>47</v>
      </c>
      <c r="L115" t="s">
        <v>30</v>
      </c>
      <c r="M115" t="s">
        <v>38</v>
      </c>
      <c r="N115" t="s">
        <v>12</v>
      </c>
      <c r="O115">
        <v>1</v>
      </c>
      <c r="P115" t="s">
        <v>48</v>
      </c>
      <c r="Q115">
        <v>5</v>
      </c>
      <c r="R115" t="s">
        <v>49</v>
      </c>
      <c r="S115" t="s">
        <v>31</v>
      </c>
      <c r="T115" t="s">
        <v>16</v>
      </c>
    </row>
    <row r="116" spans="1:20" x14ac:dyDescent="0.3">
      <c r="A116" t="s">
        <v>165</v>
      </c>
      <c r="B116">
        <v>53</v>
      </c>
      <c r="C116" t="s">
        <v>18</v>
      </c>
      <c r="D116" t="s">
        <v>61</v>
      </c>
      <c r="E116" t="s">
        <v>7</v>
      </c>
      <c r="F116">
        <v>25</v>
      </c>
      <c r="G116" t="s">
        <v>21</v>
      </c>
      <c r="H116">
        <v>29</v>
      </c>
      <c r="I116">
        <v>5</v>
      </c>
      <c r="J116">
        <v>2</v>
      </c>
      <c r="K116" t="s">
        <v>37</v>
      </c>
      <c r="L116" t="s">
        <v>22</v>
      </c>
      <c r="M116" t="s">
        <v>11</v>
      </c>
      <c r="N116" t="s">
        <v>29</v>
      </c>
      <c r="O116">
        <v>5</v>
      </c>
      <c r="P116" t="s">
        <v>48</v>
      </c>
      <c r="Q116">
        <v>3</v>
      </c>
      <c r="R116" t="s">
        <v>30</v>
      </c>
      <c r="S116" t="s">
        <v>31</v>
      </c>
      <c r="T116" t="s">
        <v>55</v>
      </c>
    </row>
    <row r="117" spans="1:20" x14ac:dyDescent="0.3">
      <c r="A117" t="s">
        <v>166</v>
      </c>
      <c r="B117">
        <v>29</v>
      </c>
      <c r="C117" t="s">
        <v>34</v>
      </c>
      <c r="D117" t="s">
        <v>57</v>
      </c>
      <c r="E117" t="s">
        <v>28</v>
      </c>
      <c r="F117">
        <v>35</v>
      </c>
      <c r="G117" t="s">
        <v>36</v>
      </c>
      <c r="H117">
        <v>27</v>
      </c>
      <c r="I117">
        <v>1</v>
      </c>
      <c r="J117">
        <v>3</v>
      </c>
      <c r="K117" t="s">
        <v>9</v>
      </c>
      <c r="L117" t="s">
        <v>22</v>
      </c>
      <c r="M117" t="s">
        <v>38</v>
      </c>
      <c r="N117" t="s">
        <v>29</v>
      </c>
      <c r="O117">
        <v>3</v>
      </c>
      <c r="P117" t="s">
        <v>13</v>
      </c>
      <c r="Q117">
        <v>3</v>
      </c>
      <c r="R117" t="s">
        <v>14</v>
      </c>
      <c r="S117" t="s">
        <v>15</v>
      </c>
      <c r="T117" t="s">
        <v>44</v>
      </c>
    </row>
    <row r="118" spans="1:20" x14ac:dyDescent="0.3">
      <c r="A118" t="s">
        <v>167</v>
      </c>
      <c r="B118">
        <v>34</v>
      </c>
      <c r="C118" t="s">
        <v>46</v>
      </c>
      <c r="D118" t="s">
        <v>63</v>
      </c>
      <c r="E118" t="s">
        <v>35</v>
      </c>
      <c r="F118">
        <v>5</v>
      </c>
      <c r="G118" t="s">
        <v>36</v>
      </c>
      <c r="H118">
        <v>44</v>
      </c>
      <c r="I118">
        <v>14</v>
      </c>
      <c r="J118">
        <v>3</v>
      </c>
      <c r="K118" t="s">
        <v>9</v>
      </c>
      <c r="L118" t="s">
        <v>68</v>
      </c>
      <c r="M118" t="s">
        <v>11</v>
      </c>
      <c r="N118" t="s">
        <v>23</v>
      </c>
      <c r="O118">
        <v>5</v>
      </c>
      <c r="P118" t="s">
        <v>24</v>
      </c>
      <c r="Q118">
        <v>3</v>
      </c>
      <c r="R118" t="s">
        <v>49</v>
      </c>
      <c r="S118" t="s">
        <v>15</v>
      </c>
      <c r="T118" t="s">
        <v>32</v>
      </c>
    </row>
    <row r="119" spans="1:20" x14ac:dyDescent="0.3">
      <c r="A119" t="s">
        <v>168</v>
      </c>
      <c r="B119">
        <v>58</v>
      </c>
      <c r="C119" t="s">
        <v>18</v>
      </c>
      <c r="D119" t="s">
        <v>19</v>
      </c>
      <c r="E119" t="s">
        <v>28</v>
      </c>
      <c r="F119">
        <v>25</v>
      </c>
      <c r="G119" t="s">
        <v>21</v>
      </c>
      <c r="H119">
        <v>42</v>
      </c>
      <c r="I119">
        <v>13</v>
      </c>
      <c r="J119">
        <v>2</v>
      </c>
      <c r="K119" t="s">
        <v>37</v>
      </c>
      <c r="L119" t="s">
        <v>68</v>
      </c>
      <c r="M119" t="s">
        <v>11</v>
      </c>
      <c r="N119" t="s">
        <v>23</v>
      </c>
      <c r="O119">
        <v>5</v>
      </c>
      <c r="P119" t="s">
        <v>24</v>
      </c>
      <c r="Q119">
        <v>3</v>
      </c>
      <c r="R119" t="s">
        <v>49</v>
      </c>
      <c r="S119" t="s">
        <v>15</v>
      </c>
      <c r="T119" t="s">
        <v>16</v>
      </c>
    </row>
    <row r="120" spans="1:20" x14ac:dyDescent="0.3">
      <c r="A120" t="s">
        <v>169</v>
      </c>
      <c r="B120">
        <v>38</v>
      </c>
      <c r="C120" t="s">
        <v>18</v>
      </c>
      <c r="D120" t="s">
        <v>19</v>
      </c>
      <c r="E120" t="s">
        <v>51</v>
      </c>
      <c r="F120">
        <v>1</v>
      </c>
      <c r="G120" t="s">
        <v>8</v>
      </c>
      <c r="H120">
        <v>22</v>
      </c>
      <c r="I120">
        <v>4</v>
      </c>
      <c r="J120">
        <v>2</v>
      </c>
      <c r="K120" t="s">
        <v>9</v>
      </c>
      <c r="L120" t="s">
        <v>68</v>
      </c>
      <c r="M120" t="s">
        <v>38</v>
      </c>
      <c r="N120" t="s">
        <v>23</v>
      </c>
      <c r="O120">
        <v>5</v>
      </c>
      <c r="P120" t="s">
        <v>24</v>
      </c>
      <c r="Q120">
        <v>3</v>
      </c>
      <c r="R120" t="s">
        <v>49</v>
      </c>
      <c r="S120" t="s">
        <v>42</v>
      </c>
      <c r="T120" t="s">
        <v>16</v>
      </c>
    </row>
    <row r="121" spans="1:20" x14ac:dyDescent="0.3">
      <c r="A121" t="s">
        <v>170</v>
      </c>
      <c r="B121">
        <v>40</v>
      </c>
      <c r="C121" t="s">
        <v>46</v>
      </c>
      <c r="D121" t="s">
        <v>63</v>
      </c>
      <c r="E121" t="s">
        <v>41</v>
      </c>
      <c r="F121">
        <v>27</v>
      </c>
      <c r="G121" t="s">
        <v>8</v>
      </c>
      <c r="H121">
        <v>34</v>
      </c>
      <c r="I121">
        <v>13</v>
      </c>
      <c r="J121">
        <v>2</v>
      </c>
      <c r="K121" t="s">
        <v>9</v>
      </c>
      <c r="L121" t="s">
        <v>30</v>
      </c>
      <c r="M121" t="s">
        <v>38</v>
      </c>
      <c r="N121" t="s">
        <v>12</v>
      </c>
      <c r="O121">
        <v>2</v>
      </c>
      <c r="P121" t="s">
        <v>13</v>
      </c>
      <c r="Q121">
        <v>5</v>
      </c>
      <c r="R121" t="s">
        <v>49</v>
      </c>
      <c r="S121" t="s">
        <v>42</v>
      </c>
      <c r="T121" t="s">
        <v>58</v>
      </c>
    </row>
    <row r="122" spans="1:20" x14ac:dyDescent="0.3">
      <c r="A122" t="s">
        <v>171</v>
      </c>
      <c r="B122">
        <v>45</v>
      </c>
      <c r="C122" t="s">
        <v>46</v>
      </c>
      <c r="D122" t="s">
        <v>63</v>
      </c>
      <c r="E122" t="s">
        <v>51</v>
      </c>
      <c r="F122">
        <v>29</v>
      </c>
      <c r="G122" t="s">
        <v>36</v>
      </c>
      <c r="H122">
        <v>51</v>
      </c>
      <c r="I122">
        <v>13</v>
      </c>
      <c r="J122">
        <v>2</v>
      </c>
      <c r="K122" t="s">
        <v>37</v>
      </c>
      <c r="L122" t="s">
        <v>22</v>
      </c>
      <c r="M122" t="s">
        <v>11</v>
      </c>
      <c r="N122" t="s">
        <v>12</v>
      </c>
      <c r="O122">
        <v>2</v>
      </c>
      <c r="P122" t="s">
        <v>48</v>
      </c>
      <c r="Q122">
        <v>5</v>
      </c>
      <c r="R122" t="s">
        <v>49</v>
      </c>
      <c r="S122" t="s">
        <v>42</v>
      </c>
      <c r="T122" t="s">
        <v>44</v>
      </c>
    </row>
    <row r="123" spans="1:20" x14ac:dyDescent="0.3">
      <c r="A123" t="s">
        <v>172</v>
      </c>
      <c r="B123">
        <v>43</v>
      </c>
      <c r="C123" t="s">
        <v>5</v>
      </c>
      <c r="D123" t="s">
        <v>57</v>
      </c>
      <c r="E123" t="s">
        <v>64</v>
      </c>
      <c r="F123">
        <v>18</v>
      </c>
      <c r="G123" t="s">
        <v>8</v>
      </c>
      <c r="H123">
        <v>48</v>
      </c>
      <c r="I123">
        <v>6</v>
      </c>
      <c r="J123">
        <v>5</v>
      </c>
      <c r="K123" t="s">
        <v>37</v>
      </c>
      <c r="L123" t="s">
        <v>10</v>
      </c>
      <c r="M123" t="s">
        <v>38</v>
      </c>
      <c r="N123" t="s">
        <v>29</v>
      </c>
      <c r="O123">
        <v>2</v>
      </c>
      <c r="P123" t="s">
        <v>13</v>
      </c>
      <c r="Q123">
        <v>3</v>
      </c>
      <c r="R123" t="s">
        <v>30</v>
      </c>
      <c r="S123" t="s">
        <v>15</v>
      </c>
      <c r="T123" t="s">
        <v>16</v>
      </c>
    </row>
    <row r="124" spans="1:20" x14ac:dyDescent="0.3">
      <c r="A124" t="s">
        <v>173</v>
      </c>
      <c r="B124">
        <v>50</v>
      </c>
      <c r="C124" t="s">
        <v>34</v>
      </c>
      <c r="D124" t="s">
        <v>27</v>
      </c>
      <c r="E124" t="s">
        <v>7</v>
      </c>
      <c r="F124">
        <v>35</v>
      </c>
      <c r="G124" t="s">
        <v>36</v>
      </c>
      <c r="H124">
        <v>30</v>
      </c>
      <c r="I124">
        <v>10</v>
      </c>
      <c r="J124">
        <v>2</v>
      </c>
      <c r="K124" t="s">
        <v>37</v>
      </c>
      <c r="L124" t="s">
        <v>22</v>
      </c>
      <c r="M124" t="s">
        <v>38</v>
      </c>
      <c r="N124" t="s">
        <v>29</v>
      </c>
      <c r="O124">
        <v>3</v>
      </c>
      <c r="P124" t="s">
        <v>13</v>
      </c>
      <c r="Q124">
        <v>1</v>
      </c>
      <c r="R124" t="s">
        <v>30</v>
      </c>
      <c r="S124" t="s">
        <v>15</v>
      </c>
      <c r="T124" t="s">
        <v>58</v>
      </c>
    </row>
    <row r="125" spans="1:20" x14ac:dyDescent="0.3">
      <c r="A125" t="s">
        <v>174</v>
      </c>
      <c r="B125">
        <v>58</v>
      </c>
      <c r="C125" t="s">
        <v>46</v>
      </c>
      <c r="D125" t="s">
        <v>40</v>
      </c>
      <c r="E125" t="s">
        <v>41</v>
      </c>
      <c r="F125">
        <v>14</v>
      </c>
      <c r="G125" t="s">
        <v>36</v>
      </c>
      <c r="H125">
        <v>59</v>
      </c>
      <c r="I125">
        <v>7</v>
      </c>
      <c r="J125">
        <v>2</v>
      </c>
      <c r="K125" t="s">
        <v>47</v>
      </c>
      <c r="L125" t="s">
        <v>30</v>
      </c>
      <c r="M125" t="s">
        <v>38</v>
      </c>
      <c r="N125" t="s">
        <v>23</v>
      </c>
      <c r="O125">
        <v>1</v>
      </c>
      <c r="P125" t="s">
        <v>24</v>
      </c>
      <c r="Q125">
        <v>5</v>
      </c>
      <c r="R125" t="s">
        <v>14</v>
      </c>
      <c r="S125" t="s">
        <v>42</v>
      </c>
      <c r="T125" t="s">
        <v>32</v>
      </c>
    </row>
    <row r="126" spans="1:20" x14ac:dyDescent="0.3">
      <c r="A126" t="s">
        <v>175</v>
      </c>
      <c r="B126">
        <v>42</v>
      </c>
      <c r="C126" t="s">
        <v>5</v>
      </c>
      <c r="D126" t="s">
        <v>6</v>
      </c>
      <c r="E126" t="s">
        <v>51</v>
      </c>
      <c r="F126">
        <v>27</v>
      </c>
      <c r="G126" t="s">
        <v>21</v>
      </c>
      <c r="H126">
        <v>26</v>
      </c>
      <c r="I126">
        <v>14</v>
      </c>
      <c r="J126">
        <v>2</v>
      </c>
      <c r="K126" t="s">
        <v>37</v>
      </c>
      <c r="L126" t="s">
        <v>10</v>
      </c>
      <c r="M126" t="s">
        <v>38</v>
      </c>
      <c r="N126" t="s">
        <v>29</v>
      </c>
      <c r="O126">
        <v>1</v>
      </c>
      <c r="P126" t="s">
        <v>13</v>
      </c>
      <c r="Q126">
        <v>4</v>
      </c>
      <c r="R126" t="s">
        <v>49</v>
      </c>
      <c r="S126" t="s">
        <v>42</v>
      </c>
      <c r="T126" t="s">
        <v>44</v>
      </c>
    </row>
    <row r="127" spans="1:20" x14ac:dyDescent="0.3">
      <c r="A127" t="s">
        <v>176</v>
      </c>
      <c r="B127">
        <v>53</v>
      </c>
      <c r="C127" t="s">
        <v>46</v>
      </c>
      <c r="D127" t="s">
        <v>19</v>
      </c>
      <c r="E127" t="s">
        <v>35</v>
      </c>
      <c r="F127">
        <v>27</v>
      </c>
      <c r="G127" t="s">
        <v>8</v>
      </c>
      <c r="H127">
        <v>60</v>
      </c>
      <c r="I127">
        <v>1</v>
      </c>
      <c r="J127">
        <v>3</v>
      </c>
      <c r="K127" t="s">
        <v>47</v>
      </c>
      <c r="L127" t="s">
        <v>68</v>
      </c>
      <c r="M127" t="s">
        <v>11</v>
      </c>
      <c r="N127" t="s">
        <v>23</v>
      </c>
      <c r="O127">
        <v>5</v>
      </c>
      <c r="P127" t="s">
        <v>13</v>
      </c>
      <c r="Q127">
        <v>4</v>
      </c>
      <c r="R127" t="s">
        <v>30</v>
      </c>
      <c r="S127" t="s">
        <v>42</v>
      </c>
      <c r="T127" t="s">
        <v>44</v>
      </c>
    </row>
    <row r="128" spans="1:20" x14ac:dyDescent="0.3">
      <c r="A128" t="s">
        <v>177</v>
      </c>
      <c r="B128">
        <v>36</v>
      </c>
      <c r="C128" t="s">
        <v>18</v>
      </c>
      <c r="D128" t="s">
        <v>57</v>
      </c>
      <c r="E128" t="s">
        <v>64</v>
      </c>
      <c r="F128">
        <v>8</v>
      </c>
      <c r="G128" t="s">
        <v>36</v>
      </c>
      <c r="H128">
        <v>38</v>
      </c>
      <c r="I128">
        <v>2</v>
      </c>
      <c r="J128">
        <v>2</v>
      </c>
      <c r="K128" t="s">
        <v>9</v>
      </c>
      <c r="L128" t="s">
        <v>68</v>
      </c>
      <c r="M128" t="s">
        <v>38</v>
      </c>
      <c r="N128" t="s">
        <v>12</v>
      </c>
      <c r="O128">
        <v>2</v>
      </c>
      <c r="P128" t="s">
        <v>13</v>
      </c>
      <c r="Q128">
        <v>1</v>
      </c>
      <c r="R128" t="s">
        <v>49</v>
      </c>
      <c r="S128" t="s">
        <v>15</v>
      </c>
      <c r="T128" t="s">
        <v>32</v>
      </c>
    </row>
    <row r="129" spans="1:20" x14ac:dyDescent="0.3">
      <c r="A129" t="s">
        <v>178</v>
      </c>
      <c r="B129">
        <v>51</v>
      </c>
      <c r="C129" t="s">
        <v>18</v>
      </c>
      <c r="D129" t="s">
        <v>63</v>
      </c>
      <c r="E129" t="s">
        <v>35</v>
      </c>
      <c r="F129">
        <v>21</v>
      </c>
      <c r="G129" t="s">
        <v>21</v>
      </c>
      <c r="H129">
        <v>34</v>
      </c>
      <c r="I129">
        <v>0</v>
      </c>
      <c r="J129">
        <v>5</v>
      </c>
      <c r="K129" t="s">
        <v>37</v>
      </c>
      <c r="L129" t="s">
        <v>30</v>
      </c>
      <c r="M129" t="s">
        <v>38</v>
      </c>
      <c r="N129" t="s">
        <v>12</v>
      </c>
      <c r="O129">
        <v>2</v>
      </c>
      <c r="P129" t="s">
        <v>13</v>
      </c>
      <c r="Q129">
        <v>2</v>
      </c>
      <c r="R129" t="s">
        <v>30</v>
      </c>
      <c r="S129" t="s">
        <v>42</v>
      </c>
      <c r="T129" t="s">
        <v>16</v>
      </c>
    </row>
    <row r="130" spans="1:20" x14ac:dyDescent="0.3">
      <c r="A130" t="s">
        <v>179</v>
      </c>
      <c r="B130">
        <v>27</v>
      </c>
      <c r="C130" t="s">
        <v>18</v>
      </c>
      <c r="D130" t="s">
        <v>61</v>
      </c>
      <c r="E130" t="s">
        <v>41</v>
      </c>
      <c r="F130">
        <v>15</v>
      </c>
      <c r="G130" t="s">
        <v>36</v>
      </c>
      <c r="H130">
        <v>46</v>
      </c>
      <c r="I130">
        <v>12</v>
      </c>
      <c r="J130">
        <v>4</v>
      </c>
      <c r="K130" t="s">
        <v>9</v>
      </c>
      <c r="L130" t="s">
        <v>68</v>
      </c>
      <c r="M130" t="s">
        <v>11</v>
      </c>
      <c r="N130" t="s">
        <v>29</v>
      </c>
      <c r="O130">
        <v>2</v>
      </c>
      <c r="P130" t="s">
        <v>13</v>
      </c>
      <c r="Q130">
        <v>2</v>
      </c>
      <c r="R130" t="s">
        <v>49</v>
      </c>
      <c r="S130" t="s">
        <v>31</v>
      </c>
      <c r="T130" t="s">
        <v>16</v>
      </c>
    </row>
    <row r="131" spans="1:20" x14ac:dyDescent="0.3">
      <c r="A131" t="s">
        <v>180</v>
      </c>
      <c r="B131">
        <v>22</v>
      </c>
      <c r="C131" t="s">
        <v>18</v>
      </c>
      <c r="D131" t="s">
        <v>40</v>
      </c>
      <c r="E131" t="s">
        <v>64</v>
      </c>
      <c r="F131">
        <v>21</v>
      </c>
      <c r="G131" t="s">
        <v>8</v>
      </c>
      <c r="H131">
        <v>35</v>
      </c>
      <c r="I131">
        <v>2</v>
      </c>
      <c r="J131">
        <v>3</v>
      </c>
      <c r="K131" t="s">
        <v>47</v>
      </c>
      <c r="L131" t="s">
        <v>30</v>
      </c>
      <c r="M131" t="s">
        <v>38</v>
      </c>
      <c r="N131" t="s">
        <v>12</v>
      </c>
      <c r="O131">
        <v>5</v>
      </c>
      <c r="P131" t="s">
        <v>13</v>
      </c>
      <c r="Q131">
        <v>3</v>
      </c>
      <c r="R131" t="s">
        <v>30</v>
      </c>
      <c r="S131" t="s">
        <v>42</v>
      </c>
      <c r="T131" t="s">
        <v>55</v>
      </c>
    </row>
    <row r="132" spans="1:20" x14ac:dyDescent="0.3">
      <c r="A132" t="s">
        <v>181</v>
      </c>
      <c r="B132">
        <v>32</v>
      </c>
      <c r="C132" t="s">
        <v>18</v>
      </c>
      <c r="D132" t="s">
        <v>61</v>
      </c>
      <c r="E132" t="s">
        <v>28</v>
      </c>
      <c r="F132">
        <v>16</v>
      </c>
      <c r="G132" t="s">
        <v>21</v>
      </c>
      <c r="H132">
        <v>23</v>
      </c>
      <c r="I132">
        <v>9</v>
      </c>
      <c r="J132">
        <v>1</v>
      </c>
      <c r="K132" t="s">
        <v>9</v>
      </c>
      <c r="L132" t="s">
        <v>30</v>
      </c>
      <c r="M132" t="s">
        <v>11</v>
      </c>
      <c r="N132" t="s">
        <v>29</v>
      </c>
      <c r="O132">
        <v>5</v>
      </c>
      <c r="P132" t="s">
        <v>48</v>
      </c>
      <c r="Q132">
        <v>5</v>
      </c>
      <c r="R132" t="s">
        <v>14</v>
      </c>
      <c r="S132" t="s">
        <v>15</v>
      </c>
      <c r="T132" t="s">
        <v>58</v>
      </c>
    </row>
    <row r="133" spans="1:20" x14ac:dyDescent="0.3">
      <c r="A133" t="s">
        <v>182</v>
      </c>
      <c r="B133">
        <v>32</v>
      </c>
      <c r="C133" t="s">
        <v>18</v>
      </c>
      <c r="D133" t="s">
        <v>57</v>
      </c>
      <c r="E133" t="s">
        <v>51</v>
      </c>
      <c r="F133">
        <v>26</v>
      </c>
      <c r="G133" t="s">
        <v>21</v>
      </c>
      <c r="H133">
        <v>28</v>
      </c>
      <c r="I133">
        <v>15</v>
      </c>
      <c r="J133">
        <v>5</v>
      </c>
      <c r="K133" t="s">
        <v>47</v>
      </c>
      <c r="L133" t="s">
        <v>68</v>
      </c>
      <c r="M133" t="s">
        <v>38</v>
      </c>
      <c r="N133" t="s">
        <v>23</v>
      </c>
      <c r="O133">
        <v>2</v>
      </c>
      <c r="P133" t="s">
        <v>13</v>
      </c>
      <c r="Q133">
        <v>4</v>
      </c>
      <c r="R133" t="s">
        <v>14</v>
      </c>
      <c r="S133" t="s">
        <v>42</v>
      </c>
      <c r="T133" t="s">
        <v>58</v>
      </c>
    </row>
    <row r="134" spans="1:20" x14ac:dyDescent="0.3">
      <c r="A134" t="s">
        <v>183</v>
      </c>
      <c r="B134">
        <v>53</v>
      </c>
      <c r="C134" t="s">
        <v>34</v>
      </c>
      <c r="D134" t="s">
        <v>57</v>
      </c>
      <c r="E134" t="s">
        <v>64</v>
      </c>
      <c r="F134">
        <v>4</v>
      </c>
      <c r="G134" t="s">
        <v>36</v>
      </c>
      <c r="H134">
        <v>57</v>
      </c>
      <c r="I134">
        <v>10</v>
      </c>
      <c r="J134">
        <v>3</v>
      </c>
      <c r="K134" t="s">
        <v>9</v>
      </c>
      <c r="L134" t="s">
        <v>30</v>
      </c>
      <c r="M134" t="s">
        <v>11</v>
      </c>
      <c r="N134" t="s">
        <v>29</v>
      </c>
      <c r="O134">
        <v>4</v>
      </c>
      <c r="P134" t="s">
        <v>48</v>
      </c>
      <c r="Q134">
        <v>2</v>
      </c>
      <c r="R134" t="s">
        <v>14</v>
      </c>
      <c r="S134" t="s">
        <v>15</v>
      </c>
      <c r="T134" t="s">
        <v>44</v>
      </c>
    </row>
    <row r="135" spans="1:20" x14ac:dyDescent="0.3">
      <c r="A135" t="s">
        <v>184</v>
      </c>
      <c r="B135">
        <v>26</v>
      </c>
      <c r="C135" t="s">
        <v>5</v>
      </c>
      <c r="D135" t="s">
        <v>57</v>
      </c>
      <c r="E135" t="s">
        <v>51</v>
      </c>
      <c r="F135">
        <v>29</v>
      </c>
      <c r="G135" t="s">
        <v>8</v>
      </c>
      <c r="H135">
        <v>29</v>
      </c>
      <c r="I135">
        <v>4</v>
      </c>
      <c r="J135">
        <v>1</v>
      </c>
      <c r="K135" t="s">
        <v>47</v>
      </c>
      <c r="L135" t="s">
        <v>30</v>
      </c>
      <c r="M135" t="s">
        <v>38</v>
      </c>
      <c r="N135" t="s">
        <v>12</v>
      </c>
      <c r="O135">
        <v>4</v>
      </c>
      <c r="P135" t="s">
        <v>24</v>
      </c>
      <c r="Q135">
        <v>2</v>
      </c>
      <c r="R135" t="s">
        <v>14</v>
      </c>
      <c r="S135" t="s">
        <v>15</v>
      </c>
      <c r="T135" t="s">
        <v>16</v>
      </c>
    </row>
    <row r="136" spans="1:20" x14ac:dyDescent="0.3">
      <c r="A136" t="s">
        <v>185</v>
      </c>
      <c r="B136">
        <v>60</v>
      </c>
      <c r="C136" t="s">
        <v>34</v>
      </c>
      <c r="D136" t="s">
        <v>57</v>
      </c>
      <c r="E136" t="s">
        <v>35</v>
      </c>
      <c r="F136">
        <v>2</v>
      </c>
      <c r="G136" t="s">
        <v>8</v>
      </c>
      <c r="H136">
        <v>39</v>
      </c>
      <c r="I136">
        <v>1</v>
      </c>
      <c r="J136">
        <v>4</v>
      </c>
      <c r="K136" t="s">
        <v>9</v>
      </c>
      <c r="L136" t="s">
        <v>30</v>
      </c>
      <c r="M136" t="s">
        <v>11</v>
      </c>
      <c r="N136" t="s">
        <v>23</v>
      </c>
      <c r="O136">
        <v>5</v>
      </c>
      <c r="P136" t="s">
        <v>13</v>
      </c>
      <c r="Q136">
        <v>2</v>
      </c>
      <c r="R136" t="s">
        <v>14</v>
      </c>
      <c r="S136" t="s">
        <v>31</v>
      </c>
      <c r="T136" t="s">
        <v>55</v>
      </c>
    </row>
    <row r="137" spans="1:20" x14ac:dyDescent="0.3">
      <c r="A137" t="s">
        <v>186</v>
      </c>
      <c r="B137">
        <v>51</v>
      </c>
      <c r="C137" t="s">
        <v>5</v>
      </c>
      <c r="D137" t="s">
        <v>57</v>
      </c>
      <c r="E137" t="s">
        <v>20</v>
      </c>
      <c r="F137">
        <v>26</v>
      </c>
      <c r="G137" t="s">
        <v>21</v>
      </c>
      <c r="H137">
        <v>46</v>
      </c>
      <c r="I137">
        <v>4</v>
      </c>
      <c r="J137">
        <v>5</v>
      </c>
      <c r="K137" t="s">
        <v>9</v>
      </c>
      <c r="L137" t="s">
        <v>68</v>
      </c>
      <c r="M137" t="s">
        <v>11</v>
      </c>
      <c r="N137" t="s">
        <v>23</v>
      </c>
      <c r="O137">
        <v>4</v>
      </c>
      <c r="P137" t="s">
        <v>13</v>
      </c>
      <c r="Q137">
        <v>5</v>
      </c>
      <c r="R137" t="s">
        <v>30</v>
      </c>
      <c r="S137" t="s">
        <v>15</v>
      </c>
      <c r="T137" t="s">
        <v>55</v>
      </c>
    </row>
    <row r="138" spans="1:20" x14ac:dyDescent="0.3">
      <c r="A138" t="s">
        <v>187</v>
      </c>
      <c r="B138">
        <v>44</v>
      </c>
      <c r="C138" t="s">
        <v>34</v>
      </c>
      <c r="D138" t="s">
        <v>19</v>
      </c>
      <c r="E138" t="s">
        <v>7</v>
      </c>
      <c r="F138">
        <v>14</v>
      </c>
      <c r="G138" t="s">
        <v>21</v>
      </c>
      <c r="H138">
        <v>26</v>
      </c>
      <c r="I138">
        <v>9</v>
      </c>
      <c r="J138">
        <v>2</v>
      </c>
      <c r="K138" t="s">
        <v>37</v>
      </c>
      <c r="L138" t="s">
        <v>68</v>
      </c>
      <c r="M138" t="s">
        <v>11</v>
      </c>
      <c r="N138" t="s">
        <v>29</v>
      </c>
      <c r="O138">
        <v>4</v>
      </c>
      <c r="P138" t="s">
        <v>48</v>
      </c>
      <c r="Q138">
        <v>5</v>
      </c>
      <c r="R138" t="s">
        <v>49</v>
      </c>
      <c r="S138" t="s">
        <v>15</v>
      </c>
      <c r="T138" t="s">
        <v>44</v>
      </c>
    </row>
    <row r="139" spans="1:20" x14ac:dyDescent="0.3">
      <c r="A139" t="s">
        <v>188</v>
      </c>
      <c r="B139">
        <v>48</v>
      </c>
      <c r="C139" t="s">
        <v>5</v>
      </c>
      <c r="D139" t="s">
        <v>40</v>
      </c>
      <c r="E139" t="s">
        <v>20</v>
      </c>
      <c r="F139">
        <v>10</v>
      </c>
      <c r="G139" t="s">
        <v>21</v>
      </c>
      <c r="H139">
        <v>32</v>
      </c>
      <c r="I139">
        <v>4</v>
      </c>
      <c r="J139">
        <v>4</v>
      </c>
      <c r="K139" t="s">
        <v>9</v>
      </c>
      <c r="L139" t="s">
        <v>30</v>
      </c>
      <c r="M139" t="s">
        <v>38</v>
      </c>
      <c r="N139" t="s">
        <v>29</v>
      </c>
      <c r="O139">
        <v>5</v>
      </c>
      <c r="P139" t="s">
        <v>24</v>
      </c>
      <c r="Q139">
        <v>5</v>
      </c>
      <c r="R139" t="s">
        <v>14</v>
      </c>
      <c r="S139" t="s">
        <v>31</v>
      </c>
      <c r="T139" t="s">
        <v>55</v>
      </c>
    </row>
    <row r="140" spans="1:20" x14ac:dyDescent="0.3">
      <c r="A140" t="s">
        <v>189</v>
      </c>
      <c r="B140">
        <v>57</v>
      </c>
      <c r="C140" t="s">
        <v>5</v>
      </c>
      <c r="D140" t="s">
        <v>19</v>
      </c>
      <c r="E140" t="s">
        <v>28</v>
      </c>
      <c r="F140">
        <v>34</v>
      </c>
      <c r="G140" t="s">
        <v>21</v>
      </c>
      <c r="H140">
        <v>30</v>
      </c>
      <c r="I140">
        <v>11</v>
      </c>
      <c r="J140">
        <v>3</v>
      </c>
      <c r="K140" t="s">
        <v>37</v>
      </c>
      <c r="L140" t="s">
        <v>30</v>
      </c>
      <c r="M140" t="s">
        <v>11</v>
      </c>
      <c r="N140" t="s">
        <v>23</v>
      </c>
      <c r="O140">
        <v>3</v>
      </c>
      <c r="P140" t="s">
        <v>13</v>
      </c>
      <c r="Q140">
        <v>5</v>
      </c>
      <c r="R140" t="s">
        <v>30</v>
      </c>
      <c r="S140" t="s">
        <v>31</v>
      </c>
      <c r="T140" t="s">
        <v>32</v>
      </c>
    </row>
    <row r="141" spans="1:20" x14ac:dyDescent="0.3">
      <c r="A141" t="s">
        <v>190</v>
      </c>
      <c r="B141">
        <v>49</v>
      </c>
      <c r="C141" t="s">
        <v>5</v>
      </c>
      <c r="D141" t="s">
        <v>63</v>
      </c>
      <c r="E141" t="s">
        <v>28</v>
      </c>
      <c r="F141">
        <v>11</v>
      </c>
      <c r="G141" t="s">
        <v>8</v>
      </c>
      <c r="H141">
        <v>48</v>
      </c>
      <c r="I141">
        <v>3</v>
      </c>
      <c r="J141">
        <v>5</v>
      </c>
      <c r="K141" t="s">
        <v>47</v>
      </c>
      <c r="L141" t="s">
        <v>22</v>
      </c>
      <c r="M141" t="s">
        <v>38</v>
      </c>
      <c r="N141" t="s">
        <v>12</v>
      </c>
      <c r="O141">
        <v>5</v>
      </c>
      <c r="P141" t="s">
        <v>24</v>
      </c>
      <c r="Q141">
        <v>1</v>
      </c>
      <c r="R141" t="s">
        <v>14</v>
      </c>
      <c r="S141" t="s">
        <v>42</v>
      </c>
      <c r="T141" t="s">
        <v>25</v>
      </c>
    </row>
    <row r="142" spans="1:20" x14ac:dyDescent="0.3">
      <c r="A142" t="s">
        <v>191</v>
      </c>
      <c r="B142">
        <v>32</v>
      </c>
      <c r="C142" t="s">
        <v>5</v>
      </c>
      <c r="D142" t="s">
        <v>63</v>
      </c>
      <c r="E142" t="s">
        <v>28</v>
      </c>
      <c r="F142">
        <v>12</v>
      </c>
      <c r="G142" t="s">
        <v>36</v>
      </c>
      <c r="H142">
        <v>44</v>
      </c>
      <c r="I142">
        <v>13</v>
      </c>
      <c r="J142">
        <v>1</v>
      </c>
      <c r="K142" t="s">
        <v>37</v>
      </c>
      <c r="L142" t="s">
        <v>22</v>
      </c>
      <c r="M142" t="s">
        <v>38</v>
      </c>
      <c r="N142" t="s">
        <v>12</v>
      </c>
      <c r="O142">
        <v>1</v>
      </c>
      <c r="P142" t="s">
        <v>24</v>
      </c>
      <c r="Q142">
        <v>5</v>
      </c>
      <c r="R142" t="s">
        <v>14</v>
      </c>
      <c r="S142" t="s">
        <v>31</v>
      </c>
      <c r="T142" t="s">
        <v>58</v>
      </c>
    </row>
    <row r="143" spans="1:20" x14ac:dyDescent="0.3">
      <c r="A143" t="s">
        <v>192</v>
      </c>
      <c r="B143">
        <v>49</v>
      </c>
      <c r="C143" t="s">
        <v>18</v>
      </c>
      <c r="D143" t="s">
        <v>63</v>
      </c>
      <c r="E143" t="s">
        <v>7</v>
      </c>
      <c r="F143">
        <v>29</v>
      </c>
      <c r="G143" t="s">
        <v>8</v>
      </c>
      <c r="H143">
        <v>49</v>
      </c>
      <c r="I143">
        <v>15</v>
      </c>
      <c r="J143">
        <v>5</v>
      </c>
      <c r="K143" t="s">
        <v>47</v>
      </c>
      <c r="L143" t="s">
        <v>68</v>
      </c>
      <c r="M143" t="s">
        <v>38</v>
      </c>
      <c r="N143" t="s">
        <v>12</v>
      </c>
      <c r="O143">
        <v>5</v>
      </c>
      <c r="P143" t="s">
        <v>48</v>
      </c>
      <c r="Q143">
        <v>4</v>
      </c>
      <c r="R143" t="s">
        <v>30</v>
      </c>
      <c r="S143" t="s">
        <v>31</v>
      </c>
      <c r="T143" t="s">
        <v>25</v>
      </c>
    </row>
    <row r="144" spans="1:20" x14ac:dyDescent="0.3">
      <c r="A144" t="s">
        <v>193</v>
      </c>
      <c r="B144">
        <v>23</v>
      </c>
      <c r="C144" t="s">
        <v>18</v>
      </c>
      <c r="D144" t="s">
        <v>61</v>
      </c>
      <c r="E144" t="s">
        <v>51</v>
      </c>
      <c r="F144">
        <v>11</v>
      </c>
      <c r="G144" t="s">
        <v>8</v>
      </c>
      <c r="H144">
        <v>23</v>
      </c>
      <c r="I144">
        <v>0</v>
      </c>
      <c r="J144">
        <v>5</v>
      </c>
      <c r="K144" t="s">
        <v>37</v>
      </c>
      <c r="L144" t="s">
        <v>30</v>
      </c>
      <c r="M144" t="s">
        <v>11</v>
      </c>
      <c r="N144" t="s">
        <v>29</v>
      </c>
      <c r="O144">
        <v>2</v>
      </c>
      <c r="P144" t="s">
        <v>13</v>
      </c>
      <c r="Q144">
        <v>1</v>
      </c>
      <c r="R144" t="s">
        <v>14</v>
      </c>
      <c r="S144" t="s">
        <v>31</v>
      </c>
      <c r="T144" t="s">
        <v>16</v>
      </c>
    </row>
    <row r="145" spans="1:20" x14ac:dyDescent="0.3">
      <c r="A145" t="s">
        <v>194</v>
      </c>
      <c r="B145">
        <v>55</v>
      </c>
      <c r="C145" t="s">
        <v>46</v>
      </c>
      <c r="D145" t="s">
        <v>61</v>
      </c>
      <c r="E145" t="s">
        <v>35</v>
      </c>
      <c r="F145">
        <v>3</v>
      </c>
      <c r="G145" t="s">
        <v>36</v>
      </c>
      <c r="H145">
        <v>33</v>
      </c>
      <c r="I145">
        <v>6</v>
      </c>
      <c r="J145">
        <v>5</v>
      </c>
      <c r="K145" t="s">
        <v>47</v>
      </c>
      <c r="L145" t="s">
        <v>68</v>
      </c>
      <c r="M145" t="s">
        <v>11</v>
      </c>
      <c r="N145" t="s">
        <v>29</v>
      </c>
      <c r="O145">
        <v>4</v>
      </c>
      <c r="P145" t="s">
        <v>24</v>
      </c>
      <c r="Q145">
        <v>2</v>
      </c>
      <c r="R145" t="s">
        <v>49</v>
      </c>
      <c r="S145" t="s">
        <v>15</v>
      </c>
      <c r="T145" t="s">
        <v>32</v>
      </c>
    </row>
    <row r="146" spans="1:20" x14ac:dyDescent="0.3">
      <c r="A146" t="s">
        <v>195</v>
      </c>
      <c r="B146">
        <v>47</v>
      </c>
      <c r="C146" t="s">
        <v>5</v>
      </c>
      <c r="D146" t="s">
        <v>6</v>
      </c>
      <c r="E146" t="s">
        <v>28</v>
      </c>
      <c r="F146">
        <v>18</v>
      </c>
      <c r="G146" t="s">
        <v>21</v>
      </c>
      <c r="H146">
        <v>35</v>
      </c>
      <c r="I146">
        <v>15</v>
      </c>
      <c r="J146">
        <v>5</v>
      </c>
      <c r="K146" t="s">
        <v>37</v>
      </c>
      <c r="L146" t="s">
        <v>22</v>
      </c>
      <c r="M146" t="s">
        <v>11</v>
      </c>
      <c r="N146" t="s">
        <v>29</v>
      </c>
      <c r="O146">
        <v>4</v>
      </c>
      <c r="P146" t="s">
        <v>13</v>
      </c>
      <c r="Q146">
        <v>2</v>
      </c>
      <c r="R146" t="s">
        <v>49</v>
      </c>
      <c r="S146" t="s">
        <v>42</v>
      </c>
      <c r="T146" t="s">
        <v>25</v>
      </c>
    </row>
    <row r="147" spans="1:20" x14ac:dyDescent="0.3">
      <c r="A147" t="s">
        <v>196</v>
      </c>
      <c r="B147">
        <v>48</v>
      </c>
      <c r="C147" t="s">
        <v>5</v>
      </c>
      <c r="D147" t="s">
        <v>57</v>
      </c>
      <c r="E147" t="s">
        <v>41</v>
      </c>
      <c r="F147">
        <v>5</v>
      </c>
      <c r="G147" t="s">
        <v>21</v>
      </c>
      <c r="H147">
        <v>41</v>
      </c>
      <c r="I147">
        <v>8</v>
      </c>
      <c r="J147">
        <v>3</v>
      </c>
      <c r="K147" t="s">
        <v>9</v>
      </c>
      <c r="L147" t="s">
        <v>10</v>
      </c>
      <c r="M147" t="s">
        <v>38</v>
      </c>
      <c r="N147" t="s">
        <v>12</v>
      </c>
      <c r="O147">
        <v>4</v>
      </c>
      <c r="P147" t="s">
        <v>24</v>
      </c>
      <c r="Q147">
        <v>4</v>
      </c>
      <c r="R147" t="s">
        <v>14</v>
      </c>
      <c r="S147" t="s">
        <v>31</v>
      </c>
      <c r="T147" t="s">
        <v>16</v>
      </c>
    </row>
    <row r="148" spans="1:20" x14ac:dyDescent="0.3">
      <c r="A148" t="s">
        <v>197</v>
      </c>
      <c r="B148">
        <v>36</v>
      </c>
      <c r="C148" t="s">
        <v>46</v>
      </c>
      <c r="D148" t="s">
        <v>27</v>
      </c>
      <c r="E148" t="s">
        <v>7</v>
      </c>
      <c r="F148">
        <v>3</v>
      </c>
      <c r="G148" t="s">
        <v>8</v>
      </c>
      <c r="H148">
        <v>34</v>
      </c>
      <c r="I148">
        <v>12</v>
      </c>
      <c r="J148">
        <v>2</v>
      </c>
      <c r="K148" t="s">
        <v>47</v>
      </c>
      <c r="L148" t="s">
        <v>10</v>
      </c>
      <c r="M148" t="s">
        <v>11</v>
      </c>
      <c r="N148" t="s">
        <v>23</v>
      </c>
      <c r="O148">
        <v>4</v>
      </c>
      <c r="P148" t="s">
        <v>48</v>
      </c>
      <c r="Q148">
        <v>3</v>
      </c>
      <c r="R148" t="s">
        <v>49</v>
      </c>
      <c r="S148" t="s">
        <v>42</v>
      </c>
      <c r="T148" t="s">
        <v>58</v>
      </c>
    </row>
    <row r="149" spans="1:20" x14ac:dyDescent="0.3">
      <c r="A149" t="s">
        <v>198</v>
      </c>
      <c r="B149">
        <v>45</v>
      </c>
      <c r="C149" t="s">
        <v>34</v>
      </c>
      <c r="D149" t="s">
        <v>61</v>
      </c>
      <c r="E149" t="s">
        <v>35</v>
      </c>
      <c r="F149">
        <v>14</v>
      </c>
      <c r="G149" t="s">
        <v>21</v>
      </c>
      <c r="H149">
        <v>44</v>
      </c>
      <c r="I149">
        <v>10</v>
      </c>
      <c r="J149">
        <v>1</v>
      </c>
      <c r="K149" t="s">
        <v>47</v>
      </c>
      <c r="L149" t="s">
        <v>22</v>
      </c>
      <c r="M149" t="s">
        <v>38</v>
      </c>
      <c r="N149" t="s">
        <v>29</v>
      </c>
      <c r="O149">
        <v>1</v>
      </c>
      <c r="P149" t="s">
        <v>13</v>
      </c>
      <c r="Q149">
        <v>5</v>
      </c>
      <c r="R149" t="s">
        <v>49</v>
      </c>
      <c r="S149" t="s">
        <v>42</v>
      </c>
      <c r="T149" t="s">
        <v>32</v>
      </c>
    </row>
    <row r="150" spans="1:20" x14ac:dyDescent="0.3">
      <c r="A150" t="s">
        <v>199</v>
      </c>
      <c r="B150">
        <v>41</v>
      </c>
      <c r="C150" t="s">
        <v>18</v>
      </c>
      <c r="D150" t="s">
        <v>61</v>
      </c>
      <c r="E150" t="s">
        <v>20</v>
      </c>
      <c r="F150">
        <v>10</v>
      </c>
      <c r="G150" t="s">
        <v>36</v>
      </c>
      <c r="H150">
        <v>52</v>
      </c>
      <c r="I150">
        <v>8</v>
      </c>
      <c r="J150">
        <v>4</v>
      </c>
      <c r="K150" t="s">
        <v>37</v>
      </c>
      <c r="L150" t="s">
        <v>10</v>
      </c>
      <c r="M150" t="s">
        <v>38</v>
      </c>
      <c r="N150" t="s">
        <v>12</v>
      </c>
      <c r="O150">
        <v>3</v>
      </c>
      <c r="P150" t="s">
        <v>24</v>
      </c>
      <c r="Q150">
        <v>4</v>
      </c>
      <c r="R150" t="s">
        <v>49</v>
      </c>
      <c r="S150" t="s">
        <v>15</v>
      </c>
      <c r="T150" t="s">
        <v>55</v>
      </c>
    </row>
    <row r="151" spans="1:20" x14ac:dyDescent="0.3">
      <c r="A151" t="s">
        <v>200</v>
      </c>
      <c r="B151">
        <v>50</v>
      </c>
      <c r="C151" t="s">
        <v>34</v>
      </c>
      <c r="D151" t="s">
        <v>61</v>
      </c>
      <c r="E151" t="s">
        <v>41</v>
      </c>
      <c r="F151">
        <v>17</v>
      </c>
      <c r="G151" t="s">
        <v>36</v>
      </c>
      <c r="H151">
        <v>57</v>
      </c>
      <c r="I151">
        <v>11</v>
      </c>
      <c r="J151">
        <v>2</v>
      </c>
      <c r="K151" t="s">
        <v>47</v>
      </c>
      <c r="L151" t="s">
        <v>68</v>
      </c>
      <c r="M151" t="s">
        <v>38</v>
      </c>
      <c r="N151" t="s">
        <v>12</v>
      </c>
      <c r="O151">
        <v>1</v>
      </c>
      <c r="P151" t="s">
        <v>13</v>
      </c>
      <c r="Q151">
        <v>3</v>
      </c>
      <c r="R151" t="s">
        <v>14</v>
      </c>
      <c r="S151" t="s">
        <v>15</v>
      </c>
      <c r="T151" t="s">
        <v>55</v>
      </c>
    </row>
    <row r="152" spans="1:20" x14ac:dyDescent="0.3">
      <c r="A152" t="s">
        <v>201</v>
      </c>
      <c r="B152">
        <v>41</v>
      </c>
      <c r="C152" t="s">
        <v>18</v>
      </c>
      <c r="D152" t="s">
        <v>27</v>
      </c>
      <c r="E152" t="s">
        <v>41</v>
      </c>
      <c r="F152">
        <v>34</v>
      </c>
      <c r="G152" t="s">
        <v>21</v>
      </c>
      <c r="H152">
        <v>32</v>
      </c>
      <c r="I152">
        <v>15</v>
      </c>
      <c r="J152">
        <v>3</v>
      </c>
      <c r="K152" t="s">
        <v>37</v>
      </c>
      <c r="L152" t="s">
        <v>22</v>
      </c>
      <c r="M152" t="s">
        <v>38</v>
      </c>
      <c r="N152" t="s">
        <v>12</v>
      </c>
      <c r="O152">
        <v>2</v>
      </c>
      <c r="P152" t="s">
        <v>13</v>
      </c>
      <c r="Q152">
        <v>3</v>
      </c>
      <c r="R152" t="s">
        <v>14</v>
      </c>
      <c r="S152" t="s">
        <v>42</v>
      </c>
      <c r="T152" t="s">
        <v>55</v>
      </c>
    </row>
    <row r="153" spans="1:20" x14ac:dyDescent="0.3">
      <c r="A153" t="s">
        <v>202</v>
      </c>
      <c r="B153">
        <v>57</v>
      </c>
      <c r="C153" t="s">
        <v>18</v>
      </c>
      <c r="D153" t="s">
        <v>61</v>
      </c>
      <c r="E153" t="s">
        <v>41</v>
      </c>
      <c r="F153">
        <v>20</v>
      </c>
      <c r="G153" t="s">
        <v>21</v>
      </c>
      <c r="H153">
        <v>31</v>
      </c>
      <c r="I153">
        <v>6</v>
      </c>
      <c r="J153">
        <v>4</v>
      </c>
      <c r="K153" t="s">
        <v>47</v>
      </c>
      <c r="L153" t="s">
        <v>68</v>
      </c>
      <c r="M153" t="s">
        <v>11</v>
      </c>
      <c r="N153" t="s">
        <v>29</v>
      </c>
      <c r="O153">
        <v>3</v>
      </c>
      <c r="P153" t="s">
        <v>24</v>
      </c>
      <c r="Q153">
        <v>4</v>
      </c>
      <c r="R153" t="s">
        <v>49</v>
      </c>
      <c r="S153" t="s">
        <v>31</v>
      </c>
      <c r="T153" t="s">
        <v>55</v>
      </c>
    </row>
    <row r="154" spans="1:20" x14ac:dyDescent="0.3">
      <c r="A154" t="s">
        <v>203</v>
      </c>
      <c r="B154">
        <v>30</v>
      </c>
      <c r="C154" t="s">
        <v>34</v>
      </c>
      <c r="D154" t="s">
        <v>27</v>
      </c>
      <c r="E154" t="s">
        <v>7</v>
      </c>
      <c r="F154">
        <v>29</v>
      </c>
      <c r="G154" t="s">
        <v>8</v>
      </c>
      <c r="H154">
        <v>58</v>
      </c>
      <c r="I154">
        <v>15</v>
      </c>
      <c r="J154">
        <v>1</v>
      </c>
      <c r="K154" t="s">
        <v>9</v>
      </c>
      <c r="L154" t="s">
        <v>68</v>
      </c>
      <c r="M154" t="s">
        <v>11</v>
      </c>
      <c r="N154" t="s">
        <v>23</v>
      </c>
      <c r="O154">
        <v>2</v>
      </c>
      <c r="P154" t="s">
        <v>13</v>
      </c>
      <c r="Q154">
        <v>2</v>
      </c>
      <c r="R154" t="s">
        <v>14</v>
      </c>
      <c r="S154" t="s">
        <v>31</v>
      </c>
      <c r="T154" t="s">
        <v>58</v>
      </c>
    </row>
    <row r="155" spans="1:20" x14ac:dyDescent="0.3">
      <c r="A155" t="s">
        <v>204</v>
      </c>
      <c r="B155">
        <v>23</v>
      </c>
      <c r="C155" t="s">
        <v>18</v>
      </c>
      <c r="D155" t="s">
        <v>19</v>
      </c>
      <c r="E155" t="s">
        <v>41</v>
      </c>
      <c r="F155">
        <v>31</v>
      </c>
      <c r="G155" t="s">
        <v>21</v>
      </c>
      <c r="H155">
        <v>26</v>
      </c>
      <c r="I155">
        <v>9</v>
      </c>
      <c r="J155">
        <v>1</v>
      </c>
      <c r="K155" t="s">
        <v>9</v>
      </c>
      <c r="L155" t="s">
        <v>10</v>
      </c>
      <c r="M155" t="s">
        <v>38</v>
      </c>
      <c r="N155" t="s">
        <v>29</v>
      </c>
      <c r="O155">
        <v>2</v>
      </c>
      <c r="P155" t="s">
        <v>13</v>
      </c>
      <c r="Q155">
        <v>2</v>
      </c>
      <c r="R155" t="s">
        <v>30</v>
      </c>
      <c r="S155" t="s">
        <v>31</v>
      </c>
      <c r="T155" t="s">
        <v>25</v>
      </c>
    </row>
    <row r="156" spans="1:20" x14ac:dyDescent="0.3">
      <c r="A156" t="s">
        <v>205</v>
      </c>
      <c r="B156">
        <v>30</v>
      </c>
      <c r="C156" t="s">
        <v>34</v>
      </c>
      <c r="D156" t="s">
        <v>27</v>
      </c>
      <c r="E156" t="s">
        <v>41</v>
      </c>
      <c r="F156">
        <v>17</v>
      </c>
      <c r="G156" t="s">
        <v>21</v>
      </c>
      <c r="H156">
        <v>57</v>
      </c>
      <c r="I156">
        <v>5</v>
      </c>
      <c r="J156">
        <v>1</v>
      </c>
      <c r="K156" t="s">
        <v>47</v>
      </c>
      <c r="L156" t="s">
        <v>30</v>
      </c>
      <c r="M156" t="s">
        <v>38</v>
      </c>
      <c r="N156" t="s">
        <v>29</v>
      </c>
      <c r="O156">
        <v>2</v>
      </c>
      <c r="P156" t="s">
        <v>13</v>
      </c>
      <c r="Q156">
        <v>4</v>
      </c>
      <c r="R156" t="s">
        <v>14</v>
      </c>
      <c r="S156" t="s">
        <v>42</v>
      </c>
      <c r="T156" t="s">
        <v>32</v>
      </c>
    </row>
    <row r="157" spans="1:20" x14ac:dyDescent="0.3">
      <c r="A157" t="s">
        <v>206</v>
      </c>
      <c r="B157">
        <v>47</v>
      </c>
      <c r="C157" t="s">
        <v>18</v>
      </c>
      <c r="D157" t="s">
        <v>63</v>
      </c>
      <c r="E157" t="s">
        <v>7</v>
      </c>
      <c r="F157">
        <v>31</v>
      </c>
      <c r="G157" t="s">
        <v>36</v>
      </c>
      <c r="H157">
        <v>20</v>
      </c>
      <c r="I157">
        <v>8</v>
      </c>
      <c r="J157">
        <v>1</v>
      </c>
      <c r="K157" t="s">
        <v>47</v>
      </c>
      <c r="L157" t="s">
        <v>30</v>
      </c>
      <c r="M157" t="s">
        <v>11</v>
      </c>
      <c r="N157" t="s">
        <v>12</v>
      </c>
      <c r="O157">
        <v>4</v>
      </c>
      <c r="P157" t="s">
        <v>48</v>
      </c>
      <c r="Q157">
        <v>1</v>
      </c>
      <c r="R157" t="s">
        <v>30</v>
      </c>
      <c r="S157" t="s">
        <v>15</v>
      </c>
      <c r="T157" t="s">
        <v>32</v>
      </c>
    </row>
    <row r="158" spans="1:20" x14ac:dyDescent="0.3">
      <c r="A158" t="s">
        <v>207</v>
      </c>
      <c r="B158">
        <v>33</v>
      </c>
      <c r="C158" t="s">
        <v>46</v>
      </c>
      <c r="D158" t="s">
        <v>63</v>
      </c>
      <c r="E158" t="s">
        <v>35</v>
      </c>
      <c r="F158">
        <v>23</v>
      </c>
      <c r="G158" t="s">
        <v>8</v>
      </c>
      <c r="H158">
        <v>26</v>
      </c>
      <c r="I158">
        <v>0</v>
      </c>
      <c r="J158">
        <v>4</v>
      </c>
      <c r="K158" t="s">
        <v>37</v>
      </c>
      <c r="L158" t="s">
        <v>30</v>
      </c>
      <c r="M158" t="s">
        <v>11</v>
      </c>
      <c r="N158" t="s">
        <v>12</v>
      </c>
      <c r="O158">
        <v>1</v>
      </c>
      <c r="P158" t="s">
        <v>24</v>
      </c>
      <c r="Q158">
        <v>2</v>
      </c>
      <c r="R158" t="s">
        <v>14</v>
      </c>
      <c r="S158" t="s">
        <v>42</v>
      </c>
      <c r="T158" t="s">
        <v>44</v>
      </c>
    </row>
    <row r="159" spans="1:20" x14ac:dyDescent="0.3">
      <c r="A159" t="s">
        <v>208</v>
      </c>
      <c r="B159">
        <v>32</v>
      </c>
      <c r="C159" t="s">
        <v>34</v>
      </c>
      <c r="D159" t="s">
        <v>19</v>
      </c>
      <c r="E159" t="s">
        <v>35</v>
      </c>
      <c r="F159">
        <v>21</v>
      </c>
      <c r="G159" t="s">
        <v>8</v>
      </c>
      <c r="H159">
        <v>43</v>
      </c>
      <c r="I159">
        <v>15</v>
      </c>
      <c r="J159">
        <v>3</v>
      </c>
      <c r="K159" t="s">
        <v>37</v>
      </c>
      <c r="L159" t="s">
        <v>10</v>
      </c>
      <c r="M159" t="s">
        <v>11</v>
      </c>
      <c r="N159" t="s">
        <v>29</v>
      </c>
      <c r="O159">
        <v>4</v>
      </c>
      <c r="P159" t="s">
        <v>48</v>
      </c>
      <c r="Q159">
        <v>3</v>
      </c>
      <c r="R159" t="s">
        <v>14</v>
      </c>
      <c r="S159" t="s">
        <v>15</v>
      </c>
      <c r="T159" t="s">
        <v>32</v>
      </c>
    </row>
    <row r="160" spans="1:20" x14ac:dyDescent="0.3">
      <c r="A160" t="s">
        <v>209</v>
      </c>
      <c r="B160">
        <v>43</v>
      </c>
      <c r="C160" t="s">
        <v>34</v>
      </c>
      <c r="D160" t="s">
        <v>61</v>
      </c>
      <c r="E160" t="s">
        <v>51</v>
      </c>
      <c r="F160">
        <v>6</v>
      </c>
      <c r="G160" t="s">
        <v>36</v>
      </c>
      <c r="H160">
        <v>50</v>
      </c>
      <c r="I160">
        <v>14</v>
      </c>
      <c r="J160">
        <v>3</v>
      </c>
      <c r="K160" t="s">
        <v>47</v>
      </c>
      <c r="L160" t="s">
        <v>10</v>
      </c>
      <c r="M160" t="s">
        <v>38</v>
      </c>
      <c r="N160" t="s">
        <v>23</v>
      </c>
      <c r="O160">
        <v>1</v>
      </c>
      <c r="P160" t="s">
        <v>13</v>
      </c>
      <c r="Q160">
        <v>3</v>
      </c>
      <c r="R160" t="s">
        <v>49</v>
      </c>
      <c r="S160" t="s">
        <v>42</v>
      </c>
      <c r="T160" t="s">
        <v>44</v>
      </c>
    </row>
    <row r="161" spans="1:20" x14ac:dyDescent="0.3">
      <c r="A161" t="s">
        <v>210</v>
      </c>
      <c r="B161">
        <v>43</v>
      </c>
      <c r="C161" t="s">
        <v>5</v>
      </c>
      <c r="D161" t="s">
        <v>27</v>
      </c>
      <c r="E161" t="s">
        <v>7</v>
      </c>
      <c r="F161">
        <v>14</v>
      </c>
      <c r="G161" t="s">
        <v>36</v>
      </c>
      <c r="H161">
        <v>52</v>
      </c>
      <c r="I161">
        <v>0</v>
      </c>
      <c r="J161">
        <v>5</v>
      </c>
      <c r="K161" t="s">
        <v>37</v>
      </c>
      <c r="L161" t="s">
        <v>68</v>
      </c>
      <c r="M161" t="s">
        <v>11</v>
      </c>
      <c r="N161" t="s">
        <v>23</v>
      </c>
      <c r="O161">
        <v>2</v>
      </c>
      <c r="P161" t="s">
        <v>24</v>
      </c>
      <c r="Q161">
        <v>3</v>
      </c>
      <c r="R161" t="s">
        <v>14</v>
      </c>
      <c r="S161" t="s">
        <v>15</v>
      </c>
      <c r="T161" t="s">
        <v>55</v>
      </c>
    </row>
    <row r="162" spans="1:20" x14ac:dyDescent="0.3">
      <c r="A162" t="s">
        <v>211</v>
      </c>
      <c r="B162">
        <v>35</v>
      </c>
      <c r="C162" t="s">
        <v>18</v>
      </c>
      <c r="D162" t="s">
        <v>57</v>
      </c>
      <c r="E162" t="s">
        <v>20</v>
      </c>
      <c r="F162">
        <v>34</v>
      </c>
      <c r="G162" t="s">
        <v>8</v>
      </c>
      <c r="H162">
        <v>37</v>
      </c>
      <c r="I162">
        <v>1</v>
      </c>
      <c r="J162">
        <v>4</v>
      </c>
      <c r="K162" t="s">
        <v>9</v>
      </c>
      <c r="L162" t="s">
        <v>22</v>
      </c>
      <c r="M162" t="s">
        <v>11</v>
      </c>
      <c r="N162" t="s">
        <v>12</v>
      </c>
      <c r="O162">
        <v>2</v>
      </c>
      <c r="P162" t="s">
        <v>24</v>
      </c>
      <c r="Q162">
        <v>1</v>
      </c>
      <c r="R162" t="s">
        <v>30</v>
      </c>
      <c r="S162" t="s">
        <v>42</v>
      </c>
      <c r="T162" t="s">
        <v>58</v>
      </c>
    </row>
    <row r="163" spans="1:20" x14ac:dyDescent="0.3">
      <c r="A163" t="s">
        <v>212</v>
      </c>
      <c r="B163">
        <v>40</v>
      </c>
      <c r="C163" t="s">
        <v>18</v>
      </c>
      <c r="D163" t="s">
        <v>19</v>
      </c>
      <c r="E163" t="s">
        <v>28</v>
      </c>
      <c r="F163">
        <v>24</v>
      </c>
      <c r="G163" t="s">
        <v>8</v>
      </c>
      <c r="H163">
        <v>38</v>
      </c>
      <c r="I163">
        <v>0</v>
      </c>
      <c r="J163">
        <v>3</v>
      </c>
      <c r="K163" t="s">
        <v>37</v>
      </c>
      <c r="L163" t="s">
        <v>30</v>
      </c>
      <c r="M163" t="s">
        <v>38</v>
      </c>
      <c r="N163" t="s">
        <v>29</v>
      </c>
      <c r="O163">
        <v>4</v>
      </c>
      <c r="P163" t="s">
        <v>48</v>
      </c>
      <c r="Q163">
        <v>1</v>
      </c>
      <c r="R163" t="s">
        <v>30</v>
      </c>
      <c r="S163" t="s">
        <v>42</v>
      </c>
      <c r="T163" t="s">
        <v>58</v>
      </c>
    </row>
    <row r="164" spans="1:20" x14ac:dyDescent="0.3">
      <c r="A164" t="s">
        <v>213</v>
      </c>
      <c r="B164">
        <v>29</v>
      </c>
      <c r="C164" t="s">
        <v>46</v>
      </c>
      <c r="D164" t="s">
        <v>61</v>
      </c>
      <c r="E164" t="s">
        <v>41</v>
      </c>
      <c r="F164">
        <v>3</v>
      </c>
      <c r="G164" t="s">
        <v>8</v>
      </c>
      <c r="H164">
        <v>55</v>
      </c>
      <c r="I164">
        <v>11</v>
      </c>
      <c r="J164">
        <v>1</v>
      </c>
      <c r="K164" t="s">
        <v>37</v>
      </c>
      <c r="L164" t="s">
        <v>10</v>
      </c>
      <c r="M164" t="s">
        <v>11</v>
      </c>
      <c r="N164" t="s">
        <v>23</v>
      </c>
      <c r="O164">
        <v>1</v>
      </c>
      <c r="P164" t="s">
        <v>13</v>
      </c>
      <c r="Q164">
        <v>2</v>
      </c>
      <c r="R164" t="s">
        <v>14</v>
      </c>
      <c r="S164" t="s">
        <v>31</v>
      </c>
      <c r="T164" t="s">
        <v>44</v>
      </c>
    </row>
    <row r="165" spans="1:20" x14ac:dyDescent="0.3">
      <c r="A165" t="s">
        <v>214</v>
      </c>
      <c r="B165">
        <v>24</v>
      </c>
      <c r="C165" t="s">
        <v>5</v>
      </c>
      <c r="D165" t="s">
        <v>19</v>
      </c>
      <c r="E165" t="s">
        <v>51</v>
      </c>
      <c r="F165">
        <v>5</v>
      </c>
      <c r="G165" t="s">
        <v>8</v>
      </c>
      <c r="H165">
        <v>53</v>
      </c>
      <c r="I165">
        <v>14</v>
      </c>
      <c r="J165">
        <v>1</v>
      </c>
      <c r="K165" t="s">
        <v>9</v>
      </c>
      <c r="L165" t="s">
        <v>30</v>
      </c>
      <c r="M165" t="s">
        <v>11</v>
      </c>
      <c r="N165" t="s">
        <v>23</v>
      </c>
      <c r="O165">
        <v>3</v>
      </c>
      <c r="P165" t="s">
        <v>48</v>
      </c>
      <c r="Q165">
        <v>1</v>
      </c>
      <c r="R165" t="s">
        <v>14</v>
      </c>
      <c r="S165" t="s">
        <v>42</v>
      </c>
      <c r="T165" t="s">
        <v>58</v>
      </c>
    </row>
    <row r="166" spans="1:20" x14ac:dyDescent="0.3">
      <c r="A166" t="s">
        <v>215</v>
      </c>
      <c r="B166">
        <v>40</v>
      </c>
      <c r="C166" t="s">
        <v>34</v>
      </c>
      <c r="D166" t="s">
        <v>27</v>
      </c>
      <c r="E166" t="s">
        <v>7</v>
      </c>
      <c r="F166">
        <v>11</v>
      </c>
      <c r="G166" t="s">
        <v>36</v>
      </c>
      <c r="H166">
        <v>20</v>
      </c>
      <c r="I166">
        <v>13</v>
      </c>
      <c r="J166">
        <v>1</v>
      </c>
      <c r="K166" t="s">
        <v>9</v>
      </c>
      <c r="L166" t="s">
        <v>68</v>
      </c>
      <c r="M166" t="s">
        <v>11</v>
      </c>
      <c r="N166" t="s">
        <v>23</v>
      </c>
      <c r="O166">
        <v>5</v>
      </c>
      <c r="P166" t="s">
        <v>48</v>
      </c>
      <c r="Q166">
        <v>1</v>
      </c>
      <c r="R166" t="s">
        <v>30</v>
      </c>
      <c r="S166" t="s">
        <v>15</v>
      </c>
      <c r="T166" t="s">
        <v>55</v>
      </c>
    </row>
    <row r="167" spans="1:20" x14ac:dyDescent="0.3">
      <c r="A167" t="s">
        <v>216</v>
      </c>
      <c r="B167">
        <v>22</v>
      </c>
      <c r="C167" t="s">
        <v>18</v>
      </c>
      <c r="D167" t="s">
        <v>27</v>
      </c>
      <c r="E167" t="s">
        <v>51</v>
      </c>
      <c r="F167">
        <v>10</v>
      </c>
      <c r="G167" t="s">
        <v>8</v>
      </c>
      <c r="H167">
        <v>46</v>
      </c>
      <c r="I167">
        <v>1</v>
      </c>
      <c r="J167">
        <v>2</v>
      </c>
      <c r="K167" t="s">
        <v>47</v>
      </c>
      <c r="L167" t="s">
        <v>22</v>
      </c>
      <c r="M167" t="s">
        <v>38</v>
      </c>
      <c r="N167" t="s">
        <v>23</v>
      </c>
      <c r="O167">
        <v>1</v>
      </c>
      <c r="P167" t="s">
        <v>48</v>
      </c>
      <c r="Q167">
        <v>5</v>
      </c>
      <c r="R167" t="s">
        <v>49</v>
      </c>
      <c r="S167" t="s">
        <v>31</v>
      </c>
      <c r="T167" t="s">
        <v>58</v>
      </c>
    </row>
    <row r="168" spans="1:20" x14ac:dyDescent="0.3">
      <c r="A168" t="s">
        <v>217</v>
      </c>
      <c r="B168">
        <v>48</v>
      </c>
      <c r="C168" t="s">
        <v>5</v>
      </c>
      <c r="D168" t="s">
        <v>27</v>
      </c>
      <c r="E168" t="s">
        <v>28</v>
      </c>
      <c r="F168">
        <v>35</v>
      </c>
      <c r="G168" t="s">
        <v>36</v>
      </c>
      <c r="H168">
        <v>30</v>
      </c>
      <c r="I168">
        <v>8</v>
      </c>
      <c r="J168">
        <v>2</v>
      </c>
      <c r="K168" t="s">
        <v>47</v>
      </c>
      <c r="L168" t="s">
        <v>10</v>
      </c>
      <c r="M168" t="s">
        <v>38</v>
      </c>
      <c r="N168" t="s">
        <v>29</v>
      </c>
      <c r="O168">
        <v>3</v>
      </c>
      <c r="P168" t="s">
        <v>24</v>
      </c>
      <c r="Q168">
        <v>2</v>
      </c>
      <c r="R168" t="s">
        <v>30</v>
      </c>
      <c r="S168" t="s">
        <v>42</v>
      </c>
      <c r="T168" t="s">
        <v>58</v>
      </c>
    </row>
    <row r="169" spans="1:20" x14ac:dyDescent="0.3">
      <c r="A169" t="s">
        <v>218</v>
      </c>
      <c r="B169">
        <v>60</v>
      </c>
      <c r="C169" t="s">
        <v>5</v>
      </c>
      <c r="D169" t="s">
        <v>27</v>
      </c>
      <c r="E169" t="s">
        <v>64</v>
      </c>
      <c r="F169">
        <v>27</v>
      </c>
      <c r="G169" t="s">
        <v>21</v>
      </c>
      <c r="H169">
        <v>50</v>
      </c>
      <c r="I169">
        <v>8</v>
      </c>
      <c r="J169">
        <v>2</v>
      </c>
      <c r="K169" t="s">
        <v>37</v>
      </c>
      <c r="L169" t="s">
        <v>22</v>
      </c>
      <c r="M169" t="s">
        <v>11</v>
      </c>
      <c r="N169" t="s">
        <v>29</v>
      </c>
      <c r="O169">
        <v>3</v>
      </c>
      <c r="P169" t="s">
        <v>24</v>
      </c>
      <c r="Q169">
        <v>3</v>
      </c>
      <c r="R169" t="s">
        <v>49</v>
      </c>
      <c r="S169" t="s">
        <v>31</v>
      </c>
      <c r="T169" t="s">
        <v>25</v>
      </c>
    </row>
    <row r="170" spans="1:20" x14ac:dyDescent="0.3">
      <c r="A170" t="s">
        <v>219</v>
      </c>
      <c r="B170">
        <v>34</v>
      </c>
      <c r="C170" t="s">
        <v>46</v>
      </c>
      <c r="D170" t="s">
        <v>6</v>
      </c>
      <c r="E170" t="s">
        <v>7</v>
      </c>
      <c r="F170">
        <v>15</v>
      </c>
      <c r="G170" t="s">
        <v>21</v>
      </c>
      <c r="H170">
        <v>50</v>
      </c>
      <c r="I170">
        <v>13</v>
      </c>
      <c r="J170">
        <v>2</v>
      </c>
      <c r="K170" t="s">
        <v>9</v>
      </c>
      <c r="L170" t="s">
        <v>30</v>
      </c>
      <c r="M170" t="s">
        <v>38</v>
      </c>
      <c r="N170" t="s">
        <v>29</v>
      </c>
      <c r="O170">
        <v>3</v>
      </c>
      <c r="P170" t="s">
        <v>24</v>
      </c>
      <c r="Q170">
        <v>2</v>
      </c>
      <c r="R170" t="s">
        <v>49</v>
      </c>
      <c r="S170" t="s">
        <v>42</v>
      </c>
      <c r="T170" t="s">
        <v>16</v>
      </c>
    </row>
    <row r="171" spans="1:20" x14ac:dyDescent="0.3">
      <c r="A171" t="s">
        <v>220</v>
      </c>
      <c r="B171">
        <v>50</v>
      </c>
      <c r="C171" t="s">
        <v>46</v>
      </c>
      <c r="D171" t="s">
        <v>63</v>
      </c>
      <c r="E171" t="s">
        <v>51</v>
      </c>
      <c r="F171">
        <v>10</v>
      </c>
      <c r="G171" t="s">
        <v>8</v>
      </c>
      <c r="H171">
        <v>50</v>
      </c>
      <c r="I171">
        <v>0</v>
      </c>
      <c r="J171">
        <v>1</v>
      </c>
      <c r="K171" t="s">
        <v>47</v>
      </c>
      <c r="L171" t="s">
        <v>68</v>
      </c>
      <c r="M171" t="s">
        <v>38</v>
      </c>
      <c r="N171" t="s">
        <v>23</v>
      </c>
      <c r="O171">
        <v>5</v>
      </c>
      <c r="P171" t="s">
        <v>24</v>
      </c>
      <c r="Q171">
        <v>3</v>
      </c>
      <c r="R171" t="s">
        <v>49</v>
      </c>
      <c r="S171" t="s">
        <v>31</v>
      </c>
      <c r="T171" t="s">
        <v>16</v>
      </c>
    </row>
    <row r="172" spans="1:20" x14ac:dyDescent="0.3">
      <c r="A172" t="s">
        <v>221</v>
      </c>
      <c r="B172">
        <v>38</v>
      </c>
      <c r="C172" t="s">
        <v>34</v>
      </c>
      <c r="D172" t="s">
        <v>61</v>
      </c>
      <c r="E172" t="s">
        <v>64</v>
      </c>
      <c r="F172">
        <v>19</v>
      </c>
      <c r="G172" t="s">
        <v>21</v>
      </c>
      <c r="H172">
        <v>23</v>
      </c>
      <c r="I172">
        <v>7</v>
      </c>
      <c r="J172">
        <v>1</v>
      </c>
      <c r="K172" t="s">
        <v>47</v>
      </c>
      <c r="L172" t="s">
        <v>30</v>
      </c>
      <c r="M172" t="s">
        <v>11</v>
      </c>
      <c r="N172" t="s">
        <v>23</v>
      </c>
      <c r="O172">
        <v>4</v>
      </c>
      <c r="P172" t="s">
        <v>48</v>
      </c>
      <c r="Q172">
        <v>3</v>
      </c>
      <c r="R172" t="s">
        <v>30</v>
      </c>
      <c r="S172" t="s">
        <v>31</v>
      </c>
      <c r="T172" t="s">
        <v>32</v>
      </c>
    </row>
    <row r="173" spans="1:20" x14ac:dyDescent="0.3">
      <c r="A173" t="s">
        <v>222</v>
      </c>
      <c r="B173">
        <v>36</v>
      </c>
      <c r="C173" t="s">
        <v>34</v>
      </c>
      <c r="D173" t="s">
        <v>19</v>
      </c>
      <c r="E173" t="s">
        <v>64</v>
      </c>
      <c r="F173">
        <v>33</v>
      </c>
      <c r="G173" t="s">
        <v>36</v>
      </c>
      <c r="H173">
        <v>45</v>
      </c>
      <c r="I173">
        <v>3</v>
      </c>
      <c r="J173">
        <v>4</v>
      </c>
      <c r="K173" t="s">
        <v>9</v>
      </c>
      <c r="L173" t="s">
        <v>10</v>
      </c>
      <c r="M173" t="s">
        <v>11</v>
      </c>
      <c r="N173" t="s">
        <v>12</v>
      </c>
      <c r="O173">
        <v>3</v>
      </c>
      <c r="P173" t="s">
        <v>13</v>
      </c>
      <c r="Q173">
        <v>4</v>
      </c>
      <c r="R173" t="s">
        <v>30</v>
      </c>
      <c r="S173" t="s">
        <v>15</v>
      </c>
      <c r="T173" t="s">
        <v>16</v>
      </c>
    </row>
    <row r="174" spans="1:20" x14ac:dyDescent="0.3">
      <c r="A174" t="s">
        <v>223</v>
      </c>
      <c r="B174">
        <v>35</v>
      </c>
      <c r="C174" t="s">
        <v>5</v>
      </c>
      <c r="D174" t="s">
        <v>27</v>
      </c>
      <c r="E174" t="s">
        <v>35</v>
      </c>
      <c r="F174">
        <v>11</v>
      </c>
      <c r="G174" t="s">
        <v>8</v>
      </c>
      <c r="H174">
        <v>25</v>
      </c>
      <c r="I174">
        <v>4</v>
      </c>
      <c r="J174">
        <v>1</v>
      </c>
      <c r="K174" t="s">
        <v>9</v>
      </c>
      <c r="L174" t="s">
        <v>68</v>
      </c>
      <c r="M174" t="s">
        <v>11</v>
      </c>
      <c r="N174" t="s">
        <v>29</v>
      </c>
      <c r="O174">
        <v>4</v>
      </c>
      <c r="P174" t="s">
        <v>24</v>
      </c>
      <c r="Q174">
        <v>3</v>
      </c>
      <c r="R174" t="s">
        <v>14</v>
      </c>
      <c r="S174" t="s">
        <v>15</v>
      </c>
      <c r="T174" t="s">
        <v>44</v>
      </c>
    </row>
    <row r="175" spans="1:20" x14ac:dyDescent="0.3">
      <c r="A175" t="s">
        <v>224</v>
      </c>
      <c r="B175">
        <v>25</v>
      </c>
      <c r="C175" t="s">
        <v>46</v>
      </c>
      <c r="D175" t="s">
        <v>61</v>
      </c>
      <c r="E175" t="s">
        <v>51</v>
      </c>
      <c r="F175">
        <v>35</v>
      </c>
      <c r="G175" t="s">
        <v>21</v>
      </c>
      <c r="H175">
        <v>36</v>
      </c>
      <c r="I175">
        <v>9</v>
      </c>
      <c r="J175">
        <v>2</v>
      </c>
      <c r="K175" t="s">
        <v>37</v>
      </c>
      <c r="L175" t="s">
        <v>30</v>
      </c>
      <c r="M175" t="s">
        <v>38</v>
      </c>
      <c r="N175" t="s">
        <v>23</v>
      </c>
      <c r="O175">
        <v>1</v>
      </c>
      <c r="P175" t="s">
        <v>48</v>
      </c>
      <c r="Q175">
        <v>4</v>
      </c>
      <c r="R175" t="s">
        <v>14</v>
      </c>
      <c r="S175" t="s">
        <v>15</v>
      </c>
      <c r="T175" t="s">
        <v>32</v>
      </c>
    </row>
    <row r="176" spans="1:20" x14ac:dyDescent="0.3">
      <c r="A176" t="s">
        <v>225</v>
      </c>
      <c r="B176">
        <v>34</v>
      </c>
      <c r="C176" t="s">
        <v>5</v>
      </c>
      <c r="D176" t="s">
        <v>6</v>
      </c>
      <c r="E176" t="s">
        <v>28</v>
      </c>
      <c r="F176">
        <v>10</v>
      </c>
      <c r="G176" t="s">
        <v>36</v>
      </c>
      <c r="H176">
        <v>60</v>
      </c>
      <c r="I176">
        <v>3</v>
      </c>
      <c r="J176">
        <v>2</v>
      </c>
      <c r="K176" t="s">
        <v>47</v>
      </c>
      <c r="L176" t="s">
        <v>30</v>
      </c>
      <c r="M176" t="s">
        <v>38</v>
      </c>
      <c r="N176" t="s">
        <v>12</v>
      </c>
      <c r="O176">
        <v>3</v>
      </c>
      <c r="P176" t="s">
        <v>13</v>
      </c>
      <c r="Q176">
        <v>5</v>
      </c>
      <c r="R176" t="s">
        <v>49</v>
      </c>
      <c r="S176" t="s">
        <v>15</v>
      </c>
      <c r="T176" t="s">
        <v>16</v>
      </c>
    </row>
    <row r="177" spans="1:20" x14ac:dyDescent="0.3">
      <c r="A177" t="s">
        <v>226</v>
      </c>
      <c r="B177">
        <v>32</v>
      </c>
      <c r="C177" t="s">
        <v>46</v>
      </c>
      <c r="D177" t="s">
        <v>63</v>
      </c>
      <c r="E177" t="s">
        <v>7</v>
      </c>
      <c r="F177">
        <v>12</v>
      </c>
      <c r="G177" t="s">
        <v>21</v>
      </c>
      <c r="H177">
        <v>35</v>
      </c>
      <c r="I177">
        <v>7</v>
      </c>
      <c r="J177">
        <v>3</v>
      </c>
      <c r="K177" t="s">
        <v>47</v>
      </c>
      <c r="L177" t="s">
        <v>22</v>
      </c>
      <c r="M177" t="s">
        <v>38</v>
      </c>
      <c r="N177" t="s">
        <v>29</v>
      </c>
      <c r="O177">
        <v>5</v>
      </c>
      <c r="P177" t="s">
        <v>24</v>
      </c>
      <c r="Q177">
        <v>4</v>
      </c>
      <c r="R177" t="s">
        <v>49</v>
      </c>
      <c r="S177" t="s">
        <v>42</v>
      </c>
      <c r="T177" t="s">
        <v>16</v>
      </c>
    </row>
    <row r="178" spans="1:20" x14ac:dyDescent="0.3">
      <c r="A178" t="s">
        <v>227</v>
      </c>
      <c r="B178">
        <v>58</v>
      </c>
      <c r="C178" t="s">
        <v>46</v>
      </c>
      <c r="D178" t="s">
        <v>57</v>
      </c>
      <c r="E178" t="s">
        <v>51</v>
      </c>
      <c r="F178">
        <v>14</v>
      </c>
      <c r="G178" t="s">
        <v>8</v>
      </c>
      <c r="H178">
        <v>55</v>
      </c>
      <c r="I178">
        <v>12</v>
      </c>
      <c r="J178">
        <v>3</v>
      </c>
      <c r="K178" t="s">
        <v>9</v>
      </c>
      <c r="L178" t="s">
        <v>10</v>
      </c>
      <c r="M178" t="s">
        <v>11</v>
      </c>
      <c r="N178" t="s">
        <v>29</v>
      </c>
      <c r="O178">
        <v>5</v>
      </c>
      <c r="P178" t="s">
        <v>24</v>
      </c>
      <c r="Q178">
        <v>4</v>
      </c>
      <c r="R178" t="s">
        <v>30</v>
      </c>
      <c r="S178" t="s">
        <v>15</v>
      </c>
      <c r="T178" t="s">
        <v>32</v>
      </c>
    </row>
    <row r="179" spans="1:20" x14ac:dyDescent="0.3">
      <c r="A179" t="s">
        <v>228</v>
      </c>
      <c r="B179">
        <v>40</v>
      </c>
      <c r="C179" t="s">
        <v>18</v>
      </c>
      <c r="D179" t="s">
        <v>63</v>
      </c>
      <c r="E179" t="s">
        <v>35</v>
      </c>
      <c r="F179">
        <v>31</v>
      </c>
      <c r="G179" t="s">
        <v>36</v>
      </c>
      <c r="H179">
        <v>47</v>
      </c>
      <c r="I179">
        <v>10</v>
      </c>
      <c r="J179">
        <v>1</v>
      </c>
      <c r="K179" t="s">
        <v>9</v>
      </c>
      <c r="L179" t="s">
        <v>30</v>
      </c>
      <c r="M179" t="s">
        <v>11</v>
      </c>
      <c r="N179" t="s">
        <v>12</v>
      </c>
      <c r="O179">
        <v>3</v>
      </c>
      <c r="P179" t="s">
        <v>48</v>
      </c>
      <c r="Q179">
        <v>2</v>
      </c>
      <c r="R179" t="s">
        <v>14</v>
      </c>
      <c r="S179" t="s">
        <v>15</v>
      </c>
      <c r="T179" t="s">
        <v>16</v>
      </c>
    </row>
    <row r="180" spans="1:20" x14ac:dyDescent="0.3">
      <c r="A180" t="s">
        <v>229</v>
      </c>
      <c r="B180">
        <v>56</v>
      </c>
      <c r="C180" t="s">
        <v>18</v>
      </c>
      <c r="D180" t="s">
        <v>6</v>
      </c>
      <c r="E180" t="s">
        <v>7</v>
      </c>
      <c r="F180">
        <v>32</v>
      </c>
      <c r="G180" t="s">
        <v>8</v>
      </c>
      <c r="H180">
        <v>57</v>
      </c>
      <c r="I180">
        <v>10</v>
      </c>
      <c r="J180">
        <v>4</v>
      </c>
      <c r="K180" t="s">
        <v>37</v>
      </c>
      <c r="L180" t="s">
        <v>30</v>
      </c>
      <c r="M180" t="s">
        <v>11</v>
      </c>
      <c r="N180" t="s">
        <v>23</v>
      </c>
      <c r="O180">
        <v>4</v>
      </c>
      <c r="P180" t="s">
        <v>24</v>
      </c>
      <c r="Q180">
        <v>4</v>
      </c>
      <c r="R180" t="s">
        <v>30</v>
      </c>
      <c r="S180" t="s">
        <v>15</v>
      </c>
      <c r="T180" t="s">
        <v>44</v>
      </c>
    </row>
    <row r="181" spans="1:20" x14ac:dyDescent="0.3">
      <c r="A181" t="s">
        <v>230</v>
      </c>
      <c r="B181">
        <v>44</v>
      </c>
      <c r="C181" t="s">
        <v>5</v>
      </c>
      <c r="D181" t="s">
        <v>6</v>
      </c>
      <c r="E181" t="s">
        <v>28</v>
      </c>
      <c r="F181">
        <v>17</v>
      </c>
      <c r="G181" t="s">
        <v>8</v>
      </c>
      <c r="H181">
        <v>22</v>
      </c>
      <c r="I181">
        <v>9</v>
      </c>
      <c r="J181">
        <v>2</v>
      </c>
      <c r="K181" t="s">
        <v>9</v>
      </c>
      <c r="L181" t="s">
        <v>30</v>
      </c>
      <c r="M181" t="s">
        <v>38</v>
      </c>
      <c r="N181" t="s">
        <v>12</v>
      </c>
      <c r="O181">
        <v>3</v>
      </c>
      <c r="P181" t="s">
        <v>13</v>
      </c>
      <c r="Q181">
        <v>1</v>
      </c>
      <c r="R181" t="s">
        <v>30</v>
      </c>
      <c r="S181" t="s">
        <v>15</v>
      </c>
      <c r="T181" t="s">
        <v>44</v>
      </c>
    </row>
    <row r="182" spans="1:20" x14ac:dyDescent="0.3">
      <c r="A182" t="s">
        <v>231</v>
      </c>
      <c r="B182">
        <v>30</v>
      </c>
      <c r="C182" t="s">
        <v>5</v>
      </c>
      <c r="D182" t="s">
        <v>19</v>
      </c>
      <c r="E182" t="s">
        <v>20</v>
      </c>
      <c r="F182">
        <v>22</v>
      </c>
      <c r="G182" t="s">
        <v>21</v>
      </c>
      <c r="H182">
        <v>43</v>
      </c>
      <c r="I182">
        <v>5</v>
      </c>
      <c r="J182">
        <v>1</v>
      </c>
      <c r="K182" t="s">
        <v>9</v>
      </c>
      <c r="L182" t="s">
        <v>68</v>
      </c>
      <c r="M182" t="s">
        <v>38</v>
      </c>
      <c r="N182" t="s">
        <v>12</v>
      </c>
      <c r="O182">
        <v>5</v>
      </c>
      <c r="P182" t="s">
        <v>48</v>
      </c>
      <c r="Q182">
        <v>2</v>
      </c>
      <c r="R182" t="s">
        <v>49</v>
      </c>
      <c r="S182" t="s">
        <v>31</v>
      </c>
      <c r="T182" t="s">
        <v>16</v>
      </c>
    </row>
    <row r="183" spans="1:20" x14ac:dyDescent="0.3">
      <c r="A183" t="s">
        <v>232</v>
      </c>
      <c r="B183">
        <v>49</v>
      </c>
      <c r="C183" t="s">
        <v>5</v>
      </c>
      <c r="D183" t="s">
        <v>57</v>
      </c>
      <c r="E183" t="s">
        <v>41</v>
      </c>
      <c r="F183">
        <v>29</v>
      </c>
      <c r="G183" t="s">
        <v>21</v>
      </c>
      <c r="H183">
        <v>45</v>
      </c>
      <c r="I183">
        <v>9</v>
      </c>
      <c r="J183">
        <v>5</v>
      </c>
      <c r="K183" t="s">
        <v>47</v>
      </c>
      <c r="L183" t="s">
        <v>30</v>
      </c>
      <c r="M183" t="s">
        <v>38</v>
      </c>
      <c r="N183" t="s">
        <v>12</v>
      </c>
      <c r="O183">
        <v>4</v>
      </c>
      <c r="P183" t="s">
        <v>13</v>
      </c>
      <c r="Q183">
        <v>4</v>
      </c>
      <c r="R183" t="s">
        <v>14</v>
      </c>
      <c r="S183" t="s">
        <v>15</v>
      </c>
      <c r="T183" t="s">
        <v>44</v>
      </c>
    </row>
    <row r="184" spans="1:20" x14ac:dyDescent="0.3">
      <c r="A184" t="s">
        <v>233</v>
      </c>
      <c r="B184">
        <v>26</v>
      </c>
      <c r="C184" t="s">
        <v>34</v>
      </c>
      <c r="D184" t="s">
        <v>61</v>
      </c>
      <c r="E184" t="s">
        <v>7</v>
      </c>
      <c r="F184">
        <v>21</v>
      </c>
      <c r="G184" t="s">
        <v>36</v>
      </c>
      <c r="H184">
        <v>56</v>
      </c>
      <c r="I184">
        <v>14</v>
      </c>
      <c r="J184">
        <v>2</v>
      </c>
      <c r="K184" t="s">
        <v>47</v>
      </c>
      <c r="L184" t="s">
        <v>68</v>
      </c>
      <c r="M184" t="s">
        <v>38</v>
      </c>
      <c r="N184" t="s">
        <v>23</v>
      </c>
      <c r="O184">
        <v>4</v>
      </c>
      <c r="P184" t="s">
        <v>24</v>
      </c>
      <c r="Q184">
        <v>1</v>
      </c>
      <c r="R184" t="s">
        <v>14</v>
      </c>
      <c r="S184" t="s">
        <v>42</v>
      </c>
      <c r="T184" t="s">
        <v>16</v>
      </c>
    </row>
    <row r="185" spans="1:20" x14ac:dyDescent="0.3">
      <c r="A185" t="s">
        <v>234</v>
      </c>
      <c r="B185">
        <v>52</v>
      </c>
      <c r="C185" t="s">
        <v>34</v>
      </c>
      <c r="D185" t="s">
        <v>19</v>
      </c>
      <c r="E185" t="s">
        <v>20</v>
      </c>
      <c r="F185">
        <v>22</v>
      </c>
      <c r="G185" t="s">
        <v>36</v>
      </c>
      <c r="H185">
        <v>46</v>
      </c>
      <c r="I185">
        <v>14</v>
      </c>
      <c r="J185">
        <v>3</v>
      </c>
      <c r="K185" t="s">
        <v>37</v>
      </c>
      <c r="L185" t="s">
        <v>10</v>
      </c>
      <c r="M185" t="s">
        <v>11</v>
      </c>
      <c r="N185" t="s">
        <v>29</v>
      </c>
      <c r="O185">
        <v>3</v>
      </c>
      <c r="P185" t="s">
        <v>48</v>
      </c>
      <c r="Q185">
        <v>2</v>
      </c>
      <c r="R185" t="s">
        <v>49</v>
      </c>
      <c r="S185" t="s">
        <v>15</v>
      </c>
      <c r="T185" t="s">
        <v>58</v>
      </c>
    </row>
    <row r="186" spans="1:20" x14ac:dyDescent="0.3">
      <c r="A186" t="s">
        <v>235</v>
      </c>
      <c r="B186">
        <v>24</v>
      </c>
      <c r="C186" t="s">
        <v>46</v>
      </c>
      <c r="D186" t="s">
        <v>6</v>
      </c>
      <c r="E186" t="s">
        <v>51</v>
      </c>
      <c r="F186">
        <v>13</v>
      </c>
      <c r="G186" t="s">
        <v>8</v>
      </c>
      <c r="H186">
        <v>60</v>
      </c>
      <c r="I186">
        <v>0</v>
      </c>
      <c r="J186">
        <v>5</v>
      </c>
      <c r="K186" t="s">
        <v>9</v>
      </c>
      <c r="L186" t="s">
        <v>10</v>
      </c>
      <c r="M186" t="s">
        <v>11</v>
      </c>
      <c r="N186" t="s">
        <v>12</v>
      </c>
      <c r="O186">
        <v>1</v>
      </c>
      <c r="P186" t="s">
        <v>48</v>
      </c>
      <c r="Q186">
        <v>2</v>
      </c>
      <c r="R186" t="s">
        <v>49</v>
      </c>
      <c r="S186" t="s">
        <v>15</v>
      </c>
      <c r="T186" t="s">
        <v>16</v>
      </c>
    </row>
    <row r="187" spans="1:20" x14ac:dyDescent="0.3">
      <c r="A187" t="s">
        <v>236</v>
      </c>
      <c r="B187">
        <v>40</v>
      </c>
      <c r="C187" t="s">
        <v>5</v>
      </c>
      <c r="D187" t="s">
        <v>61</v>
      </c>
      <c r="E187" t="s">
        <v>41</v>
      </c>
      <c r="F187">
        <v>12</v>
      </c>
      <c r="G187" t="s">
        <v>21</v>
      </c>
      <c r="H187">
        <v>32</v>
      </c>
      <c r="I187">
        <v>9</v>
      </c>
      <c r="J187">
        <v>1</v>
      </c>
      <c r="K187" t="s">
        <v>9</v>
      </c>
      <c r="L187" t="s">
        <v>10</v>
      </c>
      <c r="M187" t="s">
        <v>11</v>
      </c>
      <c r="N187" t="s">
        <v>29</v>
      </c>
      <c r="O187">
        <v>1</v>
      </c>
      <c r="P187" t="s">
        <v>13</v>
      </c>
      <c r="Q187">
        <v>1</v>
      </c>
      <c r="R187" t="s">
        <v>30</v>
      </c>
      <c r="S187" t="s">
        <v>42</v>
      </c>
      <c r="T187" t="s">
        <v>25</v>
      </c>
    </row>
    <row r="188" spans="1:20" x14ac:dyDescent="0.3">
      <c r="A188" t="s">
        <v>237</v>
      </c>
      <c r="B188">
        <v>57</v>
      </c>
      <c r="C188" t="s">
        <v>5</v>
      </c>
      <c r="D188" t="s">
        <v>6</v>
      </c>
      <c r="E188" t="s">
        <v>51</v>
      </c>
      <c r="F188">
        <v>11</v>
      </c>
      <c r="G188" t="s">
        <v>8</v>
      </c>
      <c r="H188">
        <v>59</v>
      </c>
      <c r="I188">
        <v>13</v>
      </c>
      <c r="J188">
        <v>5</v>
      </c>
      <c r="K188" t="s">
        <v>9</v>
      </c>
      <c r="L188" t="s">
        <v>22</v>
      </c>
      <c r="M188" t="s">
        <v>38</v>
      </c>
      <c r="N188" t="s">
        <v>12</v>
      </c>
      <c r="O188">
        <v>5</v>
      </c>
      <c r="P188" t="s">
        <v>13</v>
      </c>
      <c r="Q188">
        <v>4</v>
      </c>
      <c r="R188" t="s">
        <v>14</v>
      </c>
      <c r="S188" t="s">
        <v>42</v>
      </c>
      <c r="T188" t="s">
        <v>55</v>
      </c>
    </row>
    <row r="189" spans="1:20" x14ac:dyDescent="0.3">
      <c r="A189" t="s">
        <v>238</v>
      </c>
      <c r="B189">
        <v>23</v>
      </c>
      <c r="C189" t="s">
        <v>46</v>
      </c>
      <c r="D189" t="s">
        <v>27</v>
      </c>
      <c r="E189" t="s">
        <v>41</v>
      </c>
      <c r="F189">
        <v>17</v>
      </c>
      <c r="G189" t="s">
        <v>36</v>
      </c>
      <c r="H189">
        <v>60</v>
      </c>
      <c r="I189">
        <v>13</v>
      </c>
      <c r="J189">
        <v>5</v>
      </c>
      <c r="K189" t="s">
        <v>37</v>
      </c>
      <c r="L189" t="s">
        <v>30</v>
      </c>
      <c r="M189" t="s">
        <v>11</v>
      </c>
      <c r="N189" t="s">
        <v>29</v>
      </c>
      <c r="O189">
        <v>5</v>
      </c>
      <c r="P189" t="s">
        <v>48</v>
      </c>
      <c r="Q189">
        <v>5</v>
      </c>
      <c r="R189" t="s">
        <v>49</v>
      </c>
      <c r="S189" t="s">
        <v>15</v>
      </c>
      <c r="T189" t="s">
        <v>55</v>
      </c>
    </row>
    <row r="190" spans="1:20" x14ac:dyDescent="0.3">
      <c r="A190" t="s">
        <v>239</v>
      </c>
      <c r="B190">
        <v>40</v>
      </c>
      <c r="C190" t="s">
        <v>46</v>
      </c>
      <c r="D190" t="s">
        <v>19</v>
      </c>
      <c r="E190" t="s">
        <v>20</v>
      </c>
      <c r="F190">
        <v>35</v>
      </c>
      <c r="G190" t="s">
        <v>8</v>
      </c>
      <c r="H190">
        <v>43</v>
      </c>
      <c r="I190">
        <v>4</v>
      </c>
      <c r="J190">
        <v>5</v>
      </c>
      <c r="K190" t="s">
        <v>37</v>
      </c>
      <c r="L190" t="s">
        <v>68</v>
      </c>
      <c r="M190" t="s">
        <v>11</v>
      </c>
      <c r="N190" t="s">
        <v>29</v>
      </c>
      <c r="O190">
        <v>2</v>
      </c>
      <c r="P190" t="s">
        <v>13</v>
      </c>
      <c r="Q190">
        <v>3</v>
      </c>
      <c r="R190" t="s">
        <v>14</v>
      </c>
      <c r="S190" t="s">
        <v>42</v>
      </c>
      <c r="T190" t="s">
        <v>55</v>
      </c>
    </row>
    <row r="191" spans="1:20" x14ac:dyDescent="0.3">
      <c r="A191" t="s">
        <v>240</v>
      </c>
      <c r="B191">
        <v>45</v>
      </c>
      <c r="C191" t="s">
        <v>34</v>
      </c>
      <c r="D191" t="s">
        <v>19</v>
      </c>
      <c r="E191" t="s">
        <v>28</v>
      </c>
      <c r="F191">
        <v>15</v>
      </c>
      <c r="G191" t="s">
        <v>21</v>
      </c>
      <c r="H191">
        <v>33</v>
      </c>
      <c r="I191">
        <v>8</v>
      </c>
      <c r="J191">
        <v>1</v>
      </c>
      <c r="K191" t="s">
        <v>47</v>
      </c>
      <c r="L191" t="s">
        <v>68</v>
      </c>
      <c r="M191" t="s">
        <v>38</v>
      </c>
      <c r="N191" t="s">
        <v>29</v>
      </c>
      <c r="O191">
        <v>4</v>
      </c>
      <c r="P191" t="s">
        <v>24</v>
      </c>
      <c r="Q191">
        <v>2</v>
      </c>
      <c r="R191" t="s">
        <v>30</v>
      </c>
      <c r="S191" t="s">
        <v>31</v>
      </c>
      <c r="T191" t="s">
        <v>32</v>
      </c>
    </row>
    <row r="192" spans="1:20" x14ac:dyDescent="0.3">
      <c r="A192" t="s">
        <v>241</v>
      </c>
      <c r="B192">
        <v>46</v>
      </c>
      <c r="C192" t="s">
        <v>18</v>
      </c>
      <c r="D192" t="s">
        <v>19</v>
      </c>
      <c r="E192" t="s">
        <v>35</v>
      </c>
      <c r="F192">
        <v>11</v>
      </c>
      <c r="G192" t="s">
        <v>8</v>
      </c>
      <c r="H192">
        <v>20</v>
      </c>
      <c r="I192">
        <v>14</v>
      </c>
      <c r="J192">
        <v>3</v>
      </c>
      <c r="K192" t="s">
        <v>47</v>
      </c>
      <c r="L192" t="s">
        <v>30</v>
      </c>
      <c r="M192" t="s">
        <v>11</v>
      </c>
      <c r="N192" t="s">
        <v>12</v>
      </c>
      <c r="O192">
        <v>5</v>
      </c>
      <c r="P192" t="s">
        <v>24</v>
      </c>
      <c r="Q192">
        <v>2</v>
      </c>
      <c r="R192" t="s">
        <v>49</v>
      </c>
      <c r="S192" t="s">
        <v>42</v>
      </c>
      <c r="T192" t="s">
        <v>16</v>
      </c>
    </row>
    <row r="193" spans="1:20" x14ac:dyDescent="0.3">
      <c r="A193" t="s">
        <v>242</v>
      </c>
      <c r="B193">
        <v>37</v>
      </c>
      <c r="C193" t="s">
        <v>18</v>
      </c>
      <c r="D193" t="s">
        <v>27</v>
      </c>
      <c r="E193" t="s">
        <v>64</v>
      </c>
      <c r="F193">
        <v>16</v>
      </c>
      <c r="G193" t="s">
        <v>8</v>
      </c>
      <c r="H193">
        <v>27</v>
      </c>
      <c r="I193">
        <v>2</v>
      </c>
      <c r="J193">
        <v>1</v>
      </c>
      <c r="K193" t="s">
        <v>9</v>
      </c>
      <c r="L193" t="s">
        <v>22</v>
      </c>
      <c r="M193" t="s">
        <v>38</v>
      </c>
      <c r="N193" t="s">
        <v>29</v>
      </c>
      <c r="O193">
        <v>4</v>
      </c>
      <c r="P193" t="s">
        <v>13</v>
      </c>
      <c r="Q193">
        <v>3</v>
      </c>
      <c r="R193" t="s">
        <v>14</v>
      </c>
      <c r="S193" t="s">
        <v>31</v>
      </c>
      <c r="T193" t="s">
        <v>32</v>
      </c>
    </row>
    <row r="194" spans="1:20" x14ac:dyDescent="0.3">
      <c r="A194" t="s">
        <v>243</v>
      </c>
      <c r="B194">
        <v>51</v>
      </c>
      <c r="C194" t="s">
        <v>18</v>
      </c>
      <c r="D194" t="s">
        <v>27</v>
      </c>
      <c r="E194" t="s">
        <v>7</v>
      </c>
      <c r="F194">
        <v>4</v>
      </c>
      <c r="G194" t="s">
        <v>36</v>
      </c>
      <c r="H194">
        <v>43</v>
      </c>
      <c r="I194">
        <v>1</v>
      </c>
      <c r="J194">
        <v>5</v>
      </c>
      <c r="K194" t="s">
        <v>9</v>
      </c>
      <c r="L194" t="s">
        <v>10</v>
      </c>
      <c r="M194" t="s">
        <v>11</v>
      </c>
      <c r="N194" t="s">
        <v>29</v>
      </c>
      <c r="O194">
        <v>4</v>
      </c>
      <c r="P194" t="s">
        <v>13</v>
      </c>
      <c r="Q194">
        <v>2</v>
      </c>
      <c r="R194" t="s">
        <v>14</v>
      </c>
      <c r="S194" t="s">
        <v>42</v>
      </c>
      <c r="T194" t="s">
        <v>44</v>
      </c>
    </row>
    <row r="195" spans="1:20" x14ac:dyDescent="0.3">
      <c r="A195" t="s">
        <v>244</v>
      </c>
      <c r="B195">
        <v>52</v>
      </c>
      <c r="C195" t="s">
        <v>34</v>
      </c>
      <c r="D195" t="s">
        <v>40</v>
      </c>
      <c r="E195" t="s">
        <v>20</v>
      </c>
      <c r="F195">
        <v>29</v>
      </c>
      <c r="G195" t="s">
        <v>36</v>
      </c>
      <c r="H195">
        <v>23</v>
      </c>
      <c r="I195">
        <v>12</v>
      </c>
      <c r="J195">
        <v>2</v>
      </c>
      <c r="K195" t="s">
        <v>9</v>
      </c>
      <c r="L195" t="s">
        <v>10</v>
      </c>
      <c r="M195" t="s">
        <v>11</v>
      </c>
      <c r="N195" t="s">
        <v>12</v>
      </c>
      <c r="O195">
        <v>5</v>
      </c>
      <c r="P195" t="s">
        <v>48</v>
      </c>
      <c r="Q195">
        <v>1</v>
      </c>
      <c r="R195" t="s">
        <v>49</v>
      </c>
      <c r="S195" t="s">
        <v>42</v>
      </c>
      <c r="T195" t="s">
        <v>44</v>
      </c>
    </row>
    <row r="196" spans="1:20" x14ac:dyDescent="0.3">
      <c r="A196" t="s">
        <v>245</v>
      </c>
      <c r="B196">
        <v>53</v>
      </c>
      <c r="C196" t="s">
        <v>34</v>
      </c>
      <c r="D196" t="s">
        <v>19</v>
      </c>
      <c r="E196" t="s">
        <v>28</v>
      </c>
      <c r="F196">
        <v>22</v>
      </c>
      <c r="G196" t="s">
        <v>36</v>
      </c>
      <c r="H196">
        <v>29</v>
      </c>
      <c r="I196">
        <v>0</v>
      </c>
      <c r="J196">
        <v>1</v>
      </c>
      <c r="K196" t="s">
        <v>9</v>
      </c>
      <c r="L196" t="s">
        <v>68</v>
      </c>
      <c r="M196" t="s">
        <v>11</v>
      </c>
      <c r="N196" t="s">
        <v>29</v>
      </c>
      <c r="O196">
        <v>4</v>
      </c>
      <c r="P196" t="s">
        <v>48</v>
      </c>
      <c r="Q196">
        <v>4</v>
      </c>
      <c r="R196" t="s">
        <v>30</v>
      </c>
      <c r="S196" t="s">
        <v>15</v>
      </c>
      <c r="T196" t="s">
        <v>58</v>
      </c>
    </row>
    <row r="197" spans="1:20" x14ac:dyDescent="0.3">
      <c r="A197" t="s">
        <v>246</v>
      </c>
      <c r="B197">
        <v>39</v>
      </c>
      <c r="C197" t="s">
        <v>34</v>
      </c>
      <c r="D197" t="s">
        <v>40</v>
      </c>
      <c r="E197" t="s">
        <v>28</v>
      </c>
      <c r="F197">
        <v>7</v>
      </c>
      <c r="G197" t="s">
        <v>21</v>
      </c>
      <c r="H197">
        <v>47</v>
      </c>
      <c r="I197">
        <v>0</v>
      </c>
      <c r="J197">
        <v>2</v>
      </c>
      <c r="K197" t="s">
        <v>9</v>
      </c>
      <c r="L197" t="s">
        <v>30</v>
      </c>
      <c r="M197" t="s">
        <v>11</v>
      </c>
      <c r="N197" t="s">
        <v>12</v>
      </c>
      <c r="O197">
        <v>5</v>
      </c>
      <c r="P197" t="s">
        <v>48</v>
      </c>
      <c r="Q197">
        <v>4</v>
      </c>
      <c r="R197" t="s">
        <v>30</v>
      </c>
      <c r="S197" t="s">
        <v>31</v>
      </c>
      <c r="T197" t="s">
        <v>32</v>
      </c>
    </row>
    <row r="198" spans="1:20" x14ac:dyDescent="0.3">
      <c r="A198" t="s">
        <v>247</v>
      </c>
      <c r="B198">
        <v>56</v>
      </c>
      <c r="C198" t="s">
        <v>18</v>
      </c>
      <c r="D198" t="s">
        <v>61</v>
      </c>
      <c r="E198" t="s">
        <v>7</v>
      </c>
      <c r="F198">
        <v>28</v>
      </c>
      <c r="G198" t="s">
        <v>36</v>
      </c>
      <c r="H198">
        <v>46</v>
      </c>
      <c r="I198">
        <v>12</v>
      </c>
      <c r="J198">
        <v>1</v>
      </c>
      <c r="K198" t="s">
        <v>47</v>
      </c>
      <c r="L198" t="s">
        <v>22</v>
      </c>
      <c r="M198" t="s">
        <v>38</v>
      </c>
      <c r="N198" t="s">
        <v>23</v>
      </c>
      <c r="O198">
        <v>3</v>
      </c>
      <c r="P198" t="s">
        <v>48</v>
      </c>
      <c r="Q198">
        <v>5</v>
      </c>
      <c r="R198" t="s">
        <v>30</v>
      </c>
      <c r="S198" t="s">
        <v>15</v>
      </c>
      <c r="T198" t="s">
        <v>55</v>
      </c>
    </row>
    <row r="199" spans="1:20" x14ac:dyDescent="0.3">
      <c r="A199" t="s">
        <v>248</v>
      </c>
      <c r="B199">
        <v>59</v>
      </c>
      <c r="C199" t="s">
        <v>5</v>
      </c>
      <c r="D199" t="s">
        <v>57</v>
      </c>
      <c r="E199" t="s">
        <v>51</v>
      </c>
      <c r="F199">
        <v>13</v>
      </c>
      <c r="G199" t="s">
        <v>8</v>
      </c>
      <c r="H199">
        <v>40</v>
      </c>
      <c r="I199">
        <v>2</v>
      </c>
      <c r="J199">
        <v>1</v>
      </c>
      <c r="K199" t="s">
        <v>47</v>
      </c>
      <c r="L199" t="s">
        <v>30</v>
      </c>
      <c r="M199" t="s">
        <v>38</v>
      </c>
      <c r="N199" t="s">
        <v>12</v>
      </c>
      <c r="O199">
        <v>1</v>
      </c>
      <c r="P199" t="s">
        <v>48</v>
      </c>
      <c r="Q199">
        <v>4</v>
      </c>
      <c r="R199" t="s">
        <v>14</v>
      </c>
      <c r="S199" t="s">
        <v>42</v>
      </c>
      <c r="T199" t="s">
        <v>44</v>
      </c>
    </row>
    <row r="200" spans="1:20" x14ac:dyDescent="0.3">
      <c r="A200" t="s">
        <v>249</v>
      </c>
      <c r="B200">
        <v>28</v>
      </c>
      <c r="C200" t="s">
        <v>34</v>
      </c>
      <c r="D200" t="s">
        <v>63</v>
      </c>
      <c r="E200" t="s">
        <v>64</v>
      </c>
      <c r="F200">
        <v>7</v>
      </c>
      <c r="G200" t="s">
        <v>21</v>
      </c>
      <c r="H200">
        <v>47</v>
      </c>
      <c r="I200">
        <v>0</v>
      </c>
      <c r="J200">
        <v>4</v>
      </c>
      <c r="K200" t="s">
        <v>37</v>
      </c>
      <c r="L200" t="s">
        <v>68</v>
      </c>
      <c r="M200" t="s">
        <v>38</v>
      </c>
      <c r="N200" t="s">
        <v>12</v>
      </c>
      <c r="O200">
        <v>1</v>
      </c>
      <c r="P200" t="s">
        <v>13</v>
      </c>
      <c r="Q200">
        <v>3</v>
      </c>
      <c r="R200" t="s">
        <v>49</v>
      </c>
      <c r="S200" t="s">
        <v>31</v>
      </c>
      <c r="T200" t="s">
        <v>55</v>
      </c>
    </row>
    <row r="201" spans="1:20" x14ac:dyDescent="0.3">
      <c r="A201" t="s">
        <v>250</v>
      </c>
      <c r="B201">
        <v>36</v>
      </c>
      <c r="C201" t="s">
        <v>18</v>
      </c>
      <c r="D201" t="s">
        <v>19</v>
      </c>
      <c r="E201" t="s">
        <v>35</v>
      </c>
      <c r="F201">
        <v>3</v>
      </c>
      <c r="G201" t="s">
        <v>21</v>
      </c>
      <c r="H201">
        <v>53</v>
      </c>
      <c r="I201">
        <v>7</v>
      </c>
      <c r="J201">
        <v>3</v>
      </c>
      <c r="K201" t="s">
        <v>37</v>
      </c>
      <c r="L201" t="s">
        <v>68</v>
      </c>
      <c r="M201" t="s">
        <v>11</v>
      </c>
      <c r="N201" t="s">
        <v>12</v>
      </c>
      <c r="O201">
        <v>2</v>
      </c>
      <c r="P201" t="s">
        <v>13</v>
      </c>
      <c r="Q201">
        <v>2</v>
      </c>
      <c r="R201" t="s">
        <v>49</v>
      </c>
      <c r="S201" t="s">
        <v>42</v>
      </c>
      <c r="T201" t="s">
        <v>44</v>
      </c>
    </row>
    <row r="202" spans="1:20" x14ac:dyDescent="0.3">
      <c r="A202" t="s">
        <v>251</v>
      </c>
      <c r="B202">
        <v>45</v>
      </c>
      <c r="C202" t="s">
        <v>5</v>
      </c>
      <c r="D202" t="s">
        <v>40</v>
      </c>
      <c r="E202" t="s">
        <v>28</v>
      </c>
      <c r="F202">
        <v>3</v>
      </c>
      <c r="G202" t="s">
        <v>8</v>
      </c>
      <c r="H202">
        <v>55</v>
      </c>
      <c r="I202">
        <v>14</v>
      </c>
      <c r="J202">
        <v>4</v>
      </c>
      <c r="K202" t="s">
        <v>9</v>
      </c>
      <c r="L202" t="s">
        <v>68</v>
      </c>
      <c r="M202" t="s">
        <v>11</v>
      </c>
      <c r="N202" t="s">
        <v>23</v>
      </c>
      <c r="O202">
        <v>4</v>
      </c>
      <c r="P202" t="s">
        <v>48</v>
      </c>
      <c r="Q202">
        <v>1</v>
      </c>
      <c r="R202" t="s">
        <v>49</v>
      </c>
      <c r="S202" t="s">
        <v>42</v>
      </c>
      <c r="T202" t="s">
        <v>55</v>
      </c>
    </row>
    <row r="203" spans="1:20" x14ac:dyDescent="0.3">
      <c r="A203" t="s">
        <v>252</v>
      </c>
      <c r="B203">
        <v>52</v>
      </c>
      <c r="C203" t="s">
        <v>34</v>
      </c>
      <c r="D203" t="s">
        <v>40</v>
      </c>
      <c r="E203" t="s">
        <v>64</v>
      </c>
      <c r="F203">
        <v>2</v>
      </c>
      <c r="G203" t="s">
        <v>21</v>
      </c>
      <c r="H203">
        <v>40</v>
      </c>
      <c r="I203">
        <v>1</v>
      </c>
      <c r="J203">
        <v>2</v>
      </c>
      <c r="K203" t="s">
        <v>9</v>
      </c>
      <c r="L203" t="s">
        <v>22</v>
      </c>
      <c r="M203" t="s">
        <v>11</v>
      </c>
      <c r="N203" t="s">
        <v>12</v>
      </c>
      <c r="O203">
        <v>2</v>
      </c>
      <c r="P203" t="s">
        <v>48</v>
      </c>
      <c r="Q203">
        <v>3</v>
      </c>
      <c r="R203" t="s">
        <v>14</v>
      </c>
      <c r="S203" t="s">
        <v>15</v>
      </c>
      <c r="T203" t="s">
        <v>25</v>
      </c>
    </row>
    <row r="204" spans="1:20" x14ac:dyDescent="0.3">
      <c r="A204" t="s">
        <v>253</v>
      </c>
      <c r="B204">
        <v>55</v>
      </c>
      <c r="C204" t="s">
        <v>18</v>
      </c>
      <c r="D204" t="s">
        <v>63</v>
      </c>
      <c r="E204" t="s">
        <v>20</v>
      </c>
      <c r="F204">
        <v>32</v>
      </c>
      <c r="G204" t="s">
        <v>8</v>
      </c>
      <c r="H204">
        <v>28</v>
      </c>
      <c r="I204">
        <v>8</v>
      </c>
      <c r="J204">
        <v>5</v>
      </c>
      <c r="K204" t="s">
        <v>47</v>
      </c>
      <c r="L204" t="s">
        <v>10</v>
      </c>
      <c r="M204" t="s">
        <v>11</v>
      </c>
      <c r="N204" t="s">
        <v>12</v>
      </c>
      <c r="O204">
        <v>2</v>
      </c>
      <c r="P204" t="s">
        <v>24</v>
      </c>
      <c r="Q204">
        <v>1</v>
      </c>
      <c r="R204" t="s">
        <v>30</v>
      </c>
      <c r="S204" t="s">
        <v>31</v>
      </c>
      <c r="T204" t="s">
        <v>25</v>
      </c>
    </row>
    <row r="205" spans="1:20" x14ac:dyDescent="0.3">
      <c r="A205" t="s">
        <v>254</v>
      </c>
      <c r="B205">
        <v>58</v>
      </c>
      <c r="C205" t="s">
        <v>34</v>
      </c>
      <c r="D205" t="s">
        <v>40</v>
      </c>
      <c r="E205" t="s">
        <v>41</v>
      </c>
      <c r="F205">
        <v>18</v>
      </c>
      <c r="G205" t="s">
        <v>8</v>
      </c>
      <c r="H205">
        <v>39</v>
      </c>
      <c r="I205">
        <v>14</v>
      </c>
      <c r="J205">
        <v>3</v>
      </c>
      <c r="K205" t="s">
        <v>47</v>
      </c>
      <c r="L205" t="s">
        <v>68</v>
      </c>
      <c r="M205" t="s">
        <v>11</v>
      </c>
      <c r="N205" t="s">
        <v>29</v>
      </c>
      <c r="O205">
        <v>3</v>
      </c>
      <c r="P205" t="s">
        <v>48</v>
      </c>
      <c r="Q205">
        <v>1</v>
      </c>
      <c r="R205" t="s">
        <v>14</v>
      </c>
      <c r="S205" t="s">
        <v>15</v>
      </c>
      <c r="T205" t="s">
        <v>44</v>
      </c>
    </row>
    <row r="206" spans="1:20" x14ac:dyDescent="0.3">
      <c r="A206" t="s">
        <v>255</v>
      </c>
      <c r="B206">
        <v>51</v>
      </c>
      <c r="C206" t="s">
        <v>46</v>
      </c>
      <c r="D206" t="s">
        <v>27</v>
      </c>
      <c r="E206" t="s">
        <v>20</v>
      </c>
      <c r="F206">
        <v>14</v>
      </c>
      <c r="G206" t="s">
        <v>36</v>
      </c>
      <c r="H206">
        <v>41</v>
      </c>
      <c r="I206">
        <v>5</v>
      </c>
      <c r="J206">
        <v>5</v>
      </c>
      <c r="K206" t="s">
        <v>9</v>
      </c>
      <c r="L206" t="s">
        <v>68</v>
      </c>
      <c r="M206" t="s">
        <v>11</v>
      </c>
      <c r="N206" t="s">
        <v>29</v>
      </c>
      <c r="O206">
        <v>4</v>
      </c>
      <c r="P206" t="s">
        <v>13</v>
      </c>
      <c r="Q206">
        <v>2</v>
      </c>
      <c r="R206" t="s">
        <v>30</v>
      </c>
      <c r="S206" t="s">
        <v>15</v>
      </c>
      <c r="T206" t="s">
        <v>25</v>
      </c>
    </row>
    <row r="207" spans="1:20" x14ac:dyDescent="0.3">
      <c r="A207" t="s">
        <v>256</v>
      </c>
      <c r="B207">
        <v>52</v>
      </c>
      <c r="C207" t="s">
        <v>34</v>
      </c>
      <c r="D207" t="s">
        <v>19</v>
      </c>
      <c r="E207" t="s">
        <v>35</v>
      </c>
      <c r="F207">
        <v>5</v>
      </c>
      <c r="G207" t="s">
        <v>36</v>
      </c>
      <c r="H207">
        <v>21</v>
      </c>
      <c r="I207">
        <v>3</v>
      </c>
      <c r="J207">
        <v>5</v>
      </c>
      <c r="K207" t="s">
        <v>47</v>
      </c>
      <c r="L207" t="s">
        <v>68</v>
      </c>
      <c r="M207" t="s">
        <v>38</v>
      </c>
      <c r="N207" t="s">
        <v>23</v>
      </c>
      <c r="O207">
        <v>4</v>
      </c>
      <c r="P207" t="s">
        <v>24</v>
      </c>
      <c r="Q207">
        <v>5</v>
      </c>
      <c r="R207" t="s">
        <v>49</v>
      </c>
      <c r="S207" t="s">
        <v>31</v>
      </c>
      <c r="T207" t="s">
        <v>55</v>
      </c>
    </row>
    <row r="208" spans="1:20" x14ac:dyDescent="0.3">
      <c r="A208" t="s">
        <v>257</v>
      </c>
      <c r="B208">
        <v>54</v>
      </c>
      <c r="C208" t="s">
        <v>5</v>
      </c>
      <c r="D208" t="s">
        <v>63</v>
      </c>
      <c r="E208" t="s">
        <v>20</v>
      </c>
      <c r="F208">
        <v>12</v>
      </c>
      <c r="G208" t="s">
        <v>36</v>
      </c>
      <c r="H208">
        <v>34</v>
      </c>
      <c r="I208">
        <v>11</v>
      </c>
      <c r="J208">
        <v>3</v>
      </c>
      <c r="K208" t="s">
        <v>47</v>
      </c>
      <c r="L208" t="s">
        <v>68</v>
      </c>
      <c r="M208" t="s">
        <v>38</v>
      </c>
      <c r="N208" t="s">
        <v>29</v>
      </c>
      <c r="O208">
        <v>2</v>
      </c>
      <c r="P208" t="s">
        <v>13</v>
      </c>
      <c r="Q208">
        <v>5</v>
      </c>
      <c r="R208" t="s">
        <v>49</v>
      </c>
      <c r="S208" t="s">
        <v>15</v>
      </c>
      <c r="T208" t="s">
        <v>58</v>
      </c>
    </row>
    <row r="209" spans="1:20" x14ac:dyDescent="0.3">
      <c r="A209" t="s">
        <v>258</v>
      </c>
      <c r="B209">
        <v>35</v>
      </c>
      <c r="C209" t="s">
        <v>34</v>
      </c>
      <c r="D209" t="s">
        <v>61</v>
      </c>
      <c r="E209" t="s">
        <v>64</v>
      </c>
      <c r="F209">
        <v>2</v>
      </c>
      <c r="G209" t="s">
        <v>21</v>
      </c>
      <c r="H209">
        <v>36</v>
      </c>
      <c r="I209">
        <v>14</v>
      </c>
      <c r="J209">
        <v>3</v>
      </c>
      <c r="K209" t="s">
        <v>47</v>
      </c>
      <c r="L209" t="s">
        <v>68</v>
      </c>
      <c r="M209" t="s">
        <v>11</v>
      </c>
      <c r="N209" t="s">
        <v>12</v>
      </c>
      <c r="O209">
        <v>5</v>
      </c>
      <c r="P209" t="s">
        <v>13</v>
      </c>
      <c r="Q209">
        <v>2</v>
      </c>
      <c r="R209" t="s">
        <v>14</v>
      </c>
      <c r="S209" t="s">
        <v>15</v>
      </c>
      <c r="T209" t="s">
        <v>16</v>
      </c>
    </row>
    <row r="210" spans="1:20" x14ac:dyDescent="0.3">
      <c r="A210" t="s">
        <v>259</v>
      </c>
      <c r="B210">
        <v>39</v>
      </c>
      <c r="C210" t="s">
        <v>34</v>
      </c>
      <c r="D210" t="s">
        <v>57</v>
      </c>
      <c r="E210" t="s">
        <v>51</v>
      </c>
      <c r="F210">
        <v>19</v>
      </c>
      <c r="G210" t="s">
        <v>21</v>
      </c>
      <c r="H210">
        <v>32</v>
      </c>
      <c r="I210">
        <v>2</v>
      </c>
      <c r="J210">
        <v>4</v>
      </c>
      <c r="K210" t="s">
        <v>37</v>
      </c>
      <c r="L210" t="s">
        <v>22</v>
      </c>
      <c r="M210" t="s">
        <v>38</v>
      </c>
      <c r="N210" t="s">
        <v>12</v>
      </c>
      <c r="O210">
        <v>1</v>
      </c>
      <c r="P210" t="s">
        <v>24</v>
      </c>
      <c r="Q210">
        <v>4</v>
      </c>
      <c r="R210" t="s">
        <v>14</v>
      </c>
      <c r="S210" t="s">
        <v>42</v>
      </c>
      <c r="T210" t="s">
        <v>32</v>
      </c>
    </row>
    <row r="211" spans="1:20" x14ac:dyDescent="0.3">
      <c r="A211" t="s">
        <v>260</v>
      </c>
      <c r="B211">
        <v>47</v>
      </c>
      <c r="C211" t="s">
        <v>46</v>
      </c>
      <c r="D211" t="s">
        <v>40</v>
      </c>
      <c r="E211" t="s">
        <v>41</v>
      </c>
      <c r="F211">
        <v>7</v>
      </c>
      <c r="G211" t="s">
        <v>8</v>
      </c>
      <c r="H211">
        <v>21</v>
      </c>
      <c r="I211">
        <v>8</v>
      </c>
      <c r="J211">
        <v>2</v>
      </c>
      <c r="K211" t="s">
        <v>9</v>
      </c>
      <c r="L211" t="s">
        <v>22</v>
      </c>
      <c r="M211" t="s">
        <v>11</v>
      </c>
      <c r="N211" t="s">
        <v>29</v>
      </c>
      <c r="O211">
        <v>3</v>
      </c>
      <c r="P211" t="s">
        <v>13</v>
      </c>
      <c r="Q211">
        <v>5</v>
      </c>
      <c r="R211" t="s">
        <v>30</v>
      </c>
      <c r="S211" t="s">
        <v>42</v>
      </c>
      <c r="T211" t="s">
        <v>58</v>
      </c>
    </row>
    <row r="212" spans="1:20" x14ac:dyDescent="0.3">
      <c r="A212" t="s">
        <v>261</v>
      </c>
      <c r="B212">
        <v>49</v>
      </c>
      <c r="C212" t="s">
        <v>34</v>
      </c>
      <c r="D212" t="s">
        <v>63</v>
      </c>
      <c r="E212" t="s">
        <v>51</v>
      </c>
      <c r="F212">
        <v>31</v>
      </c>
      <c r="G212" t="s">
        <v>36</v>
      </c>
      <c r="H212">
        <v>56</v>
      </c>
      <c r="I212">
        <v>3</v>
      </c>
      <c r="J212">
        <v>5</v>
      </c>
      <c r="K212" t="s">
        <v>37</v>
      </c>
      <c r="L212" t="s">
        <v>22</v>
      </c>
      <c r="M212" t="s">
        <v>38</v>
      </c>
      <c r="N212" t="s">
        <v>29</v>
      </c>
      <c r="O212">
        <v>1</v>
      </c>
      <c r="P212" t="s">
        <v>24</v>
      </c>
      <c r="Q212">
        <v>4</v>
      </c>
      <c r="R212" t="s">
        <v>49</v>
      </c>
      <c r="S212" t="s">
        <v>31</v>
      </c>
      <c r="T212" t="s">
        <v>16</v>
      </c>
    </row>
    <row r="213" spans="1:20" x14ac:dyDescent="0.3">
      <c r="A213" t="s">
        <v>262</v>
      </c>
      <c r="B213">
        <v>60</v>
      </c>
      <c r="C213" t="s">
        <v>46</v>
      </c>
      <c r="D213" t="s">
        <v>57</v>
      </c>
      <c r="E213" t="s">
        <v>51</v>
      </c>
      <c r="F213">
        <v>33</v>
      </c>
      <c r="G213" t="s">
        <v>36</v>
      </c>
      <c r="H213">
        <v>58</v>
      </c>
      <c r="I213">
        <v>8</v>
      </c>
      <c r="J213">
        <v>4</v>
      </c>
      <c r="K213" t="s">
        <v>47</v>
      </c>
      <c r="L213" t="s">
        <v>68</v>
      </c>
      <c r="M213" t="s">
        <v>11</v>
      </c>
      <c r="N213" t="s">
        <v>29</v>
      </c>
      <c r="O213">
        <v>2</v>
      </c>
      <c r="P213" t="s">
        <v>24</v>
      </c>
      <c r="Q213">
        <v>4</v>
      </c>
      <c r="R213" t="s">
        <v>30</v>
      </c>
      <c r="S213" t="s">
        <v>31</v>
      </c>
      <c r="T213" t="s">
        <v>32</v>
      </c>
    </row>
    <row r="214" spans="1:20" x14ac:dyDescent="0.3">
      <c r="A214" t="s">
        <v>263</v>
      </c>
      <c r="B214">
        <v>47</v>
      </c>
      <c r="C214" t="s">
        <v>18</v>
      </c>
      <c r="D214" t="s">
        <v>27</v>
      </c>
      <c r="E214" t="s">
        <v>51</v>
      </c>
      <c r="F214">
        <v>11</v>
      </c>
      <c r="G214" t="s">
        <v>36</v>
      </c>
      <c r="H214">
        <v>35</v>
      </c>
      <c r="I214">
        <v>8</v>
      </c>
      <c r="J214">
        <v>1</v>
      </c>
      <c r="K214" t="s">
        <v>37</v>
      </c>
      <c r="L214" t="s">
        <v>30</v>
      </c>
      <c r="M214" t="s">
        <v>11</v>
      </c>
      <c r="N214" t="s">
        <v>29</v>
      </c>
      <c r="O214">
        <v>2</v>
      </c>
      <c r="P214" t="s">
        <v>24</v>
      </c>
      <c r="Q214">
        <v>4</v>
      </c>
      <c r="R214" t="s">
        <v>30</v>
      </c>
      <c r="S214" t="s">
        <v>15</v>
      </c>
      <c r="T214" t="s">
        <v>55</v>
      </c>
    </row>
    <row r="215" spans="1:20" x14ac:dyDescent="0.3">
      <c r="A215" t="s">
        <v>264</v>
      </c>
      <c r="B215">
        <v>27</v>
      </c>
      <c r="C215" t="s">
        <v>46</v>
      </c>
      <c r="D215" t="s">
        <v>63</v>
      </c>
      <c r="E215" t="s">
        <v>7</v>
      </c>
      <c r="F215">
        <v>22</v>
      </c>
      <c r="G215" t="s">
        <v>8</v>
      </c>
      <c r="H215">
        <v>52</v>
      </c>
      <c r="I215">
        <v>3</v>
      </c>
      <c r="J215">
        <v>1</v>
      </c>
      <c r="K215" t="s">
        <v>47</v>
      </c>
      <c r="L215" t="s">
        <v>22</v>
      </c>
      <c r="M215" t="s">
        <v>38</v>
      </c>
      <c r="N215" t="s">
        <v>12</v>
      </c>
      <c r="O215">
        <v>4</v>
      </c>
      <c r="P215" t="s">
        <v>24</v>
      </c>
      <c r="Q215">
        <v>5</v>
      </c>
      <c r="R215" t="s">
        <v>14</v>
      </c>
      <c r="S215" t="s">
        <v>15</v>
      </c>
      <c r="T215" t="s">
        <v>16</v>
      </c>
    </row>
    <row r="216" spans="1:20" x14ac:dyDescent="0.3">
      <c r="A216" t="s">
        <v>265</v>
      </c>
      <c r="B216">
        <v>46</v>
      </c>
      <c r="C216" t="s">
        <v>46</v>
      </c>
      <c r="D216" t="s">
        <v>57</v>
      </c>
      <c r="E216" t="s">
        <v>41</v>
      </c>
      <c r="F216">
        <v>30</v>
      </c>
      <c r="G216" t="s">
        <v>21</v>
      </c>
      <c r="H216">
        <v>33</v>
      </c>
      <c r="I216">
        <v>8</v>
      </c>
      <c r="J216">
        <v>1</v>
      </c>
      <c r="K216" t="s">
        <v>47</v>
      </c>
      <c r="L216" t="s">
        <v>10</v>
      </c>
      <c r="M216" t="s">
        <v>11</v>
      </c>
      <c r="N216" t="s">
        <v>23</v>
      </c>
      <c r="O216">
        <v>3</v>
      </c>
      <c r="P216" t="s">
        <v>48</v>
      </c>
      <c r="Q216">
        <v>4</v>
      </c>
      <c r="R216" t="s">
        <v>49</v>
      </c>
      <c r="S216" t="s">
        <v>42</v>
      </c>
      <c r="T216" t="s">
        <v>44</v>
      </c>
    </row>
    <row r="217" spans="1:20" x14ac:dyDescent="0.3">
      <c r="A217" t="s">
        <v>266</v>
      </c>
      <c r="B217">
        <v>25</v>
      </c>
      <c r="C217" t="s">
        <v>5</v>
      </c>
      <c r="D217" t="s">
        <v>27</v>
      </c>
      <c r="E217" t="s">
        <v>51</v>
      </c>
      <c r="F217">
        <v>22</v>
      </c>
      <c r="G217" t="s">
        <v>21</v>
      </c>
      <c r="H217">
        <v>47</v>
      </c>
      <c r="I217">
        <v>9</v>
      </c>
      <c r="J217">
        <v>2</v>
      </c>
      <c r="K217" t="s">
        <v>9</v>
      </c>
      <c r="L217" t="s">
        <v>68</v>
      </c>
      <c r="M217" t="s">
        <v>11</v>
      </c>
      <c r="N217" t="s">
        <v>12</v>
      </c>
      <c r="O217">
        <v>1</v>
      </c>
      <c r="P217" t="s">
        <v>48</v>
      </c>
      <c r="Q217">
        <v>4</v>
      </c>
      <c r="R217" t="s">
        <v>30</v>
      </c>
      <c r="S217" t="s">
        <v>15</v>
      </c>
      <c r="T217" t="s">
        <v>16</v>
      </c>
    </row>
    <row r="218" spans="1:20" x14ac:dyDescent="0.3">
      <c r="A218" t="s">
        <v>267</v>
      </c>
      <c r="B218">
        <v>30</v>
      </c>
      <c r="C218" t="s">
        <v>34</v>
      </c>
      <c r="D218" t="s">
        <v>6</v>
      </c>
      <c r="E218" t="s">
        <v>28</v>
      </c>
      <c r="F218">
        <v>11</v>
      </c>
      <c r="G218" t="s">
        <v>36</v>
      </c>
      <c r="H218">
        <v>56</v>
      </c>
      <c r="I218">
        <v>13</v>
      </c>
      <c r="J218">
        <v>3</v>
      </c>
      <c r="K218" t="s">
        <v>9</v>
      </c>
      <c r="L218" t="s">
        <v>10</v>
      </c>
      <c r="M218" t="s">
        <v>11</v>
      </c>
      <c r="N218" t="s">
        <v>23</v>
      </c>
      <c r="O218">
        <v>4</v>
      </c>
      <c r="P218" t="s">
        <v>24</v>
      </c>
      <c r="Q218">
        <v>4</v>
      </c>
      <c r="R218" t="s">
        <v>30</v>
      </c>
      <c r="S218" t="s">
        <v>31</v>
      </c>
      <c r="T218" t="s">
        <v>55</v>
      </c>
    </row>
    <row r="219" spans="1:20" x14ac:dyDescent="0.3">
      <c r="A219" t="s">
        <v>268</v>
      </c>
      <c r="B219">
        <v>38</v>
      </c>
      <c r="C219" t="s">
        <v>46</v>
      </c>
      <c r="D219" t="s">
        <v>19</v>
      </c>
      <c r="E219" t="s">
        <v>28</v>
      </c>
      <c r="F219">
        <v>35</v>
      </c>
      <c r="G219" t="s">
        <v>36</v>
      </c>
      <c r="H219">
        <v>33</v>
      </c>
      <c r="I219">
        <v>4</v>
      </c>
      <c r="J219">
        <v>2</v>
      </c>
      <c r="K219" t="s">
        <v>47</v>
      </c>
      <c r="L219" t="s">
        <v>22</v>
      </c>
      <c r="M219" t="s">
        <v>38</v>
      </c>
      <c r="N219" t="s">
        <v>23</v>
      </c>
      <c r="O219">
        <v>2</v>
      </c>
      <c r="P219" t="s">
        <v>48</v>
      </c>
      <c r="Q219">
        <v>2</v>
      </c>
      <c r="R219" t="s">
        <v>49</v>
      </c>
      <c r="S219" t="s">
        <v>42</v>
      </c>
      <c r="T219" t="s">
        <v>16</v>
      </c>
    </row>
    <row r="220" spans="1:20" x14ac:dyDescent="0.3">
      <c r="A220" t="s">
        <v>269</v>
      </c>
      <c r="B220">
        <v>56</v>
      </c>
      <c r="C220" t="s">
        <v>18</v>
      </c>
      <c r="D220" t="s">
        <v>6</v>
      </c>
      <c r="E220" t="s">
        <v>28</v>
      </c>
      <c r="F220">
        <v>5</v>
      </c>
      <c r="G220" t="s">
        <v>21</v>
      </c>
      <c r="H220">
        <v>60</v>
      </c>
      <c r="I220">
        <v>9</v>
      </c>
      <c r="J220">
        <v>3</v>
      </c>
      <c r="K220" t="s">
        <v>47</v>
      </c>
      <c r="L220" t="s">
        <v>22</v>
      </c>
      <c r="M220" t="s">
        <v>11</v>
      </c>
      <c r="N220" t="s">
        <v>29</v>
      </c>
      <c r="O220">
        <v>1</v>
      </c>
      <c r="P220" t="s">
        <v>24</v>
      </c>
      <c r="Q220">
        <v>4</v>
      </c>
      <c r="R220" t="s">
        <v>14</v>
      </c>
      <c r="S220" t="s">
        <v>42</v>
      </c>
      <c r="T220" t="s">
        <v>25</v>
      </c>
    </row>
    <row r="221" spans="1:20" x14ac:dyDescent="0.3">
      <c r="A221" t="s">
        <v>270</v>
      </c>
      <c r="B221">
        <v>42</v>
      </c>
      <c r="C221" t="s">
        <v>34</v>
      </c>
      <c r="D221" t="s">
        <v>40</v>
      </c>
      <c r="E221" t="s">
        <v>51</v>
      </c>
      <c r="F221">
        <v>23</v>
      </c>
      <c r="G221" t="s">
        <v>8</v>
      </c>
      <c r="H221">
        <v>32</v>
      </c>
      <c r="I221">
        <v>5</v>
      </c>
      <c r="J221">
        <v>4</v>
      </c>
      <c r="K221" t="s">
        <v>47</v>
      </c>
      <c r="L221" t="s">
        <v>68</v>
      </c>
      <c r="M221" t="s">
        <v>11</v>
      </c>
      <c r="N221" t="s">
        <v>29</v>
      </c>
      <c r="O221">
        <v>2</v>
      </c>
      <c r="P221" t="s">
        <v>13</v>
      </c>
      <c r="Q221">
        <v>1</v>
      </c>
      <c r="R221" t="s">
        <v>14</v>
      </c>
      <c r="S221" t="s">
        <v>15</v>
      </c>
      <c r="T221" t="s">
        <v>44</v>
      </c>
    </row>
    <row r="222" spans="1:20" x14ac:dyDescent="0.3">
      <c r="A222" t="s">
        <v>271</v>
      </c>
      <c r="B222">
        <v>42</v>
      </c>
      <c r="C222" t="s">
        <v>46</v>
      </c>
      <c r="D222" t="s">
        <v>63</v>
      </c>
      <c r="E222" t="s">
        <v>64</v>
      </c>
      <c r="F222">
        <v>18</v>
      </c>
      <c r="G222" t="s">
        <v>8</v>
      </c>
      <c r="H222">
        <v>48</v>
      </c>
      <c r="I222">
        <v>9</v>
      </c>
      <c r="J222">
        <v>5</v>
      </c>
      <c r="K222" t="s">
        <v>9</v>
      </c>
      <c r="L222" t="s">
        <v>30</v>
      </c>
      <c r="M222" t="s">
        <v>11</v>
      </c>
      <c r="N222" t="s">
        <v>12</v>
      </c>
      <c r="O222">
        <v>1</v>
      </c>
      <c r="P222" t="s">
        <v>24</v>
      </c>
      <c r="Q222">
        <v>5</v>
      </c>
      <c r="R222" t="s">
        <v>30</v>
      </c>
      <c r="S222" t="s">
        <v>15</v>
      </c>
      <c r="T222" t="s">
        <v>55</v>
      </c>
    </row>
    <row r="223" spans="1:20" x14ac:dyDescent="0.3">
      <c r="A223" t="s">
        <v>272</v>
      </c>
      <c r="B223">
        <v>30</v>
      </c>
      <c r="C223" t="s">
        <v>18</v>
      </c>
      <c r="D223" t="s">
        <v>6</v>
      </c>
      <c r="E223" t="s">
        <v>20</v>
      </c>
      <c r="F223">
        <v>20</v>
      </c>
      <c r="G223" t="s">
        <v>8</v>
      </c>
      <c r="H223">
        <v>39</v>
      </c>
      <c r="I223">
        <v>6</v>
      </c>
      <c r="J223">
        <v>4</v>
      </c>
      <c r="K223" t="s">
        <v>37</v>
      </c>
      <c r="L223" t="s">
        <v>30</v>
      </c>
      <c r="M223" t="s">
        <v>11</v>
      </c>
      <c r="N223" t="s">
        <v>23</v>
      </c>
      <c r="O223">
        <v>3</v>
      </c>
      <c r="P223" t="s">
        <v>48</v>
      </c>
      <c r="Q223">
        <v>5</v>
      </c>
      <c r="R223" t="s">
        <v>30</v>
      </c>
      <c r="S223" t="s">
        <v>42</v>
      </c>
      <c r="T223" t="s">
        <v>25</v>
      </c>
    </row>
    <row r="224" spans="1:20" x14ac:dyDescent="0.3">
      <c r="A224" t="s">
        <v>273</v>
      </c>
      <c r="B224">
        <v>33</v>
      </c>
      <c r="C224" t="s">
        <v>34</v>
      </c>
      <c r="D224" t="s">
        <v>27</v>
      </c>
      <c r="E224" t="s">
        <v>41</v>
      </c>
      <c r="F224">
        <v>6</v>
      </c>
      <c r="G224" t="s">
        <v>36</v>
      </c>
      <c r="H224">
        <v>23</v>
      </c>
      <c r="I224">
        <v>6</v>
      </c>
      <c r="J224">
        <v>3</v>
      </c>
      <c r="K224" t="s">
        <v>37</v>
      </c>
      <c r="L224" t="s">
        <v>22</v>
      </c>
      <c r="M224" t="s">
        <v>38</v>
      </c>
      <c r="N224" t="s">
        <v>29</v>
      </c>
      <c r="O224">
        <v>5</v>
      </c>
      <c r="P224" t="s">
        <v>13</v>
      </c>
      <c r="Q224">
        <v>2</v>
      </c>
      <c r="R224" t="s">
        <v>14</v>
      </c>
      <c r="S224" t="s">
        <v>15</v>
      </c>
      <c r="T224" t="s">
        <v>25</v>
      </c>
    </row>
    <row r="225" spans="1:20" x14ac:dyDescent="0.3">
      <c r="A225" t="s">
        <v>274</v>
      </c>
      <c r="B225">
        <v>28</v>
      </c>
      <c r="C225" t="s">
        <v>5</v>
      </c>
      <c r="D225" t="s">
        <v>57</v>
      </c>
      <c r="E225" t="s">
        <v>64</v>
      </c>
      <c r="F225">
        <v>29</v>
      </c>
      <c r="G225" t="s">
        <v>8</v>
      </c>
      <c r="H225">
        <v>38</v>
      </c>
      <c r="I225">
        <v>3</v>
      </c>
      <c r="J225">
        <v>3</v>
      </c>
      <c r="K225" t="s">
        <v>37</v>
      </c>
      <c r="L225" t="s">
        <v>22</v>
      </c>
      <c r="M225" t="s">
        <v>38</v>
      </c>
      <c r="N225" t="s">
        <v>12</v>
      </c>
      <c r="O225">
        <v>4</v>
      </c>
      <c r="P225" t="s">
        <v>24</v>
      </c>
      <c r="Q225">
        <v>1</v>
      </c>
      <c r="R225" t="s">
        <v>30</v>
      </c>
      <c r="S225" t="s">
        <v>42</v>
      </c>
      <c r="T225" t="s">
        <v>58</v>
      </c>
    </row>
    <row r="226" spans="1:20" x14ac:dyDescent="0.3">
      <c r="A226" t="s">
        <v>275</v>
      </c>
      <c r="B226">
        <v>50</v>
      </c>
      <c r="C226" t="s">
        <v>5</v>
      </c>
      <c r="D226" t="s">
        <v>61</v>
      </c>
      <c r="E226" t="s">
        <v>51</v>
      </c>
      <c r="F226">
        <v>1</v>
      </c>
      <c r="G226" t="s">
        <v>21</v>
      </c>
      <c r="H226">
        <v>30</v>
      </c>
      <c r="I226">
        <v>5</v>
      </c>
      <c r="J226">
        <v>1</v>
      </c>
      <c r="K226" t="s">
        <v>47</v>
      </c>
      <c r="L226" t="s">
        <v>22</v>
      </c>
      <c r="M226" t="s">
        <v>11</v>
      </c>
      <c r="N226" t="s">
        <v>23</v>
      </c>
      <c r="O226">
        <v>2</v>
      </c>
      <c r="P226" t="s">
        <v>13</v>
      </c>
      <c r="Q226">
        <v>2</v>
      </c>
      <c r="R226" t="s">
        <v>49</v>
      </c>
      <c r="S226" t="s">
        <v>42</v>
      </c>
      <c r="T226" t="s">
        <v>32</v>
      </c>
    </row>
    <row r="227" spans="1:20" x14ac:dyDescent="0.3">
      <c r="A227" t="s">
        <v>276</v>
      </c>
      <c r="B227">
        <v>44</v>
      </c>
      <c r="C227" t="s">
        <v>34</v>
      </c>
      <c r="D227" t="s">
        <v>27</v>
      </c>
      <c r="E227" t="s">
        <v>64</v>
      </c>
      <c r="F227">
        <v>4</v>
      </c>
      <c r="G227" t="s">
        <v>36</v>
      </c>
      <c r="H227">
        <v>35</v>
      </c>
      <c r="I227">
        <v>3</v>
      </c>
      <c r="J227">
        <v>1</v>
      </c>
      <c r="K227" t="s">
        <v>47</v>
      </c>
      <c r="L227" t="s">
        <v>30</v>
      </c>
      <c r="M227" t="s">
        <v>38</v>
      </c>
      <c r="N227" t="s">
        <v>23</v>
      </c>
      <c r="O227">
        <v>3</v>
      </c>
      <c r="P227" t="s">
        <v>48</v>
      </c>
      <c r="Q227">
        <v>1</v>
      </c>
      <c r="R227" t="s">
        <v>14</v>
      </c>
      <c r="S227" t="s">
        <v>15</v>
      </c>
      <c r="T227" t="s">
        <v>58</v>
      </c>
    </row>
    <row r="228" spans="1:20" x14ac:dyDescent="0.3">
      <c r="A228" t="s">
        <v>277</v>
      </c>
      <c r="B228">
        <v>40</v>
      </c>
      <c r="C228" t="s">
        <v>18</v>
      </c>
      <c r="D228" t="s">
        <v>19</v>
      </c>
      <c r="E228" t="s">
        <v>7</v>
      </c>
      <c r="F228">
        <v>6</v>
      </c>
      <c r="G228" t="s">
        <v>21</v>
      </c>
      <c r="H228">
        <v>22</v>
      </c>
      <c r="I228">
        <v>0</v>
      </c>
      <c r="J228">
        <v>5</v>
      </c>
      <c r="K228" t="s">
        <v>9</v>
      </c>
      <c r="L228" t="s">
        <v>30</v>
      </c>
      <c r="M228" t="s">
        <v>38</v>
      </c>
      <c r="N228" t="s">
        <v>23</v>
      </c>
      <c r="O228">
        <v>4</v>
      </c>
      <c r="P228" t="s">
        <v>24</v>
      </c>
      <c r="Q228">
        <v>4</v>
      </c>
      <c r="R228" t="s">
        <v>14</v>
      </c>
      <c r="S228" t="s">
        <v>42</v>
      </c>
      <c r="T228" t="s">
        <v>44</v>
      </c>
    </row>
    <row r="229" spans="1:20" x14ac:dyDescent="0.3">
      <c r="A229" t="s">
        <v>278</v>
      </c>
      <c r="B229">
        <v>23</v>
      </c>
      <c r="C229" t="s">
        <v>34</v>
      </c>
      <c r="D229" t="s">
        <v>63</v>
      </c>
      <c r="E229" t="s">
        <v>20</v>
      </c>
      <c r="F229">
        <v>8</v>
      </c>
      <c r="G229" t="s">
        <v>36</v>
      </c>
      <c r="H229">
        <v>28</v>
      </c>
      <c r="I229">
        <v>15</v>
      </c>
      <c r="J229">
        <v>2</v>
      </c>
      <c r="K229" t="s">
        <v>9</v>
      </c>
      <c r="L229" t="s">
        <v>10</v>
      </c>
      <c r="M229" t="s">
        <v>38</v>
      </c>
      <c r="N229" t="s">
        <v>23</v>
      </c>
      <c r="O229">
        <v>3</v>
      </c>
      <c r="P229" t="s">
        <v>24</v>
      </c>
      <c r="Q229">
        <v>3</v>
      </c>
      <c r="R229" t="s">
        <v>14</v>
      </c>
      <c r="S229" t="s">
        <v>31</v>
      </c>
      <c r="T229" t="s">
        <v>25</v>
      </c>
    </row>
    <row r="230" spans="1:20" x14ac:dyDescent="0.3">
      <c r="A230" t="s">
        <v>279</v>
      </c>
      <c r="B230">
        <v>30</v>
      </c>
      <c r="C230" t="s">
        <v>18</v>
      </c>
      <c r="D230" t="s">
        <v>57</v>
      </c>
      <c r="E230" t="s">
        <v>41</v>
      </c>
      <c r="F230">
        <v>32</v>
      </c>
      <c r="G230" t="s">
        <v>36</v>
      </c>
      <c r="H230">
        <v>57</v>
      </c>
      <c r="I230">
        <v>4</v>
      </c>
      <c r="J230">
        <v>3</v>
      </c>
      <c r="K230" t="s">
        <v>9</v>
      </c>
      <c r="L230" t="s">
        <v>68</v>
      </c>
      <c r="M230" t="s">
        <v>11</v>
      </c>
      <c r="N230" t="s">
        <v>12</v>
      </c>
      <c r="O230">
        <v>3</v>
      </c>
      <c r="P230" t="s">
        <v>48</v>
      </c>
      <c r="Q230">
        <v>5</v>
      </c>
      <c r="R230" t="s">
        <v>14</v>
      </c>
      <c r="S230" t="s">
        <v>15</v>
      </c>
      <c r="T230" t="s">
        <v>55</v>
      </c>
    </row>
    <row r="231" spans="1:20" x14ac:dyDescent="0.3">
      <c r="A231" t="s">
        <v>280</v>
      </c>
      <c r="B231">
        <v>42</v>
      </c>
      <c r="C231" t="s">
        <v>18</v>
      </c>
      <c r="D231" t="s">
        <v>6</v>
      </c>
      <c r="E231" t="s">
        <v>51</v>
      </c>
      <c r="F231">
        <v>10</v>
      </c>
      <c r="G231" t="s">
        <v>8</v>
      </c>
      <c r="H231">
        <v>48</v>
      </c>
      <c r="I231">
        <v>14</v>
      </c>
      <c r="J231">
        <v>2</v>
      </c>
      <c r="K231" t="s">
        <v>47</v>
      </c>
      <c r="L231" t="s">
        <v>68</v>
      </c>
      <c r="M231" t="s">
        <v>38</v>
      </c>
      <c r="N231" t="s">
        <v>12</v>
      </c>
      <c r="O231">
        <v>3</v>
      </c>
      <c r="P231" t="s">
        <v>24</v>
      </c>
      <c r="Q231">
        <v>1</v>
      </c>
      <c r="R231" t="s">
        <v>14</v>
      </c>
      <c r="S231" t="s">
        <v>15</v>
      </c>
      <c r="T231" t="s">
        <v>16</v>
      </c>
    </row>
    <row r="232" spans="1:20" x14ac:dyDescent="0.3">
      <c r="A232" t="s">
        <v>281</v>
      </c>
      <c r="B232">
        <v>52</v>
      </c>
      <c r="C232" t="s">
        <v>34</v>
      </c>
      <c r="D232" t="s">
        <v>57</v>
      </c>
      <c r="E232" t="s">
        <v>64</v>
      </c>
      <c r="F232">
        <v>7</v>
      </c>
      <c r="G232" t="s">
        <v>36</v>
      </c>
      <c r="H232">
        <v>45</v>
      </c>
      <c r="I232">
        <v>14</v>
      </c>
      <c r="J232">
        <v>1</v>
      </c>
      <c r="K232" t="s">
        <v>9</v>
      </c>
      <c r="L232" t="s">
        <v>68</v>
      </c>
      <c r="M232" t="s">
        <v>11</v>
      </c>
      <c r="N232" t="s">
        <v>29</v>
      </c>
      <c r="O232">
        <v>5</v>
      </c>
      <c r="P232" t="s">
        <v>13</v>
      </c>
      <c r="Q232">
        <v>4</v>
      </c>
      <c r="R232" t="s">
        <v>49</v>
      </c>
      <c r="S232" t="s">
        <v>42</v>
      </c>
      <c r="T232" t="s">
        <v>58</v>
      </c>
    </row>
    <row r="233" spans="1:20" x14ac:dyDescent="0.3">
      <c r="A233" t="s">
        <v>282</v>
      </c>
      <c r="B233">
        <v>37</v>
      </c>
      <c r="C233" t="s">
        <v>34</v>
      </c>
      <c r="D233" t="s">
        <v>57</v>
      </c>
      <c r="E233" t="s">
        <v>7</v>
      </c>
      <c r="F233">
        <v>29</v>
      </c>
      <c r="G233" t="s">
        <v>36</v>
      </c>
      <c r="H233">
        <v>34</v>
      </c>
      <c r="I233">
        <v>3</v>
      </c>
      <c r="J233">
        <v>4</v>
      </c>
      <c r="K233" t="s">
        <v>47</v>
      </c>
      <c r="L233" t="s">
        <v>68</v>
      </c>
      <c r="M233" t="s">
        <v>11</v>
      </c>
      <c r="N233" t="s">
        <v>12</v>
      </c>
      <c r="O233">
        <v>3</v>
      </c>
      <c r="P233" t="s">
        <v>24</v>
      </c>
      <c r="Q233">
        <v>2</v>
      </c>
      <c r="R233" t="s">
        <v>14</v>
      </c>
      <c r="S233" t="s">
        <v>31</v>
      </c>
      <c r="T233" t="s">
        <v>55</v>
      </c>
    </row>
    <row r="234" spans="1:20" x14ac:dyDescent="0.3">
      <c r="A234" t="s">
        <v>283</v>
      </c>
      <c r="B234">
        <v>28</v>
      </c>
      <c r="C234" t="s">
        <v>46</v>
      </c>
      <c r="D234" t="s">
        <v>57</v>
      </c>
      <c r="E234" t="s">
        <v>51</v>
      </c>
      <c r="F234">
        <v>19</v>
      </c>
      <c r="G234" t="s">
        <v>8</v>
      </c>
      <c r="H234">
        <v>59</v>
      </c>
      <c r="I234">
        <v>9</v>
      </c>
      <c r="J234">
        <v>5</v>
      </c>
      <c r="K234" t="s">
        <v>47</v>
      </c>
      <c r="L234" t="s">
        <v>68</v>
      </c>
      <c r="M234" t="s">
        <v>11</v>
      </c>
      <c r="N234" t="s">
        <v>12</v>
      </c>
      <c r="O234">
        <v>1</v>
      </c>
      <c r="P234" t="s">
        <v>13</v>
      </c>
      <c r="Q234">
        <v>2</v>
      </c>
      <c r="R234" t="s">
        <v>14</v>
      </c>
      <c r="S234" t="s">
        <v>31</v>
      </c>
      <c r="T234" t="s">
        <v>58</v>
      </c>
    </row>
    <row r="235" spans="1:20" x14ac:dyDescent="0.3">
      <c r="A235" t="s">
        <v>284</v>
      </c>
      <c r="B235">
        <v>31</v>
      </c>
      <c r="C235" t="s">
        <v>46</v>
      </c>
      <c r="D235" t="s">
        <v>27</v>
      </c>
      <c r="E235" t="s">
        <v>41</v>
      </c>
      <c r="F235">
        <v>18</v>
      </c>
      <c r="G235" t="s">
        <v>21</v>
      </c>
      <c r="H235">
        <v>31</v>
      </c>
      <c r="I235">
        <v>6</v>
      </c>
      <c r="J235">
        <v>3</v>
      </c>
      <c r="K235" t="s">
        <v>37</v>
      </c>
      <c r="L235" t="s">
        <v>30</v>
      </c>
      <c r="M235" t="s">
        <v>38</v>
      </c>
      <c r="N235" t="s">
        <v>23</v>
      </c>
      <c r="O235">
        <v>3</v>
      </c>
      <c r="P235" t="s">
        <v>48</v>
      </c>
      <c r="Q235">
        <v>2</v>
      </c>
      <c r="R235" t="s">
        <v>14</v>
      </c>
      <c r="S235" t="s">
        <v>42</v>
      </c>
      <c r="T235" t="s">
        <v>25</v>
      </c>
    </row>
    <row r="236" spans="1:20" x14ac:dyDescent="0.3">
      <c r="A236" t="s">
        <v>285</v>
      </c>
      <c r="B236">
        <v>23</v>
      </c>
      <c r="C236" t="s">
        <v>46</v>
      </c>
      <c r="D236" t="s">
        <v>57</v>
      </c>
      <c r="E236" t="s">
        <v>64</v>
      </c>
      <c r="F236">
        <v>9</v>
      </c>
      <c r="G236" t="s">
        <v>36</v>
      </c>
      <c r="H236">
        <v>55</v>
      </c>
      <c r="I236">
        <v>12</v>
      </c>
      <c r="J236">
        <v>4</v>
      </c>
      <c r="K236" t="s">
        <v>47</v>
      </c>
      <c r="L236" t="s">
        <v>68</v>
      </c>
      <c r="M236" t="s">
        <v>11</v>
      </c>
      <c r="N236" t="s">
        <v>29</v>
      </c>
      <c r="O236">
        <v>2</v>
      </c>
      <c r="P236" t="s">
        <v>48</v>
      </c>
      <c r="Q236">
        <v>5</v>
      </c>
      <c r="R236" t="s">
        <v>49</v>
      </c>
      <c r="S236" t="s">
        <v>31</v>
      </c>
      <c r="T236" t="s">
        <v>58</v>
      </c>
    </row>
    <row r="237" spans="1:20" x14ac:dyDescent="0.3">
      <c r="A237" t="s">
        <v>286</v>
      </c>
      <c r="B237">
        <v>37</v>
      </c>
      <c r="C237" t="s">
        <v>34</v>
      </c>
      <c r="D237" t="s">
        <v>19</v>
      </c>
      <c r="E237" t="s">
        <v>35</v>
      </c>
      <c r="F237">
        <v>18</v>
      </c>
      <c r="G237" t="s">
        <v>21</v>
      </c>
      <c r="H237">
        <v>23</v>
      </c>
      <c r="I237">
        <v>11</v>
      </c>
      <c r="J237">
        <v>2</v>
      </c>
      <c r="K237" t="s">
        <v>47</v>
      </c>
      <c r="L237" t="s">
        <v>68</v>
      </c>
      <c r="M237" t="s">
        <v>11</v>
      </c>
      <c r="N237" t="s">
        <v>29</v>
      </c>
      <c r="O237">
        <v>4</v>
      </c>
      <c r="P237" t="s">
        <v>13</v>
      </c>
      <c r="Q237">
        <v>4</v>
      </c>
      <c r="R237" t="s">
        <v>30</v>
      </c>
      <c r="S237" t="s">
        <v>42</v>
      </c>
      <c r="T237" t="s">
        <v>55</v>
      </c>
    </row>
    <row r="238" spans="1:20" x14ac:dyDescent="0.3">
      <c r="A238" t="s">
        <v>287</v>
      </c>
      <c r="B238">
        <v>25</v>
      </c>
      <c r="C238" t="s">
        <v>34</v>
      </c>
      <c r="D238" t="s">
        <v>6</v>
      </c>
      <c r="E238" t="s">
        <v>7</v>
      </c>
      <c r="F238">
        <v>33</v>
      </c>
      <c r="G238" t="s">
        <v>8</v>
      </c>
      <c r="H238">
        <v>51</v>
      </c>
      <c r="I238">
        <v>7</v>
      </c>
      <c r="J238">
        <v>1</v>
      </c>
      <c r="K238" t="s">
        <v>9</v>
      </c>
      <c r="L238" t="s">
        <v>10</v>
      </c>
      <c r="M238" t="s">
        <v>11</v>
      </c>
      <c r="N238" t="s">
        <v>12</v>
      </c>
      <c r="O238">
        <v>2</v>
      </c>
      <c r="P238" t="s">
        <v>48</v>
      </c>
      <c r="Q238">
        <v>1</v>
      </c>
      <c r="R238" t="s">
        <v>14</v>
      </c>
      <c r="S238" t="s">
        <v>42</v>
      </c>
      <c r="T238" t="s">
        <v>16</v>
      </c>
    </row>
    <row r="239" spans="1:20" x14ac:dyDescent="0.3">
      <c r="A239" t="s">
        <v>288</v>
      </c>
      <c r="B239">
        <v>55</v>
      </c>
      <c r="C239" t="s">
        <v>18</v>
      </c>
      <c r="D239" t="s">
        <v>27</v>
      </c>
      <c r="E239" t="s">
        <v>51</v>
      </c>
      <c r="F239">
        <v>13</v>
      </c>
      <c r="G239" t="s">
        <v>21</v>
      </c>
      <c r="H239">
        <v>32</v>
      </c>
      <c r="I239">
        <v>11</v>
      </c>
      <c r="J239">
        <v>5</v>
      </c>
      <c r="K239" t="s">
        <v>9</v>
      </c>
      <c r="L239" t="s">
        <v>10</v>
      </c>
      <c r="M239" t="s">
        <v>38</v>
      </c>
      <c r="N239" t="s">
        <v>29</v>
      </c>
      <c r="O239">
        <v>1</v>
      </c>
      <c r="P239" t="s">
        <v>24</v>
      </c>
      <c r="Q239">
        <v>4</v>
      </c>
      <c r="R239" t="s">
        <v>49</v>
      </c>
      <c r="S239" t="s">
        <v>42</v>
      </c>
      <c r="T239" t="s">
        <v>16</v>
      </c>
    </row>
    <row r="240" spans="1:20" x14ac:dyDescent="0.3">
      <c r="A240" t="s">
        <v>289</v>
      </c>
      <c r="B240">
        <v>56</v>
      </c>
      <c r="C240" t="s">
        <v>5</v>
      </c>
      <c r="D240" t="s">
        <v>57</v>
      </c>
      <c r="E240" t="s">
        <v>20</v>
      </c>
      <c r="F240">
        <v>4</v>
      </c>
      <c r="G240" t="s">
        <v>21</v>
      </c>
      <c r="H240">
        <v>41</v>
      </c>
      <c r="I240">
        <v>14</v>
      </c>
      <c r="J240">
        <v>5</v>
      </c>
      <c r="K240" t="s">
        <v>47</v>
      </c>
      <c r="L240" t="s">
        <v>10</v>
      </c>
      <c r="M240" t="s">
        <v>38</v>
      </c>
      <c r="N240" t="s">
        <v>23</v>
      </c>
      <c r="O240">
        <v>4</v>
      </c>
      <c r="P240" t="s">
        <v>48</v>
      </c>
      <c r="Q240">
        <v>1</v>
      </c>
      <c r="R240" t="s">
        <v>14</v>
      </c>
      <c r="S240" t="s">
        <v>15</v>
      </c>
      <c r="T240" t="s">
        <v>32</v>
      </c>
    </row>
    <row r="241" spans="1:20" x14ac:dyDescent="0.3">
      <c r="A241" t="s">
        <v>290</v>
      </c>
      <c r="B241">
        <v>51</v>
      </c>
      <c r="C241" t="s">
        <v>46</v>
      </c>
      <c r="D241" t="s">
        <v>27</v>
      </c>
      <c r="E241" t="s">
        <v>51</v>
      </c>
      <c r="F241">
        <v>24</v>
      </c>
      <c r="G241" t="s">
        <v>8</v>
      </c>
      <c r="H241">
        <v>46</v>
      </c>
      <c r="I241">
        <v>10</v>
      </c>
      <c r="J241">
        <v>1</v>
      </c>
      <c r="K241" t="s">
        <v>47</v>
      </c>
      <c r="L241" t="s">
        <v>30</v>
      </c>
      <c r="M241" t="s">
        <v>11</v>
      </c>
      <c r="N241" t="s">
        <v>29</v>
      </c>
      <c r="O241">
        <v>1</v>
      </c>
      <c r="P241" t="s">
        <v>48</v>
      </c>
      <c r="Q241">
        <v>1</v>
      </c>
      <c r="R241" t="s">
        <v>49</v>
      </c>
      <c r="S241" t="s">
        <v>31</v>
      </c>
      <c r="T241" t="s">
        <v>44</v>
      </c>
    </row>
    <row r="242" spans="1:20" x14ac:dyDescent="0.3">
      <c r="A242" t="s">
        <v>291</v>
      </c>
      <c r="B242">
        <v>35</v>
      </c>
      <c r="C242" t="s">
        <v>34</v>
      </c>
      <c r="D242" t="s">
        <v>6</v>
      </c>
      <c r="E242" t="s">
        <v>28</v>
      </c>
      <c r="F242">
        <v>6</v>
      </c>
      <c r="G242" t="s">
        <v>36</v>
      </c>
      <c r="H242">
        <v>58</v>
      </c>
      <c r="I242">
        <v>15</v>
      </c>
      <c r="J242">
        <v>4</v>
      </c>
      <c r="K242" t="s">
        <v>37</v>
      </c>
      <c r="L242" t="s">
        <v>10</v>
      </c>
      <c r="M242" t="s">
        <v>11</v>
      </c>
      <c r="N242" t="s">
        <v>29</v>
      </c>
      <c r="O242">
        <v>3</v>
      </c>
      <c r="P242" t="s">
        <v>48</v>
      </c>
      <c r="Q242">
        <v>2</v>
      </c>
      <c r="R242" t="s">
        <v>14</v>
      </c>
      <c r="S242" t="s">
        <v>31</v>
      </c>
      <c r="T242" t="s">
        <v>55</v>
      </c>
    </row>
    <row r="243" spans="1:20" x14ac:dyDescent="0.3">
      <c r="A243" t="s">
        <v>292</v>
      </c>
      <c r="B243">
        <v>22</v>
      </c>
      <c r="C243" t="s">
        <v>5</v>
      </c>
      <c r="D243" t="s">
        <v>40</v>
      </c>
      <c r="E243" t="s">
        <v>51</v>
      </c>
      <c r="F243">
        <v>2</v>
      </c>
      <c r="G243" t="s">
        <v>36</v>
      </c>
      <c r="H243">
        <v>59</v>
      </c>
      <c r="I243">
        <v>13</v>
      </c>
      <c r="J243">
        <v>2</v>
      </c>
      <c r="K243" t="s">
        <v>37</v>
      </c>
      <c r="L243" t="s">
        <v>68</v>
      </c>
      <c r="M243" t="s">
        <v>38</v>
      </c>
      <c r="N243" t="s">
        <v>23</v>
      </c>
      <c r="O243">
        <v>3</v>
      </c>
      <c r="P243" t="s">
        <v>24</v>
      </c>
      <c r="Q243">
        <v>3</v>
      </c>
      <c r="R243" t="s">
        <v>14</v>
      </c>
      <c r="S243" t="s">
        <v>31</v>
      </c>
      <c r="T243" t="s">
        <v>32</v>
      </c>
    </row>
    <row r="244" spans="1:20" x14ac:dyDescent="0.3">
      <c r="A244" t="s">
        <v>293</v>
      </c>
      <c r="B244">
        <v>34</v>
      </c>
      <c r="C244" t="s">
        <v>5</v>
      </c>
      <c r="D244" t="s">
        <v>63</v>
      </c>
      <c r="E244" t="s">
        <v>28</v>
      </c>
      <c r="F244">
        <v>10</v>
      </c>
      <c r="G244" t="s">
        <v>21</v>
      </c>
      <c r="H244">
        <v>40</v>
      </c>
      <c r="I244">
        <v>1</v>
      </c>
      <c r="J244">
        <v>1</v>
      </c>
      <c r="K244" t="s">
        <v>9</v>
      </c>
      <c r="L244" t="s">
        <v>10</v>
      </c>
      <c r="M244" t="s">
        <v>11</v>
      </c>
      <c r="N244" t="s">
        <v>12</v>
      </c>
      <c r="O244">
        <v>5</v>
      </c>
      <c r="P244" t="s">
        <v>48</v>
      </c>
      <c r="Q244">
        <v>4</v>
      </c>
      <c r="R244" t="s">
        <v>14</v>
      </c>
      <c r="S244" t="s">
        <v>15</v>
      </c>
      <c r="T244" t="s">
        <v>55</v>
      </c>
    </row>
    <row r="245" spans="1:20" x14ac:dyDescent="0.3">
      <c r="A245" t="s">
        <v>294</v>
      </c>
      <c r="B245">
        <v>37</v>
      </c>
      <c r="C245" t="s">
        <v>46</v>
      </c>
      <c r="D245" t="s">
        <v>40</v>
      </c>
      <c r="E245" t="s">
        <v>64</v>
      </c>
      <c r="F245">
        <v>32</v>
      </c>
      <c r="G245" t="s">
        <v>21</v>
      </c>
      <c r="H245">
        <v>56</v>
      </c>
      <c r="I245">
        <v>3</v>
      </c>
      <c r="J245">
        <v>2</v>
      </c>
      <c r="K245" t="s">
        <v>37</v>
      </c>
      <c r="L245" t="s">
        <v>68</v>
      </c>
      <c r="M245" t="s">
        <v>11</v>
      </c>
      <c r="N245" t="s">
        <v>12</v>
      </c>
      <c r="O245">
        <v>1</v>
      </c>
      <c r="P245" t="s">
        <v>48</v>
      </c>
      <c r="Q245">
        <v>1</v>
      </c>
      <c r="R245" t="s">
        <v>14</v>
      </c>
      <c r="S245" t="s">
        <v>31</v>
      </c>
      <c r="T245" t="s">
        <v>16</v>
      </c>
    </row>
    <row r="246" spans="1:20" x14ac:dyDescent="0.3">
      <c r="A246" t="s">
        <v>295</v>
      </c>
      <c r="B246">
        <v>59</v>
      </c>
      <c r="C246" t="s">
        <v>46</v>
      </c>
      <c r="D246" t="s">
        <v>27</v>
      </c>
      <c r="E246" t="s">
        <v>35</v>
      </c>
      <c r="F246">
        <v>17</v>
      </c>
      <c r="G246" t="s">
        <v>36</v>
      </c>
      <c r="H246">
        <v>47</v>
      </c>
      <c r="I246">
        <v>11</v>
      </c>
      <c r="J246">
        <v>2</v>
      </c>
      <c r="K246" t="s">
        <v>37</v>
      </c>
      <c r="L246" t="s">
        <v>22</v>
      </c>
      <c r="M246" t="s">
        <v>38</v>
      </c>
      <c r="N246" t="s">
        <v>29</v>
      </c>
      <c r="O246">
        <v>1</v>
      </c>
      <c r="P246" t="s">
        <v>48</v>
      </c>
      <c r="Q246">
        <v>3</v>
      </c>
      <c r="R246" t="s">
        <v>14</v>
      </c>
      <c r="S246" t="s">
        <v>31</v>
      </c>
      <c r="T246" t="s">
        <v>32</v>
      </c>
    </row>
    <row r="247" spans="1:20" x14ac:dyDescent="0.3">
      <c r="A247" t="s">
        <v>296</v>
      </c>
      <c r="B247">
        <v>53</v>
      </c>
      <c r="C247" t="s">
        <v>18</v>
      </c>
      <c r="D247" t="s">
        <v>63</v>
      </c>
      <c r="E247" t="s">
        <v>20</v>
      </c>
      <c r="F247">
        <v>25</v>
      </c>
      <c r="G247" t="s">
        <v>8</v>
      </c>
      <c r="H247">
        <v>38</v>
      </c>
      <c r="I247">
        <v>2</v>
      </c>
      <c r="J247">
        <v>2</v>
      </c>
      <c r="K247" t="s">
        <v>47</v>
      </c>
      <c r="L247" t="s">
        <v>22</v>
      </c>
      <c r="M247" t="s">
        <v>38</v>
      </c>
      <c r="N247" t="s">
        <v>23</v>
      </c>
      <c r="O247">
        <v>2</v>
      </c>
      <c r="P247" t="s">
        <v>24</v>
      </c>
      <c r="Q247">
        <v>3</v>
      </c>
      <c r="R247" t="s">
        <v>30</v>
      </c>
      <c r="S247" t="s">
        <v>15</v>
      </c>
      <c r="T247" t="s">
        <v>44</v>
      </c>
    </row>
    <row r="248" spans="1:20" x14ac:dyDescent="0.3">
      <c r="A248" t="s">
        <v>297</v>
      </c>
      <c r="B248">
        <v>38</v>
      </c>
      <c r="C248" t="s">
        <v>34</v>
      </c>
      <c r="D248" t="s">
        <v>19</v>
      </c>
      <c r="E248" t="s">
        <v>7</v>
      </c>
      <c r="F248">
        <v>25</v>
      </c>
      <c r="G248" t="s">
        <v>21</v>
      </c>
      <c r="H248">
        <v>59</v>
      </c>
      <c r="I248">
        <v>12</v>
      </c>
      <c r="J248">
        <v>5</v>
      </c>
      <c r="K248" t="s">
        <v>47</v>
      </c>
      <c r="L248" t="s">
        <v>22</v>
      </c>
      <c r="M248" t="s">
        <v>11</v>
      </c>
      <c r="N248" t="s">
        <v>23</v>
      </c>
      <c r="O248">
        <v>3</v>
      </c>
      <c r="P248" t="s">
        <v>48</v>
      </c>
      <c r="Q248">
        <v>1</v>
      </c>
      <c r="R248" t="s">
        <v>14</v>
      </c>
      <c r="S248" t="s">
        <v>42</v>
      </c>
      <c r="T248" t="s">
        <v>44</v>
      </c>
    </row>
    <row r="249" spans="1:20" x14ac:dyDescent="0.3">
      <c r="A249" t="s">
        <v>298</v>
      </c>
      <c r="B249">
        <v>32</v>
      </c>
      <c r="C249" t="s">
        <v>34</v>
      </c>
      <c r="D249" t="s">
        <v>63</v>
      </c>
      <c r="E249" t="s">
        <v>51</v>
      </c>
      <c r="F249">
        <v>17</v>
      </c>
      <c r="G249" t="s">
        <v>36</v>
      </c>
      <c r="H249">
        <v>47</v>
      </c>
      <c r="I249">
        <v>4</v>
      </c>
      <c r="J249">
        <v>1</v>
      </c>
      <c r="K249" t="s">
        <v>9</v>
      </c>
      <c r="L249" t="s">
        <v>30</v>
      </c>
      <c r="M249" t="s">
        <v>38</v>
      </c>
      <c r="N249" t="s">
        <v>23</v>
      </c>
      <c r="O249">
        <v>2</v>
      </c>
      <c r="P249" t="s">
        <v>13</v>
      </c>
      <c r="Q249">
        <v>4</v>
      </c>
      <c r="R249" t="s">
        <v>30</v>
      </c>
      <c r="S249" t="s">
        <v>31</v>
      </c>
      <c r="T249" t="s">
        <v>55</v>
      </c>
    </row>
    <row r="250" spans="1:20" x14ac:dyDescent="0.3">
      <c r="A250" t="s">
        <v>299</v>
      </c>
      <c r="B250">
        <v>36</v>
      </c>
      <c r="C250" t="s">
        <v>46</v>
      </c>
      <c r="D250" t="s">
        <v>6</v>
      </c>
      <c r="E250" t="s">
        <v>51</v>
      </c>
      <c r="F250">
        <v>17</v>
      </c>
      <c r="G250" t="s">
        <v>21</v>
      </c>
      <c r="H250">
        <v>49</v>
      </c>
      <c r="I250">
        <v>6</v>
      </c>
      <c r="J250">
        <v>3</v>
      </c>
      <c r="K250" t="s">
        <v>9</v>
      </c>
      <c r="L250" t="s">
        <v>10</v>
      </c>
      <c r="M250" t="s">
        <v>11</v>
      </c>
      <c r="N250" t="s">
        <v>12</v>
      </c>
      <c r="O250">
        <v>5</v>
      </c>
      <c r="P250" t="s">
        <v>48</v>
      </c>
      <c r="Q250">
        <v>5</v>
      </c>
      <c r="R250" t="s">
        <v>30</v>
      </c>
      <c r="S250" t="s">
        <v>42</v>
      </c>
      <c r="T250" t="s">
        <v>58</v>
      </c>
    </row>
    <row r="251" spans="1:20" x14ac:dyDescent="0.3">
      <c r="A251" t="s">
        <v>300</v>
      </c>
      <c r="B251">
        <v>29</v>
      </c>
      <c r="C251" t="s">
        <v>18</v>
      </c>
      <c r="D251" t="s">
        <v>63</v>
      </c>
      <c r="E251" t="s">
        <v>51</v>
      </c>
      <c r="F251">
        <v>18</v>
      </c>
      <c r="G251" t="s">
        <v>8</v>
      </c>
      <c r="H251">
        <v>20</v>
      </c>
      <c r="I251">
        <v>6</v>
      </c>
      <c r="J251">
        <v>5</v>
      </c>
      <c r="K251" t="s">
        <v>47</v>
      </c>
      <c r="L251" t="s">
        <v>30</v>
      </c>
      <c r="M251" t="s">
        <v>38</v>
      </c>
      <c r="N251" t="s">
        <v>29</v>
      </c>
      <c r="O251">
        <v>4</v>
      </c>
      <c r="P251" t="s">
        <v>24</v>
      </c>
      <c r="Q251">
        <v>2</v>
      </c>
      <c r="R251" t="s">
        <v>14</v>
      </c>
      <c r="S251" t="s">
        <v>31</v>
      </c>
      <c r="T251" t="s">
        <v>58</v>
      </c>
    </row>
    <row r="252" spans="1:20" x14ac:dyDescent="0.3">
      <c r="A252" t="s">
        <v>301</v>
      </c>
      <c r="B252">
        <v>38</v>
      </c>
      <c r="C252" t="s">
        <v>5</v>
      </c>
      <c r="D252" t="s">
        <v>63</v>
      </c>
      <c r="E252" t="s">
        <v>51</v>
      </c>
      <c r="F252">
        <v>26</v>
      </c>
      <c r="G252" t="s">
        <v>8</v>
      </c>
      <c r="H252">
        <v>50</v>
      </c>
      <c r="I252">
        <v>9</v>
      </c>
      <c r="J252">
        <v>1</v>
      </c>
      <c r="K252" t="s">
        <v>37</v>
      </c>
      <c r="L252" t="s">
        <v>22</v>
      </c>
      <c r="M252" t="s">
        <v>38</v>
      </c>
      <c r="N252" t="s">
        <v>23</v>
      </c>
      <c r="O252">
        <v>2</v>
      </c>
      <c r="P252" t="s">
        <v>24</v>
      </c>
      <c r="Q252">
        <v>2</v>
      </c>
      <c r="R252" t="s">
        <v>14</v>
      </c>
      <c r="S252" t="s">
        <v>15</v>
      </c>
      <c r="T252" t="s">
        <v>44</v>
      </c>
    </row>
    <row r="253" spans="1:20" x14ac:dyDescent="0.3">
      <c r="A253" t="s">
        <v>302</v>
      </c>
      <c r="B253">
        <v>32</v>
      </c>
      <c r="C253" t="s">
        <v>34</v>
      </c>
      <c r="D253" t="s">
        <v>63</v>
      </c>
      <c r="E253" t="s">
        <v>28</v>
      </c>
      <c r="F253">
        <v>21</v>
      </c>
      <c r="G253" t="s">
        <v>8</v>
      </c>
      <c r="H253">
        <v>32</v>
      </c>
      <c r="I253">
        <v>0</v>
      </c>
      <c r="J253">
        <v>4</v>
      </c>
      <c r="K253" t="s">
        <v>37</v>
      </c>
      <c r="L253" t="s">
        <v>10</v>
      </c>
      <c r="M253" t="s">
        <v>38</v>
      </c>
      <c r="N253" t="s">
        <v>29</v>
      </c>
      <c r="O253">
        <v>3</v>
      </c>
      <c r="P253" t="s">
        <v>13</v>
      </c>
      <c r="Q253">
        <v>1</v>
      </c>
      <c r="R253" t="s">
        <v>14</v>
      </c>
      <c r="S253" t="s">
        <v>15</v>
      </c>
      <c r="T253" t="s">
        <v>55</v>
      </c>
    </row>
    <row r="254" spans="1:20" x14ac:dyDescent="0.3">
      <c r="A254" t="s">
        <v>303</v>
      </c>
      <c r="B254">
        <v>43</v>
      </c>
      <c r="C254" t="s">
        <v>46</v>
      </c>
      <c r="D254" t="s">
        <v>40</v>
      </c>
      <c r="E254" t="s">
        <v>20</v>
      </c>
      <c r="F254">
        <v>21</v>
      </c>
      <c r="G254" t="s">
        <v>8</v>
      </c>
      <c r="H254">
        <v>23</v>
      </c>
      <c r="I254">
        <v>8</v>
      </c>
      <c r="J254">
        <v>3</v>
      </c>
      <c r="K254" t="s">
        <v>47</v>
      </c>
      <c r="L254" t="s">
        <v>22</v>
      </c>
      <c r="M254" t="s">
        <v>38</v>
      </c>
      <c r="N254" t="s">
        <v>23</v>
      </c>
      <c r="O254">
        <v>3</v>
      </c>
      <c r="P254" t="s">
        <v>48</v>
      </c>
      <c r="Q254">
        <v>3</v>
      </c>
      <c r="R254" t="s">
        <v>49</v>
      </c>
      <c r="S254" t="s">
        <v>42</v>
      </c>
      <c r="T254" t="s">
        <v>55</v>
      </c>
    </row>
    <row r="255" spans="1:20" x14ac:dyDescent="0.3">
      <c r="A255" t="s">
        <v>304</v>
      </c>
      <c r="B255">
        <v>46</v>
      </c>
      <c r="C255" t="s">
        <v>46</v>
      </c>
      <c r="D255" t="s">
        <v>6</v>
      </c>
      <c r="E255" t="s">
        <v>20</v>
      </c>
      <c r="F255">
        <v>25</v>
      </c>
      <c r="G255" t="s">
        <v>21</v>
      </c>
      <c r="H255">
        <v>22</v>
      </c>
      <c r="I255">
        <v>13</v>
      </c>
      <c r="J255">
        <v>3</v>
      </c>
      <c r="K255" t="s">
        <v>9</v>
      </c>
      <c r="L255" t="s">
        <v>22</v>
      </c>
      <c r="M255" t="s">
        <v>11</v>
      </c>
      <c r="N255" t="s">
        <v>23</v>
      </c>
      <c r="O255">
        <v>3</v>
      </c>
      <c r="P255" t="s">
        <v>13</v>
      </c>
      <c r="Q255">
        <v>3</v>
      </c>
      <c r="R255" t="s">
        <v>14</v>
      </c>
      <c r="S255" t="s">
        <v>42</v>
      </c>
      <c r="T255" t="s">
        <v>58</v>
      </c>
    </row>
    <row r="256" spans="1:20" x14ac:dyDescent="0.3">
      <c r="A256" t="s">
        <v>305</v>
      </c>
      <c r="B256">
        <v>42</v>
      </c>
      <c r="C256" t="s">
        <v>46</v>
      </c>
      <c r="D256" t="s">
        <v>19</v>
      </c>
      <c r="E256" t="s">
        <v>28</v>
      </c>
      <c r="F256">
        <v>4</v>
      </c>
      <c r="G256" t="s">
        <v>8</v>
      </c>
      <c r="H256">
        <v>33</v>
      </c>
      <c r="I256">
        <v>11</v>
      </c>
      <c r="J256">
        <v>5</v>
      </c>
      <c r="K256" t="s">
        <v>9</v>
      </c>
      <c r="L256" t="s">
        <v>68</v>
      </c>
      <c r="M256" t="s">
        <v>38</v>
      </c>
      <c r="N256" t="s">
        <v>12</v>
      </c>
      <c r="O256">
        <v>2</v>
      </c>
      <c r="P256" t="s">
        <v>48</v>
      </c>
      <c r="Q256">
        <v>2</v>
      </c>
      <c r="R256" t="s">
        <v>49</v>
      </c>
      <c r="S256" t="s">
        <v>15</v>
      </c>
      <c r="T256" t="s">
        <v>58</v>
      </c>
    </row>
    <row r="257" spans="1:20" x14ac:dyDescent="0.3">
      <c r="A257" t="s">
        <v>306</v>
      </c>
      <c r="B257">
        <v>27</v>
      </c>
      <c r="C257" t="s">
        <v>34</v>
      </c>
      <c r="D257" t="s">
        <v>63</v>
      </c>
      <c r="E257" t="s">
        <v>28</v>
      </c>
      <c r="F257">
        <v>25</v>
      </c>
      <c r="G257" t="s">
        <v>8</v>
      </c>
      <c r="H257">
        <v>32</v>
      </c>
      <c r="I257">
        <v>13</v>
      </c>
      <c r="J257">
        <v>3</v>
      </c>
      <c r="K257" t="s">
        <v>9</v>
      </c>
      <c r="L257" t="s">
        <v>68</v>
      </c>
      <c r="M257" t="s">
        <v>38</v>
      </c>
      <c r="N257" t="s">
        <v>12</v>
      </c>
      <c r="O257">
        <v>5</v>
      </c>
      <c r="P257" t="s">
        <v>13</v>
      </c>
      <c r="Q257">
        <v>5</v>
      </c>
      <c r="R257" t="s">
        <v>14</v>
      </c>
      <c r="S257" t="s">
        <v>42</v>
      </c>
      <c r="T257" t="s">
        <v>55</v>
      </c>
    </row>
    <row r="258" spans="1:20" x14ac:dyDescent="0.3">
      <c r="A258" t="s">
        <v>307</v>
      </c>
      <c r="B258">
        <v>54</v>
      </c>
      <c r="C258" t="s">
        <v>46</v>
      </c>
      <c r="D258" t="s">
        <v>57</v>
      </c>
      <c r="E258" t="s">
        <v>64</v>
      </c>
      <c r="F258">
        <v>10</v>
      </c>
      <c r="G258" t="s">
        <v>36</v>
      </c>
      <c r="H258">
        <v>51</v>
      </c>
      <c r="I258">
        <v>0</v>
      </c>
      <c r="J258">
        <v>1</v>
      </c>
      <c r="K258" t="s">
        <v>9</v>
      </c>
      <c r="L258" t="s">
        <v>22</v>
      </c>
      <c r="M258" t="s">
        <v>11</v>
      </c>
      <c r="N258" t="s">
        <v>23</v>
      </c>
      <c r="O258">
        <v>2</v>
      </c>
      <c r="P258" t="s">
        <v>13</v>
      </c>
      <c r="Q258">
        <v>2</v>
      </c>
      <c r="R258" t="s">
        <v>49</v>
      </c>
      <c r="S258" t="s">
        <v>42</v>
      </c>
      <c r="T258" t="s">
        <v>16</v>
      </c>
    </row>
    <row r="259" spans="1:20" x14ac:dyDescent="0.3">
      <c r="A259" t="s">
        <v>308</v>
      </c>
      <c r="B259">
        <v>43</v>
      </c>
      <c r="C259" t="s">
        <v>34</v>
      </c>
      <c r="D259" t="s">
        <v>61</v>
      </c>
      <c r="E259" t="s">
        <v>7</v>
      </c>
      <c r="F259">
        <v>34</v>
      </c>
      <c r="G259" t="s">
        <v>8</v>
      </c>
      <c r="H259">
        <v>49</v>
      </c>
      <c r="I259">
        <v>11</v>
      </c>
      <c r="J259">
        <v>3</v>
      </c>
      <c r="K259" t="s">
        <v>9</v>
      </c>
      <c r="L259" t="s">
        <v>68</v>
      </c>
      <c r="M259" t="s">
        <v>11</v>
      </c>
      <c r="N259" t="s">
        <v>12</v>
      </c>
      <c r="O259">
        <v>3</v>
      </c>
      <c r="P259" t="s">
        <v>24</v>
      </c>
      <c r="Q259">
        <v>3</v>
      </c>
      <c r="R259" t="s">
        <v>30</v>
      </c>
      <c r="S259" t="s">
        <v>31</v>
      </c>
      <c r="T259" t="s">
        <v>55</v>
      </c>
    </row>
    <row r="260" spans="1:20" x14ac:dyDescent="0.3">
      <c r="A260" t="s">
        <v>309</v>
      </c>
      <c r="B260">
        <v>31</v>
      </c>
      <c r="C260" t="s">
        <v>18</v>
      </c>
      <c r="D260" t="s">
        <v>19</v>
      </c>
      <c r="E260" t="s">
        <v>28</v>
      </c>
      <c r="F260">
        <v>9</v>
      </c>
      <c r="G260" t="s">
        <v>21</v>
      </c>
      <c r="H260">
        <v>30</v>
      </c>
      <c r="I260">
        <v>9</v>
      </c>
      <c r="J260">
        <v>1</v>
      </c>
      <c r="K260" t="s">
        <v>9</v>
      </c>
      <c r="L260" t="s">
        <v>22</v>
      </c>
      <c r="M260" t="s">
        <v>11</v>
      </c>
      <c r="N260" t="s">
        <v>29</v>
      </c>
      <c r="O260">
        <v>1</v>
      </c>
      <c r="P260" t="s">
        <v>24</v>
      </c>
      <c r="Q260">
        <v>3</v>
      </c>
      <c r="R260" t="s">
        <v>49</v>
      </c>
      <c r="S260" t="s">
        <v>42</v>
      </c>
      <c r="T260" t="s">
        <v>55</v>
      </c>
    </row>
    <row r="261" spans="1:20" x14ac:dyDescent="0.3">
      <c r="A261" t="s">
        <v>310</v>
      </c>
      <c r="B261">
        <v>53</v>
      </c>
      <c r="C261" t="s">
        <v>5</v>
      </c>
      <c r="D261" t="s">
        <v>27</v>
      </c>
      <c r="E261" t="s">
        <v>28</v>
      </c>
      <c r="F261">
        <v>11</v>
      </c>
      <c r="G261" t="s">
        <v>21</v>
      </c>
      <c r="H261">
        <v>25</v>
      </c>
      <c r="I261">
        <v>9</v>
      </c>
      <c r="J261">
        <v>2</v>
      </c>
      <c r="K261" t="s">
        <v>9</v>
      </c>
      <c r="L261" t="s">
        <v>68</v>
      </c>
      <c r="M261" t="s">
        <v>38</v>
      </c>
      <c r="N261" t="s">
        <v>23</v>
      </c>
      <c r="O261">
        <v>2</v>
      </c>
      <c r="P261" t="s">
        <v>48</v>
      </c>
      <c r="Q261">
        <v>5</v>
      </c>
      <c r="R261" t="s">
        <v>14</v>
      </c>
      <c r="S261" t="s">
        <v>42</v>
      </c>
      <c r="T261" t="s">
        <v>25</v>
      </c>
    </row>
    <row r="262" spans="1:20" x14ac:dyDescent="0.3">
      <c r="A262" t="s">
        <v>311</v>
      </c>
      <c r="B262">
        <v>57</v>
      </c>
      <c r="C262" t="s">
        <v>5</v>
      </c>
      <c r="D262" t="s">
        <v>27</v>
      </c>
      <c r="E262" t="s">
        <v>51</v>
      </c>
      <c r="F262">
        <v>3</v>
      </c>
      <c r="G262" t="s">
        <v>36</v>
      </c>
      <c r="H262">
        <v>40</v>
      </c>
      <c r="I262">
        <v>12</v>
      </c>
      <c r="J262">
        <v>4</v>
      </c>
      <c r="K262" t="s">
        <v>37</v>
      </c>
      <c r="L262" t="s">
        <v>30</v>
      </c>
      <c r="M262" t="s">
        <v>11</v>
      </c>
      <c r="N262" t="s">
        <v>23</v>
      </c>
      <c r="O262">
        <v>3</v>
      </c>
      <c r="P262" t="s">
        <v>48</v>
      </c>
      <c r="Q262">
        <v>3</v>
      </c>
      <c r="R262" t="s">
        <v>14</v>
      </c>
      <c r="S262" t="s">
        <v>31</v>
      </c>
      <c r="T262" t="s">
        <v>32</v>
      </c>
    </row>
    <row r="263" spans="1:20" x14ac:dyDescent="0.3">
      <c r="A263" t="s">
        <v>312</v>
      </c>
      <c r="B263">
        <v>50</v>
      </c>
      <c r="C263" t="s">
        <v>5</v>
      </c>
      <c r="D263" t="s">
        <v>63</v>
      </c>
      <c r="E263" t="s">
        <v>35</v>
      </c>
      <c r="F263">
        <v>20</v>
      </c>
      <c r="G263" t="s">
        <v>36</v>
      </c>
      <c r="H263">
        <v>32</v>
      </c>
      <c r="I263">
        <v>13</v>
      </c>
      <c r="J263">
        <v>1</v>
      </c>
      <c r="K263" t="s">
        <v>47</v>
      </c>
      <c r="L263" t="s">
        <v>68</v>
      </c>
      <c r="M263" t="s">
        <v>11</v>
      </c>
      <c r="N263" t="s">
        <v>29</v>
      </c>
      <c r="O263">
        <v>1</v>
      </c>
      <c r="P263" t="s">
        <v>48</v>
      </c>
      <c r="Q263">
        <v>1</v>
      </c>
      <c r="R263" t="s">
        <v>30</v>
      </c>
      <c r="S263" t="s">
        <v>15</v>
      </c>
      <c r="T263" t="s">
        <v>25</v>
      </c>
    </row>
    <row r="264" spans="1:20" x14ac:dyDescent="0.3">
      <c r="A264" t="s">
        <v>313</v>
      </c>
      <c r="B264">
        <v>37</v>
      </c>
      <c r="C264" t="s">
        <v>34</v>
      </c>
      <c r="D264" t="s">
        <v>40</v>
      </c>
      <c r="E264" t="s">
        <v>28</v>
      </c>
      <c r="F264">
        <v>18</v>
      </c>
      <c r="G264" t="s">
        <v>36</v>
      </c>
      <c r="H264">
        <v>20</v>
      </c>
      <c r="I264">
        <v>15</v>
      </c>
      <c r="J264">
        <v>3</v>
      </c>
      <c r="K264" t="s">
        <v>9</v>
      </c>
      <c r="L264" t="s">
        <v>68</v>
      </c>
      <c r="M264" t="s">
        <v>11</v>
      </c>
      <c r="N264" t="s">
        <v>29</v>
      </c>
      <c r="O264">
        <v>1</v>
      </c>
      <c r="P264" t="s">
        <v>48</v>
      </c>
      <c r="Q264">
        <v>2</v>
      </c>
      <c r="R264" t="s">
        <v>30</v>
      </c>
      <c r="S264" t="s">
        <v>42</v>
      </c>
      <c r="T264" t="s">
        <v>58</v>
      </c>
    </row>
    <row r="265" spans="1:20" x14ac:dyDescent="0.3">
      <c r="A265" t="s">
        <v>314</v>
      </c>
      <c r="B265">
        <v>58</v>
      </c>
      <c r="C265" t="s">
        <v>18</v>
      </c>
      <c r="D265" t="s">
        <v>63</v>
      </c>
      <c r="E265" t="s">
        <v>64</v>
      </c>
      <c r="F265">
        <v>8</v>
      </c>
      <c r="G265" t="s">
        <v>8</v>
      </c>
      <c r="H265">
        <v>35</v>
      </c>
      <c r="I265">
        <v>5</v>
      </c>
      <c r="J265">
        <v>5</v>
      </c>
      <c r="K265" t="s">
        <v>9</v>
      </c>
      <c r="L265" t="s">
        <v>10</v>
      </c>
      <c r="M265" t="s">
        <v>11</v>
      </c>
      <c r="N265" t="s">
        <v>12</v>
      </c>
      <c r="O265">
        <v>3</v>
      </c>
      <c r="P265" t="s">
        <v>48</v>
      </c>
      <c r="Q265">
        <v>5</v>
      </c>
      <c r="R265" t="s">
        <v>49</v>
      </c>
      <c r="S265" t="s">
        <v>31</v>
      </c>
      <c r="T265" t="s">
        <v>25</v>
      </c>
    </row>
    <row r="266" spans="1:20" x14ac:dyDescent="0.3">
      <c r="A266" t="s">
        <v>315</v>
      </c>
      <c r="B266">
        <v>57</v>
      </c>
      <c r="C266" t="s">
        <v>5</v>
      </c>
      <c r="D266" t="s">
        <v>40</v>
      </c>
      <c r="E266" t="s">
        <v>51</v>
      </c>
      <c r="F266">
        <v>32</v>
      </c>
      <c r="G266" t="s">
        <v>21</v>
      </c>
      <c r="H266">
        <v>49</v>
      </c>
      <c r="I266">
        <v>2</v>
      </c>
      <c r="J266">
        <v>1</v>
      </c>
      <c r="K266" t="s">
        <v>9</v>
      </c>
      <c r="L266" t="s">
        <v>22</v>
      </c>
      <c r="M266" t="s">
        <v>11</v>
      </c>
      <c r="N266" t="s">
        <v>29</v>
      </c>
      <c r="O266">
        <v>4</v>
      </c>
      <c r="P266" t="s">
        <v>24</v>
      </c>
      <c r="Q266">
        <v>5</v>
      </c>
      <c r="R266" t="s">
        <v>30</v>
      </c>
      <c r="S266" t="s">
        <v>42</v>
      </c>
      <c r="T266" t="s">
        <v>16</v>
      </c>
    </row>
    <row r="267" spans="1:20" x14ac:dyDescent="0.3">
      <c r="A267" t="s">
        <v>316</v>
      </c>
      <c r="B267">
        <v>50</v>
      </c>
      <c r="C267" t="s">
        <v>46</v>
      </c>
      <c r="D267" t="s">
        <v>40</v>
      </c>
      <c r="E267" t="s">
        <v>64</v>
      </c>
      <c r="F267">
        <v>21</v>
      </c>
      <c r="G267" t="s">
        <v>36</v>
      </c>
      <c r="H267">
        <v>34</v>
      </c>
      <c r="I267">
        <v>5</v>
      </c>
      <c r="J267">
        <v>4</v>
      </c>
      <c r="K267" t="s">
        <v>9</v>
      </c>
      <c r="L267" t="s">
        <v>10</v>
      </c>
      <c r="M267" t="s">
        <v>38</v>
      </c>
      <c r="N267" t="s">
        <v>29</v>
      </c>
      <c r="O267">
        <v>3</v>
      </c>
      <c r="P267" t="s">
        <v>24</v>
      </c>
      <c r="Q267">
        <v>4</v>
      </c>
      <c r="R267" t="s">
        <v>14</v>
      </c>
      <c r="S267" t="s">
        <v>15</v>
      </c>
      <c r="T267" t="s">
        <v>16</v>
      </c>
    </row>
    <row r="268" spans="1:20" x14ac:dyDescent="0.3">
      <c r="A268" t="s">
        <v>317</v>
      </c>
      <c r="B268">
        <v>48</v>
      </c>
      <c r="C268" t="s">
        <v>34</v>
      </c>
      <c r="D268" t="s">
        <v>63</v>
      </c>
      <c r="E268" t="s">
        <v>51</v>
      </c>
      <c r="F268">
        <v>33</v>
      </c>
      <c r="G268" t="s">
        <v>8</v>
      </c>
      <c r="H268">
        <v>58</v>
      </c>
      <c r="I268">
        <v>13</v>
      </c>
      <c r="J268">
        <v>3</v>
      </c>
      <c r="K268" t="s">
        <v>9</v>
      </c>
      <c r="L268" t="s">
        <v>68</v>
      </c>
      <c r="M268" t="s">
        <v>11</v>
      </c>
      <c r="N268" t="s">
        <v>12</v>
      </c>
      <c r="O268">
        <v>3</v>
      </c>
      <c r="P268" t="s">
        <v>24</v>
      </c>
      <c r="Q268">
        <v>5</v>
      </c>
      <c r="R268" t="s">
        <v>30</v>
      </c>
      <c r="S268" t="s">
        <v>42</v>
      </c>
      <c r="T268" t="s">
        <v>44</v>
      </c>
    </row>
    <row r="269" spans="1:20" x14ac:dyDescent="0.3">
      <c r="A269" t="s">
        <v>318</v>
      </c>
      <c r="B269">
        <v>43</v>
      </c>
      <c r="C269" t="s">
        <v>5</v>
      </c>
      <c r="D269" t="s">
        <v>6</v>
      </c>
      <c r="E269" t="s">
        <v>41</v>
      </c>
      <c r="F269">
        <v>15</v>
      </c>
      <c r="G269" t="s">
        <v>36</v>
      </c>
      <c r="H269">
        <v>26</v>
      </c>
      <c r="I269">
        <v>4</v>
      </c>
      <c r="J269">
        <v>4</v>
      </c>
      <c r="K269" t="s">
        <v>9</v>
      </c>
      <c r="L269" t="s">
        <v>22</v>
      </c>
      <c r="M269" t="s">
        <v>11</v>
      </c>
      <c r="N269" t="s">
        <v>12</v>
      </c>
      <c r="O269">
        <v>5</v>
      </c>
      <c r="P269" t="s">
        <v>13</v>
      </c>
      <c r="Q269">
        <v>3</v>
      </c>
      <c r="R269" t="s">
        <v>30</v>
      </c>
      <c r="S269" t="s">
        <v>42</v>
      </c>
      <c r="T269" t="s">
        <v>44</v>
      </c>
    </row>
    <row r="270" spans="1:20" x14ac:dyDescent="0.3">
      <c r="A270" t="s">
        <v>319</v>
      </c>
      <c r="B270">
        <v>58</v>
      </c>
      <c r="C270" t="s">
        <v>18</v>
      </c>
      <c r="D270" t="s">
        <v>57</v>
      </c>
      <c r="E270" t="s">
        <v>64</v>
      </c>
      <c r="F270">
        <v>12</v>
      </c>
      <c r="G270" t="s">
        <v>36</v>
      </c>
      <c r="H270">
        <v>36</v>
      </c>
      <c r="I270">
        <v>7</v>
      </c>
      <c r="J270">
        <v>4</v>
      </c>
      <c r="K270" t="s">
        <v>9</v>
      </c>
      <c r="L270" t="s">
        <v>68</v>
      </c>
      <c r="M270" t="s">
        <v>11</v>
      </c>
      <c r="N270" t="s">
        <v>23</v>
      </c>
      <c r="O270">
        <v>3</v>
      </c>
      <c r="P270" t="s">
        <v>13</v>
      </c>
      <c r="Q270">
        <v>3</v>
      </c>
      <c r="R270" t="s">
        <v>30</v>
      </c>
      <c r="S270" t="s">
        <v>31</v>
      </c>
      <c r="T270" t="s">
        <v>16</v>
      </c>
    </row>
    <row r="271" spans="1:20" x14ac:dyDescent="0.3">
      <c r="A271" t="s">
        <v>320</v>
      </c>
      <c r="B271">
        <v>30</v>
      </c>
      <c r="C271" t="s">
        <v>34</v>
      </c>
      <c r="D271" t="s">
        <v>61</v>
      </c>
      <c r="E271" t="s">
        <v>28</v>
      </c>
      <c r="F271">
        <v>32</v>
      </c>
      <c r="G271" t="s">
        <v>8</v>
      </c>
      <c r="H271">
        <v>48</v>
      </c>
      <c r="I271">
        <v>3</v>
      </c>
      <c r="J271">
        <v>4</v>
      </c>
      <c r="K271" t="s">
        <v>37</v>
      </c>
      <c r="L271" t="s">
        <v>10</v>
      </c>
      <c r="M271" t="s">
        <v>38</v>
      </c>
      <c r="N271" t="s">
        <v>23</v>
      </c>
      <c r="O271">
        <v>5</v>
      </c>
      <c r="P271" t="s">
        <v>48</v>
      </c>
      <c r="Q271">
        <v>4</v>
      </c>
      <c r="R271" t="s">
        <v>49</v>
      </c>
      <c r="S271" t="s">
        <v>42</v>
      </c>
      <c r="T271" t="s">
        <v>58</v>
      </c>
    </row>
    <row r="272" spans="1:20" x14ac:dyDescent="0.3">
      <c r="A272" t="s">
        <v>321</v>
      </c>
      <c r="B272">
        <v>44</v>
      </c>
      <c r="C272" t="s">
        <v>5</v>
      </c>
      <c r="D272" t="s">
        <v>6</v>
      </c>
      <c r="E272" t="s">
        <v>35</v>
      </c>
      <c r="F272">
        <v>3</v>
      </c>
      <c r="G272" t="s">
        <v>36</v>
      </c>
      <c r="H272">
        <v>57</v>
      </c>
      <c r="I272">
        <v>5</v>
      </c>
      <c r="J272">
        <v>4</v>
      </c>
      <c r="K272" t="s">
        <v>37</v>
      </c>
      <c r="L272" t="s">
        <v>22</v>
      </c>
      <c r="M272" t="s">
        <v>38</v>
      </c>
      <c r="N272" t="s">
        <v>23</v>
      </c>
      <c r="O272">
        <v>5</v>
      </c>
      <c r="P272" t="s">
        <v>24</v>
      </c>
      <c r="Q272">
        <v>5</v>
      </c>
      <c r="R272" t="s">
        <v>14</v>
      </c>
      <c r="S272" t="s">
        <v>15</v>
      </c>
      <c r="T272" t="s">
        <v>44</v>
      </c>
    </row>
    <row r="273" spans="1:20" x14ac:dyDescent="0.3">
      <c r="A273" t="s">
        <v>322</v>
      </c>
      <c r="B273">
        <v>41</v>
      </c>
      <c r="C273" t="s">
        <v>46</v>
      </c>
      <c r="D273" t="s">
        <v>6</v>
      </c>
      <c r="E273" t="s">
        <v>35</v>
      </c>
      <c r="F273">
        <v>28</v>
      </c>
      <c r="G273" t="s">
        <v>8</v>
      </c>
      <c r="H273">
        <v>32</v>
      </c>
      <c r="I273">
        <v>8</v>
      </c>
      <c r="J273">
        <v>2</v>
      </c>
      <c r="K273" t="s">
        <v>9</v>
      </c>
      <c r="L273" t="s">
        <v>10</v>
      </c>
      <c r="M273" t="s">
        <v>38</v>
      </c>
      <c r="N273" t="s">
        <v>29</v>
      </c>
      <c r="O273">
        <v>3</v>
      </c>
      <c r="P273" t="s">
        <v>24</v>
      </c>
      <c r="Q273">
        <v>2</v>
      </c>
      <c r="R273" t="s">
        <v>49</v>
      </c>
      <c r="S273" t="s">
        <v>31</v>
      </c>
      <c r="T273" t="s">
        <v>55</v>
      </c>
    </row>
    <row r="274" spans="1:20" x14ac:dyDescent="0.3">
      <c r="A274" t="s">
        <v>323</v>
      </c>
      <c r="B274">
        <v>60</v>
      </c>
      <c r="C274" t="s">
        <v>18</v>
      </c>
      <c r="D274" t="s">
        <v>57</v>
      </c>
      <c r="E274" t="s">
        <v>7</v>
      </c>
      <c r="F274">
        <v>17</v>
      </c>
      <c r="G274" t="s">
        <v>21</v>
      </c>
      <c r="H274">
        <v>55</v>
      </c>
      <c r="I274">
        <v>7</v>
      </c>
      <c r="J274">
        <v>4</v>
      </c>
      <c r="K274" t="s">
        <v>9</v>
      </c>
      <c r="L274" t="s">
        <v>68</v>
      </c>
      <c r="M274" t="s">
        <v>38</v>
      </c>
      <c r="N274" t="s">
        <v>12</v>
      </c>
      <c r="O274">
        <v>1</v>
      </c>
      <c r="P274" t="s">
        <v>13</v>
      </c>
      <c r="Q274">
        <v>4</v>
      </c>
      <c r="R274" t="s">
        <v>30</v>
      </c>
      <c r="S274" t="s">
        <v>31</v>
      </c>
      <c r="T274" t="s">
        <v>25</v>
      </c>
    </row>
    <row r="275" spans="1:20" x14ac:dyDescent="0.3">
      <c r="A275" t="s">
        <v>324</v>
      </c>
      <c r="B275">
        <v>58</v>
      </c>
      <c r="C275" t="s">
        <v>5</v>
      </c>
      <c r="D275" t="s">
        <v>61</v>
      </c>
      <c r="E275" t="s">
        <v>35</v>
      </c>
      <c r="F275">
        <v>35</v>
      </c>
      <c r="G275" t="s">
        <v>8</v>
      </c>
      <c r="H275">
        <v>28</v>
      </c>
      <c r="I275">
        <v>3</v>
      </c>
      <c r="J275">
        <v>3</v>
      </c>
      <c r="K275" t="s">
        <v>37</v>
      </c>
      <c r="L275" t="s">
        <v>10</v>
      </c>
      <c r="M275" t="s">
        <v>11</v>
      </c>
      <c r="N275" t="s">
        <v>12</v>
      </c>
      <c r="O275">
        <v>3</v>
      </c>
      <c r="P275" t="s">
        <v>48</v>
      </c>
      <c r="Q275">
        <v>2</v>
      </c>
      <c r="R275" t="s">
        <v>30</v>
      </c>
      <c r="S275" t="s">
        <v>15</v>
      </c>
      <c r="T275" t="s">
        <v>25</v>
      </c>
    </row>
    <row r="276" spans="1:20" x14ac:dyDescent="0.3">
      <c r="A276" t="s">
        <v>325</v>
      </c>
      <c r="B276">
        <v>60</v>
      </c>
      <c r="C276" t="s">
        <v>46</v>
      </c>
      <c r="D276" t="s">
        <v>40</v>
      </c>
      <c r="E276" t="s">
        <v>41</v>
      </c>
      <c r="F276">
        <v>7</v>
      </c>
      <c r="G276" t="s">
        <v>36</v>
      </c>
      <c r="H276">
        <v>53</v>
      </c>
      <c r="I276">
        <v>10</v>
      </c>
      <c r="J276">
        <v>2</v>
      </c>
      <c r="K276" t="s">
        <v>47</v>
      </c>
      <c r="L276" t="s">
        <v>10</v>
      </c>
      <c r="M276" t="s">
        <v>11</v>
      </c>
      <c r="N276" t="s">
        <v>12</v>
      </c>
      <c r="O276">
        <v>2</v>
      </c>
      <c r="P276" t="s">
        <v>24</v>
      </c>
      <c r="Q276">
        <v>3</v>
      </c>
      <c r="R276" t="s">
        <v>14</v>
      </c>
      <c r="S276" t="s">
        <v>31</v>
      </c>
      <c r="T276" t="s">
        <v>55</v>
      </c>
    </row>
    <row r="277" spans="1:20" x14ac:dyDescent="0.3">
      <c r="A277" t="s">
        <v>326</v>
      </c>
      <c r="B277">
        <v>27</v>
      </c>
      <c r="C277" t="s">
        <v>5</v>
      </c>
      <c r="D277" t="s">
        <v>61</v>
      </c>
      <c r="E277" t="s">
        <v>35</v>
      </c>
      <c r="F277">
        <v>34</v>
      </c>
      <c r="G277" t="s">
        <v>36</v>
      </c>
      <c r="H277">
        <v>36</v>
      </c>
      <c r="I277">
        <v>10</v>
      </c>
      <c r="J277">
        <v>4</v>
      </c>
      <c r="K277" t="s">
        <v>47</v>
      </c>
      <c r="L277" t="s">
        <v>10</v>
      </c>
      <c r="M277" t="s">
        <v>38</v>
      </c>
      <c r="N277" t="s">
        <v>29</v>
      </c>
      <c r="O277">
        <v>4</v>
      </c>
      <c r="P277" t="s">
        <v>24</v>
      </c>
      <c r="Q277">
        <v>4</v>
      </c>
      <c r="R277" t="s">
        <v>49</v>
      </c>
      <c r="S277" t="s">
        <v>15</v>
      </c>
      <c r="T277" t="s">
        <v>16</v>
      </c>
    </row>
    <row r="278" spans="1:20" x14ac:dyDescent="0.3">
      <c r="A278" t="s">
        <v>327</v>
      </c>
      <c r="B278">
        <v>38</v>
      </c>
      <c r="C278" t="s">
        <v>18</v>
      </c>
      <c r="D278" t="s">
        <v>40</v>
      </c>
      <c r="E278" t="s">
        <v>51</v>
      </c>
      <c r="F278">
        <v>18</v>
      </c>
      <c r="G278" t="s">
        <v>21</v>
      </c>
      <c r="H278">
        <v>54</v>
      </c>
      <c r="I278">
        <v>7</v>
      </c>
      <c r="J278">
        <v>4</v>
      </c>
      <c r="K278" t="s">
        <v>37</v>
      </c>
      <c r="L278" t="s">
        <v>22</v>
      </c>
      <c r="M278" t="s">
        <v>11</v>
      </c>
      <c r="N278" t="s">
        <v>12</v>
      </c>
      <c r="O278">
        <v>4</v>
      </c>
      <c r="P278" t="s">
        <v>24</v>
      </c>
      <c r="Q278">
        <v>1</v>
      </c>
      <c r="R278" t="s">
        <v>30</v>
      </c>
      <c r="S278" t="s">
        <v>42</v>
      </c>
      <c r="T278" t="s">
        <v>25</v>
      </c>
    </row>
    <row r="279" spans="1:20" x14ac:dyDescent="0.3">
      <c r="A279" t="s">
        <v>328</v>
      </c>
      <c r="B279">
        <v>56</v>
      </c>
      <c r="C279" t="s">
        <v>34</v>
      </c>
      <c r="D279" t="s">
        <v>57</v>
      </c>
      <c r="E279" t="s">
        <v>7</v>
      </c>
      <c r="F279">
        <v>8</v>
      </c>
      <c r="G279" t="s">
        <v>21</v>
      </c>
      <c r="H279">
        <v>33</v>
      </c>
      <c r="I279">
        <v>8</v>
      </c>
      <c r="J279">
        <v>3</v>
      </c>
      <c r="K279" t="s">
        <v>47</v>
      </c>
      <c r="L279" t="s">
        <v>68</v>
      </c>
      <c r="M279" t="s">
        <v>11</v>
      </c>
      <c r="N279" t="s">
        <v>23</v>
      </c>
      <c r="O279">
        <v>4</v>
      </c>
      <c r="P279" t="s">
        <v>48</v>
      </c>
      <c r="Q279">
        <v>5</v>
      </c>
      <c r="R279" t="s">
        <v>30</v>
      </c>
      <c r="S279" t="s">
        <v>31</v>
      </c>
      <c r="T279" t="s">
        <v>25</v>
      </c>
    </row>
    <row r="280" spans="1:20" x14ac:dyDescent="0.3">
      <c r="A280" t="s">
        <v>329</v>
      </c>
      <c r="B280">
        <v>31</v>
      </c>
      <c r="C280" t="s">
        <v>34</v>
      </c>
      <c r="D280" t="s">
        <v>61</v>
      </c>
      <c r="E280" t="s">
        <v>35</v>
      </c>
      <c r="F280">
        <v>19</v>
      </c>
      <c r="G280" t="s">
        <v>36</v>
      </c>
      <c r="H280">
        <v>39</v>
      </c>
      <c r="I280">
        <v>1</v>
      </c>
      <c r="J280">
        <v>4</v>
      </c>
      <c r="K280" t="s">
        <v>9</v>
      </c>
      <c r="L280" t="s">
        <v>30</v>
      </c>
      <c r="M280" t="s">
        <v>38</v>
      </c>
      <c r="N280" t="s">
        <v>12</v>
      </c>
      <c r="O280">
        <v>2</v>
      </c>
      <c r="P280" t="s">
        <v>13</v>
      </c>
      <c r="Q280">
        <v>4</v>
      </c>
      <c r="R280" t="s">
        <v>49</v>
      </c>
      <c r="S280" t="s">
        <v>31</v>
      </c>
      <c r="T280" t="s">
        <v>58</v>
      </c>
    </row>
    <row r="281" spans="1:20" x14ac:dyDescent="0.3">
      <c r="A281" t="s">
        <v>330</v>
      </c>
      <c r="B281">
        <v>37</v>
      </c>
      <c r="C281" t="s">
        <v>46</v>
      </c>
      <c r="D281" t="s">
        <v>27</v>
      </c>
      <c r="E281" t="s">
        <v>7</v>
      </c>
      <c r="F281">
        <v>25</v>
      </c>
      <c r="G281" t="s">
        <v>8</v>
      </c>
      <c r="H281">
        <v>33</v>
      </c>
      <c r="I281">
        <v>11</v>
      </c>
      <c r="J281">
        <v>1</v>
      </c>
      <c r="K281" t="s">
        <v>9</v>
      </c>
      <c r="L281" t="s">
        <v>22</v>
      </c>
      <c r="M281" t="s">
        <v>11</v>
      </c>
      <c r="N281" t="s">
        <v>29</v>
      </c>
      <c r="O281">
        <v>4</v>
      </c>
      <c r="P281" t="s">
        <v>24</v>
      </c>
      <c r="Q281">
        <v>5</v>
      </c>
      <c r="R281" t="s">
        <v>30</v>
      </c>
      <c r="S281" t="s">
        <v>15</v>
      </c>
      <c r="T281" t="s">
        <v>32</v>
      </c>
    </row>
    <row r="282" spans="1:20" x14ac:dyDescent="0.3">
      <c r="A282" t="s">
        <v>331</v>
      </c>
      <c r="B282">
        <v>41</v>
      </c>
      <c r="C282" t="s">
        <v>18</v>
      </c>
      <c r="D282" t="s">
        <v>27</v>
      </c>
      <c r="E282" t="s">
        <v>28</v>
      </c>
      <c r="F282">
        <v>2</v>
      </c>
      <c r="G282" t="s">
        <v>8</v>
      </c>
      <c r="H282">
        <v>48</v>
      </c>
      <c r="I282">
        <v>4</v>
      </c>
      <c r="J282">
        <v>1</v>
      </c>
      <c r="K282" t="s">
        <v>47</v>
      </c>
      <c r="L282" t="s">
        <v>22</v>
      </c>
      <c r="M282" t="s">
        <v>38</v>
      </c>
      <c r="N282" t="s">
        <v>29</v>
      </c>
      <c r="O282">
        <v>3</v>
      </c>
      <c r="P282" t="s">
        <v>13</v>
      </c>
      <c r="Q282">
        <v>1</v>
      </c>
      <c r="R282" t="s">
        <v>14</v>
      </c>
      <c r="S282" t="s">
        <v>42</v>
      </c>
      <c r="T282" t="s">
        <v>25</v>
      </c>
    </row>
    <row r="283" spans="1:20" x14ac:dyDescent="0.3">
      <c r="A283" t="s">
        <v>332</v>
      </c>
      <c r="B283">
        <v>58</v>
      </c>
      <c r="C283" t="s">
        <v>34</v>
      </c>
      <c r="D283" t="s">
        <v>61</v>
      </c>
      <c r="E283" t="s">
        <v>28</v>
      </c>
      <c r="F283">
        <v>10</v>
      </c>
      <c r="G283" t="s">
        <v>21</v>
      </c>
      <c r="H283">
        <v>60</v>
      </c>
      <c r="I283">
        <v>7</v>
      </c>
      <c r="J283">
        <v>5</v>
      </c>
      <c r="K283" t="s">
        <v>9</v>
      </c>
      <c r="L283" t="s">
        <v>10</v>
      </c>
      <c r="M283" t="s">
        <v>11</v>
      </c>
      <c r="N283" t="s">
        <v>29</v>
      </c>
      <c r="O283">
        <v>3</v>
      </c>
      <c r="P283" t="s">
        <v>24</v>
      </c>
      <c r="Q283">
        <v>3</v>
      </c>
      <c r="R283" t="s">
        <v>49</v>
      </c>
      <c r="S283" t="s">
        <v>42</v>
      </c>
      <c r="T283" t="s">
        <v>16</v>
      </c>
    </row>
    <row r="284" spans="1:20" x14ac:dyDescent="0.3">
      <c r="A284" t="s">
        <v>333</v>
      </c>
      <c r="B284">
        <v>49</v>
      </c>
      <c r="C284" t="s">
        <v>34</v>
      </c>
      <c r="D284" t="s">
        <v>19</v>
      </c>
      <c r="E284" t="s">
        <v>20</v>
      </c>
      <c r="F284">
        <v>35</v>
      </c>
      <c r="G284" t="s">
        <v>21</v>
      </c>
      <c r="H284">
        <v>24</v>
      </c>
      <c r="I284">
        <v>1</v>
      </c>
      <c r="J284">
        <v>1</v>
      </c>
      <c r="K284" t="s">
        <v>9</v>
      </c>
      <c r="L284" t="s">
        <v>30</v>
      </c>
      <c r="M284" t="s">
        <v>11</v>
      </c>
      <c r="N284" t="s">
        <v>12</v>
      </c>
      <c r="O284">
        <v>5</v>
      </c>
      <c r="P284" t="s">
        <v>48</v>
      </c>
      <c r="Q284">
        <v>4</v>
      </c>
      <c r="R284" t="s">
        <v>30</v>
      </c>
      <c r="S284" t="s">
        <v>15</v>
      </c>
      <c r="T284" t="s">
        <v>25</v>
      </c>
    </row>
    <row r="285" spans="1:20" x14ac:dyDescent="0.3">
      <c r="A285" t="s">
        <v>334</v>
      </c>
      <c r="B285">
        <v>23</v>
      </c>
      <c r="C285" t="s">
        <v>5</v>
      </c>
      <c r="D285" t="s">
        <v>19</v>
      </c>
      <c r="E285" t="s">
        <v>7</v>
      </c>
      <c r="F285">
        <v>18</v>
      </c>
      <c r="G285" t="s">
        <v>21</v>
      </c>
      <c r="H285">
        <v>28</v>
      </c>
      <c r="I285">
        <v>7</v>
      </c>
      <c r="J285">
        <v>5</v>
      </c>
      <c r="K285" t="s">
        <v>37</v>
      </c>
      <c r="L285" t="s">
        <v>68</v>
      </c>
      <c r="M285" t="s">
        <v>38</v>
      </c>
      <c r="N285" t="s">
        <v>23</v>
      </c>
      <c r="O285">
        <v>1</v>
      </c>
      <c r="P285" t="s">
        <v>13</v>
      </c>
      <c r="Q285">
        <v>3</v>
      </c>
      <c r="R285" t="s">
        <v>30</v>
      </c>
      <c r="S285" t="s">
        <v>42</v>
      </c>
      <c r="T285" t="s">
        <v>25</v>
      </c>
    </row>
    <row r="286" spans="1:20" x14ac:dyDescent="0.3">
      <c r="A286" t="s">
        <v>335</v>
      </c>
      <c r="B286">
        <v>24</v>
      </c>
      <c r="C286" t="s">
        <v>5</v>
      </c>
      <c r="D286" t="s">
        <v>63</v>
      </c>
      <c r="E286" t="s">
        <v>51</v>
      </c>
      <c r="F286">
        <v>12</v>
      </c>
      <c r="G286" t="s">
        <v>8</v>
      </c>
      <c r="H286">
        <v>20</v>
      </c>
      <c r="I286">
        <v>14</v>
      </c>
      <c r="J286">
        <v>2</v>
      </c>
      <c r="K286" t="s">
        <v>47</v>
      </c>
      <c r="L286" t="s">
        <v>10</v>
      </c>
      <c r="M286" t="s">
        <v>11</v>
      </c>
      <c r="N286" t="s">
        <v>12</v>
      </c>
      <c r="O286">
        <v>2</v>
      </c>
      <c r="P286" t="s">
        <v>48</v>
      </c>
      <c r="Q286">
        <v>2</v>
      </c>
      <c r="R286" t="s">
        <v>49</v>
      </c>
      <c r="S286" t="s">
        <v>31</v>
      </c>
      <c r="T286" t="s">
        <v>55</v>
      </c>
    </row>
    <row r="287" spans="1:20" x14ac:dyDescent="0.3">
      <c r="A287" t="s">
        <v>336</v>
      </c>
      <c r="B287">
        <v>41</v>
      </c>
      <c r="C287" t="s">
        <v>46</v>
      </c>
      <c r="D287" t="s">
        <v>63</v>
      </c>
      <c r="E287" t="s">
        <v>35</v>
      </c>
      <c r="F287">
        <v>35</v>
      </c>
      <c r="G287" t="s">
        <v>36</v>
      </c>
      <c r="H287">
        <v>28</v>
      </c>
      <c r="I287">
        <v>14</v>
      </c>
      <c r="J287">
        <v>4</v>
      </c>
      <c r="K287" t="s">
        <v>9</v>
      </c>
      <c r="L287" t="s">
        <v>22</v>
      </c>
      <c r="M287" t="s">
        <v>38</v>
      </c>
      <c r="N287" t="s">
        <v>12</v>
      </c>
      <c r="O287">
        <v>1</v>
      </c>
      <c r="P287" t="s">
        <v>13</v>
      </c>
      <c r="Q287">
        <v>1</v>
      </c>
      <c r="R287" t="s">
        <v>14</v>
      </c>
      <c r="S287" t="s">
        <v>15</v>
      </c>
      <c r="T287" t="s">
        <v>25</v>
      </c>
    </row>
    <row r="288" spans="1:20" x14ac:dyDescent="0.3">
      <c r="A288" t="s">
        <v>337</v>
      </c>
      <c r="B288">
        <v>32</v>
      </c>
      <c r="C288" t="s">
        <v>18</v>
      </c>
      <c r="D288" t="s">
        <v>6</v>
      </c>
      <c r="E288" t="s">
        <v>41</v>
      </c>
      <c r="F288">
        <v>23</v>
      </c>
      <c r="G288" t="s">
        <v>21</v>
      </c>
      <c r="H288">
        <v>48</v>
      </c>
      <c r="I288">
        <v>12</v>
      </c>
      <c r="J288">
        <v>4</v>
      </c>
      <c r="K288" t="s">
        <v>9</v>
      </c>
      <c r="L288" t="s">
        <v>30</v>
      </c>
      <c r="M288" t="s">
        <v>11</v>
      </c>
      <c r="N288" t="s">
        <v>23</v>
      </c>
      <c r="O288">
        <v>5</v>
      </c>
      <c r="P288" t="s">
        <v>13</v>
      </c>
      <c r="Q288">
        <v>2</v>
      </c>
      <c r="R288" t="s">
        <v>30</v>
      </c>
      <c r="S288" t="s">
        <v>15</v>
      </c>
      <c r="T288" t="s">
        <v>58</v>
      </c>
    </row>
    <row r="289" spans="1:20" x14ac:dyDescent="0.3">
      <c r="A289" t="s">
        <v>338</v>
      </c>
      <c r="B289">
        <v>47</v>
      </c>
      <c r="C289" t="s">
        <v>46</v>
      </c>
      <c r="D289" t="s">
        <v>40</v>
      </c>
      <c r="E289" t="s">
        <v>7</v>
      </c>
      <c r="F289">
        <v>10</v>
      </c>
      <c r="G289" t="s">
        <v>8</v>
      </c>
      <c r="H289">
        <v>51</v>
      </c>
      <c r="I289">
        <v>5</v>
      </c>
      <c r="J289">
        <v>2</v>
      </c>
      <c r="K289" t="s">
        <v>37</v>
      </c>
      <c r="L289" t="s">
        <v>30</v>
      </c>
      <c r="M289" t="s">
        <v>38</v>
      </c>
      <c r="N289" t="s">
        <v>12</v>
      </c>
      <c r="O289">
        <v>3</v>
      </c>
      <c r="P289" t="s">
        <v>48</v>
      </c>
      <c r="Q289">
        <v>1</v>
      </c>
      <c r="R289" t="s">
        <v>30</v>
      </c>
      <c r="S289" t="s">
        <v>15</v>
      </c>
      <c r="T289" t="s">
        <v>58</v>
      </c>
    </row>
    <row r="290" spans="1:20" x14ac:dyDescent="0.3">
      <c r="A290" t="s">
        <v>339</v>
      </c>
      <c r="B290">
        <v>23</v>
      </c>
      <c r="C290" t="s">
        <v>5</v>
      </c>
      <c r="D290" t="s">
        <v>61</v>
      </c>
      <c r="E290" t="s">
        <v>20</v>
      </c>
      <c r="F290">
        <v>22</v>
      </c>
      <c r="G290" t="s">
        <v>8</v>
      </c>
      <c r="H290">
        <v>39</v>
      </c>
      <c r="I290">
        <v>5</v>
      </c>
      <c r="J290">
        <v>4</v>
      </c>
      <c r="K290" t="s">
        <v>47</v>
      </c>
      <c r="L290" t="s">
        <v>22</v>
      </c>
      <c r="M290" t="s">
        <v>11</v>
      </c>
      <c r="N290" t="s">
        <v>12</v>
      </c>
      <c r="O290">
        <v>5</v>
      </c>
      <c r="P290" t="s">
        <v>48</v>
      </c>
      <c r="Q290">
        <v>2</v>
      </c>
      <c r="R290" t="s">
        <v>14</v>
      </c>
      <c r="S290" t="s">
        <v>31</v>
      </c>
      <c r="T290" t="s">
        <v>58</v>
      </c>
    </row>
    <row r="291" spans="1:20" x14ac:dyDescent="0.3">
      <c r="A291" t="s">
        <v>340</v>
      </c>
      <c r="B291">
        <v>34</v>
      </c>
      <c r="C291" t="s">
        <v>46</v>
      </c>
      <c r="D291" t="s">
        <v>57</v>
      </c>
      <c r="E291" t="s">
        <v>64</v>
      </c>
      <c r="F291">
        <v>14</v>
      </c>
      <c r="G291" t="s">
        <v>21</v>
      </c>
      <c r="H291">
        <v>25</v>
      </c>
      <c r="I291">
        <v>2</v>
      </c>
      <c r="J291">
        <v>4</v>
      </c>
      <c r="K291" t="s">
        <v>9</v>
      </c>
      <c r="L291" t="s">
        <v>22</v>
      </c>
      <c r="M291" t="s">
        <v>11</v>
      </c>
      <c r="N291" t="s">
        <v>29</v>
      </c>
      <c r="O291">
        <v>1</v>
      </c>
      <c r="P291" t="s">
        <v>48</v>
      </c>
      <c r="Q291">
        <v>2</v>
      </c>
      <c r="R291" t="s">
        <v>30</v>
      </c>
      <c r="S291" t="s">
        <v>31</v>
      </c>
      <c r="T291" t="s">
        <v>32</v>
      </c>
    </row>
    <row r="292" spans="1:20" x14ac:dyDescent="0.3">
      <c r="A292" t="s">
        <v>341</v>
      </c>
      <c r="B292">
        <v>42</v>
      </c>
      <c r="C292" t="s">
        <v>34</v>
      </c>
      <c r="D292" t="s">
        <v>40</v>
      </c>
      <c r="E292" t="s">
        <v>20</v>
      </c>
      <c r="F292">
        <v>32</v>
      </c>
      <c r="G292" t="s">
        <v>8</v>
      </c>
      <c r="H292">
        <v>53</v>
      </c>
      <c r="I292">
        <v>12</v>
      </c>
      <c r="J292">
        <v>1</v>
      </c>
      <c r="K292" t="s">
        <v>37</v>
      </c>
      <c r="L292" t="s">
        <v>30</v>
      </c>
      <c r="M292" t="s">
        <v>11</v>
      </c>
      <c r="N292" t="s">
        <v>12</v>
      </c>
      <c r="O292">
        <v>4</v>
      </c>
      <c r="P292" t="s">
        <v>24</v>
      </c>
      <c r="Q292">
        <v>3</v>
      </c>
      <c r="R292" t="s">
        <v>14</v>
      </c>
      <c r="S292" t="s">
        <v>42</v>
      </c>
      <c r="T292" t="s">
        <v>16</v>
      </c>
    </row>
    <row r="293" spans="1:20" x14ac:dyDescent="0.3">
      <c r="A293" t="s">
        <v>342</v>
      </c>
      <c r="B293">
        <v>42</v>
      </c>
      <c r="C293" t="s">
        <v>46</v>
      </c>
      <c r="D293" t="s">
        <v>6</v>
      </c>
      <c r="E293" t="s">
        <v>20</v>
      </c>
      <c r="F293">
        <v>10</v>
      </c>
      <c r="G293" t="s">
        <v>8</v>
      </c>
      <c r="H293">
        <v>44</v>
      </c>
      <c r="I293">
        <v>13</v>
      </c>
      <c r="J293">
        <v>4</v>
      </c>
      <c r="K293" t="s">
        <v>37</v>
      </c>
      <c r="L293" t="s">
        <v>68</v>
      </c>
      <c r="M293" t="s">
        <v>38</v>
      </c>
      <c r="N293" t="s">
        <v>12</v>
      </c>
      <c r="O293">
        <v>4</v>
      </c>
      <c r="P293" t="s">
        <v>48</v>
      </c>
      <c r="Q293">
        <v>1</v>
      </c>
      <c r="R293" t="s">
        <v>30</v>
      </c>
      <c r="S293" t="s">
        <v>42</v>
      </c>
      <c r="T293" t="s">
        <v>25</v>
      </c>
    </row>
    <row r="294" spans="1:20" x14ac:dyDescent="0.3">
      <c r="A294" t="s">
        <v>343</v>
      </c>
      <c r="B294">
        <v>33</v>
      </c>
      <c r="C294" t="s">
        <v>18</v>
      </c>
      <c r="D294" t="s">
        <v>40</v>
      </c>
      <c r="E294" t="s">
        <v>28</v>
      </c>
      <c r="F294">
        <v>22</v>
      </c>
      <c r="G294" t="s">
        <v>8</v>
      </c>
      <c r="H294">
        <v>31</v>
      </c>
      <c r="I294">
        <v>3</v>
      </c>
      <c r="J294">
        <v>3</v>
      </c>
      <c r="K294" t="s">
        <v>9</v>
      </c>
      <c r="L294" t="s">
        <v>68</v>
      </c>
      <c r="M294" t="s">
        <v>38</v>
      </c>
      <c r="N294" t="s">
        <v>23</v>
      </c>
      <c r="O294">
        <v>4</v>
      </c>
      <c r="P294" t="s">
        <v>48</v>
      </c>
      <c r="Q294">
        <v>3</v>
      </c>
      <c r="R294" t="s">
        <v>14</v>
      </c>
      <c r="S294" t="s">
        <v>31</v>
      </c>
      <c r="T294" t="s">
        <v>58</v>
      </c>
    </row>
    <row r="295" spans="1:20" x14ac:dyDescent="0.3">
      <c r="A295" t="s">
        <v>344</v>
      </c>
      <c r="B295">
        <v>40</v>
      </c>
      <c r="C295" t="s">
        <v>34</v>
      </c>
      <c r="D295" t="s">
        <v>61</v>
      </c>
      <c r="E295" t="s">
        <v>7</v>
      </c>
      <c r="F295">
        <v>3</v>
      </c>
      <c r="G295" t="s">
        <v>36</v>
      </c>
      <c r="H295">
        <v>58</v>
      </c>
      <c r="I295">
        <v>2</v>
      </c>
      <c r="J295">
        <v>5</v>
      </c>
      <c r="K295" t="s">
        <v>47</v>
      </c>
      <c r="L295" t="s">
        <v>10</v>
      </c>
      <c r="M295" t="s">
        <v>38</v>
      </c>
      <c r="N295" t="s">
        <v>12</v>
      </c>
      <c r="O295">
        <v>3</v>
      </c>
      <c r="P295" t="s">
        <v>24</v>
      </c>
      <c r="Q295">
        <v>3</v>
      </c>
      <c r="R295" t="s">
        <v>14</v>
      </c>
      <c r="S295" t="s">
        <v>42</v>
      </c>
      <c r="T295" t="s">
        <v>25</v>
      </c>
    </row>
    <row r="296" spans="1:20" x14ac:dyDescent="0.3">
      <c r="A296" t="s">
        <v>345</v>
      </c>
      <c r="B296">
        <v>27</v>
      </c>
      <c r="C296" t="s">
        <v>34</v>
      </c>
      <c r="D296" t="s">
        <v>57</v>
      </c>
      <c r="E296" t="s">
        <v>7</v>
      </c>
      <c r="F296">
        <v>33</v>
      </c>
      <c r="G296" t="s">
        <v>8</v>
      </c>
      <c r="H296">
        <v>26</v>
      </c>
      <c r="I296">
        <v>5</v>
      </c>
      <c r="J296">
        <v>4</v>
      </c>
      <c r="K296" t="s">
        <v>47</v>
      </c>
      <c r="L296" t="s">
        <v>10</v>
      </c>
      <c r="M296" t="s">
        <v>11</v>
      </c>
      <c r="N296" t="s">
        <v>12</v>
      </c>
      <c r="O296">
        <v>5</v>
      </c>
      <c r="P296" t="s">
        <v>13</v>
      </c>
      <c r="Q296">
        <v>4</v>
      </c>
      <c r="R296" t="s">
        <v>14</v>
      </c>
      <c r="S296" t="s">
        <v>42</v>
      </c>
      <c r="T296" t="s">
        <v>16</v>
      </c>
    </row>
    <row r="297" spans="1:20" x14ac:dyDescent="0.3">
      <c r="A297" t="s">
        <v>346</v>
      </c>
      <c r="B297">
        <v>39</v>
      </c>
      <c r="C297" t="s">
        <v>46</v>
      </c>
      <c r="D297" t="s">
        <v>19</v>
      </c>
      <c r="E297" t="s">
        <v>41</v>
      </c>
      <c r="F297">
        <v>33</v>
      </c>
      <c r="G297" t="s">
        <v>8</v>
      </c>
      <c r="H297">
        <v>20</v>
      </c>
      <c r="I297">
        <v>4</v>
      </c>
      <c r="J297">
        <v>3</v>
      </c>
      <c r="K297" t="s">
        <v>47</v>
      </c>
      <c r="L297" t="s">
        <v>30</v>
      </c>
      <c r="M297" t="s">
        <v>38</v>
      </c>
      <c r="N297" t="s">
        <v>12</v>
      </c>
      <c r="O297">
        <v>2</v>
      </c>
      <c r="P297" t="s">
        <v>24</v>
      </c>
      <c r="Q297">
        <v>3</v>
      </c>
      <c r="R297" t="s">
        <v>30</v>
      </c>
      <c r="S297" t="s">
        <v>15</v>
      </c>
      <c r="T297" t="s">
        <v>32</v>
      </c>
    </row>
    <row r="298" spans="1:20" x14ac:dyDescent="0.3">
      <c r="A298" t="s">
        <v>347</v>
      </c>
      <c r="B298">
        <v>42</v>
      </c>
      <c r="C298" t="s">
        <v>18</v>
      </c>
      <c r="D298" t="s">
        <v>57</v>
      </c>
      <c r="E298" t="s">
        <v>20</v>
      </c>
      <c r="F298">
        <v>11</v>
      </c>
      <c r="G298" t="s">
        <v>8</v>
      </c>
      <c r="H298">
        <v>28</v>
      </c>
      <c r="I298">
        <v>14</v>
      </c>
      <c r="J298">
        <v>3</v>
      </c>
      <c r="K298" t="s">
        <v>47</v>
      </c>
      <c r="L298" t="s">
        <v>30</v>
      </c>
      <c r="M298" t="s">
        <v>11</v>
      </c>
      <c r="N298" t="s">
        <v>29</v>
      </c>
      <c r="O298">
        <v>1</v>
      </c>
      <c r="P298" t="s">
        <v>24</v>
      </c>
      <c r="Q298">
        <v>2</v>
      </c>
      <c r="R298" t="s">
        <v>30</v>
      </c>
      <c r="S298" t="s">
        <v>31</v>
      </c>
      <c r="T298" t="s">
        <v>16</v>
      </c>
    </row>
    <row r="299" spans="1:20" x14ac:dyDescent="0.3">
      <c r="A299" t="s">
        <v>348</v>
      </c>
      <c r="B299">
        <v>22</v>
      </c>
      <c r="C299" t="s">
        <v>5</v>
      </c>
      <c r="D299" t="s">
        <v>40</v>
      </c>
      <c r="E299" t="s">
        <v>7</v>
      </c>
      <c r="F299">
        <v>7</v>
      </c>
      <c r="G299" t="s">
        <v>21</v>
      </c>
      <c r="H299">
        <v>35</v>
      </c>
      <c r="I299">
        <v>14</v>
      </c>
      <c r="J299">
        <v>5</v>
      </c>
      <c r="K299" t="s">
        <v>9</v>
      </c>
      <c r="L299" t="s">
        <v>68</v>
      </c>
      <c r="M299" t="s">
        <v>11</v>
      </c>
      <c r="N299" t="s">
        <v>29</v>
      </c>
      <c r="O299">
        <v>5</v>
      </c>
      <c r="P299" t="s">
        <v>48</v>
      </c>
      <c r="Q299">
        <v>5</v>
      </c>
      <c r="R299" t="s">
        <v>30</v>
      </c>
      <c r="S299" t="s">
        <v>42</v>
      </c>
      <c r="T299" t="s">
        <v>25</v>
      </c>
    </row>
    <row r="300" spans="1:20" x14ac:dyDescent="0.3">
      <c r="A300" t="s">
        <v>349</v>
      </c>
      <c r="B300">
        <v>45</v>
      </c>
      <c r="C300" t="s">
        <v>18</v>
      </c>
      <c r="D300" t="s">
        <v>57</v>
      </c>
      <c r="E300" t="s">
        <v>35</v>
      </c>
      <c r="F300">
        <v>9</v>
      </c>
      <c r="G300" t="s">
        <v>21</v>
      </c>
      <c r="H300">
        <v>30</v>
      </c>
      <c r="I300">
        <v>14</v>
      </c>
      <c r="J300">
        <v>2</v>
      </c>
      <c r="K300" t="s">
        <v>47</v>
      </c>
      <c r="L300" t="s">
        <v>30</v>
      </c>
      <c r="M300" t="s">
        <v>11</v>
      </c>
      <c r="N300" t="s">
        <v>12</v>
      </c>
      <c r="O300">
        <v>4</v>
      </c>
      <c r="P300" t="s">
        <v>48</v>
      </c>
      <c r="Q300">
        <v>2</v>
      </c>
      <c r="R300" t="s">
        <v>30</v>
      </c>
      <c r="S300" t="s">
        <v>15</v>
      </c>
      <c r="T300" t="s">
        <v>32</v>
      </c>
    </row>
    <row r="301" spans="1:20" x14ac:dyDescent="0.3">
      <c r="A301" t="s">
        <v>350</v>
      </c>
      <c r="B301">
        <v>47</v>
      </c>
      <c r="C301" t="s">
        <v>18</v>
      </c>
      <c r="D301" t="s">
        <v>19</v>
      </c>
      <c r="E301" t="s">
        <v>35</v>
      </c>
      <c r="F301">
        <v>6</v>
      </c>
      <c r="G301" t="s">
        <v>8</v>
      </c>
      <c r="H301">
        <v>28</v>
      </c>
      <c r="I301">
        <v>0</v>
      </c>
      <c r="J301">
        <v>1</v>
      </c>
      <c r="K301" t="s">
        <v>47</v>
      </c>
      <c r="L301" t="s">
        <v>30</v>
      </c>
      <c r="M301" t="s">
        <v>11</v>
      </c>
      <c r="N301" t="s">
        <v>12</v>
      </c>
      <c r="O301">
        <v>3</v>
      </c>
      <c r="P301" t="s">
        <v>24</v>
      </c>
      <c r="Q301">
        <v>2</v>
      </c>
      <c r="R301" t="s">
        <v>30</v>
      </c>
      <c r="S301" t="s">
        <v>31</v>
      </c>
      <c r="T301" t="s">
        <v>55</v>
      </c>
    </row>
    <row r="302" spans="1:20" x14ac:dyDescent="0.3">
      <c r="A302" t="s">
        <v>351</v>
      </c>
      <c r="B302">
        <v>24</v>
      </c>
      <c r="C302" t="s">
        <v>5</v>
      </c>
      <c r="D302" t="s">
        <v>61</v>
      </c>
      <c r="E302" t="s">
        <v>64</v>
      </c>
      <c r="F302">
        <v>16</v>
      </c>
      <c r="G302" t="s">
        <v>21</v>
      </c>
      <c r="H302">
        <v>21</v>
      </c>
      <c r="I302">
        <v>4</v>
      </c>
      <c r="J302">
        <v>3</v>
      </c>
      <c r="K302" t="s">
        <v>9</v>
      </c>
      <c r="L302" t="s">
        <v>22</v>
      </c>
      <c r="M302" t="s">
        <v>38</v>
      </c>
      <c r="N302" t="s">
        <v>12</v>
      </c>
      <c r="O302">
        <v>5</v>
      </c>
      <c r="P302" t="s">
        <v>48</v>
      </c>
      <c r="Q302">
        <v>3</v>
      </c>
      <c r="R302" t="s">
        <v>49</v>
      </c>
      <c r="S302" t="s">
        <v>42</v>
      </c>
      <c r="T302" t="s">
        <v>55</v>
      </c>
    </row>
    <row r="303" spans="1:20" x14ac:dyDescent="0.3">
      <c r="A303" t="s">
        <v>352</v>
      </c>
      <c r="B303">
        <v>48</v>
      </c>
      <c r="C303" t="s">
        <v>5</v>
      </c>
      <c r="D303" t="s">
        <v>6</v>
      </c>
      <c r="E303" t="s">
        <v>20</v>
      </c>
      <c r="F303">
        <v>2</v>
      </c>
      <c r="G303" t="s">
        <v>21</v>
      </c>
      <c r="H303">
        <v>56</v>
      </c>
      <c r="I303">
        <v>13</v>
      </c>
      <c r="J303">
        <v>2</v>
      </c>
      <c r="K303" t="s">
        <v>9</v>
      </c>
      <c r="L303" t="s">
        <v>10</v>
      </c>
      <c r="M303" t="s">
        <v>38</v>
      </c>
      <c r="N303" t="s">
        <v>12</v>
      </c>
      <c r="O303">
        <v>4</v>
      </c>
      <c r="P303" t="s">
        <v>13</v>
      </c>
      <c r="Q303">
        <v>5</v>
      </c>
      <c r="R303" t="s">
        <v>49</v>
      </c>
      <c r="S303" t="s">
        <v>31</v>
      </c>
      <c r="T303" t="s">
        <v>16</v>
      </c>
    </row>
    <row r="304" spans="1:20" x14ac:dyDescent="0.3">
      <c r="A304" t="s">
        <v>353</v>
      </c>
      <c r="B304">
        <v>60</v>
      </c>
      <c r="C304" t="s">
        <v>5</v>
      </c>
      <c r="D304" t="s">
        <v>27</v>
      </c>
      <c r="E304" t="s">
        <v>64</v>
      </c>
      <c r="F304">
        <v>13</v>
      </c>
      <c r="G304" t="s">
        <v>8</v>
      </c>
      <c r="H304">
        <v>25</v>
      </c>
      <c r="I304">
        <v>10</v>
      </c>
      <c r="J304">
        <v>3</v>
      </c>
      <c r="K304" t="s">
        <v>37</v>
      </c>
      <c r="L304" t="s">
        <v>68</v>
      </c>
      <c r="M304" t="s">
        <v>11</v>
      </c>
      <c r="N304" t="s">
        <v>23</v>
      </c>
      <c r="O304">
        <v>3</v>
      </c>
      <c r="P304" t="s">
        <v>24</v>
      </c>
      <c r="Q304">
        <v>2</v>
      </c>
      <c r="R304" t="s">
        <v>30</v>
      </c>
      <c r="S304" t="s">
        <v>15</v>
      </c>
      <c r="T304" t="s">
        <v>58</v>
      </c>
    </row>
    <row r="305" spans="1:20" x14ac:dyDescent="0.3">
      <c r="A305" t="s">
        <v>354</v>
      </c>
      <c r="B305">
        <v>41</v>
      </c>
      <c r="C305" t="s">
        <v>5</v>
      </c>
      <c r="D305" t="s">
        <v>27</v>
      </c>
      <c r="E305" t="s">
        <v>28</v>
      </c>
      <c r="F305">
        <v>20</v>
      </c>
      <c r="G305" t="s">
        <v>21</v>
      </c>
      <c r="H305">
        <v>21</v>
      </c>
      <c r="I305">
        <v>0</v>
      </c>
      <c r="J305">
        <v>1</v>
      </c>
      <c r="K305" t="s">
        <v>37</v>
      </c>
      <c r="L305" t="s">
        <v>30</v>
      </c>
      <c r="M305" t="s">
        <v>38</v>
      </c>
      <c r="N305" t="s">
        <v>29</v>
      </c>
      <c r="O305">
        <v>2</v>
      </c>
      <c r="P305" t="s">
        <v>48</v>
      </c>
      <c r="Q305">
        <v>2</v>
      </c>
      <c r="R305" t="s">
        <v>14</v>
      </c>
      <c r="S305" t="s">
        <v>42</v>
      </c>
      <c r="T305" t="s">
        <v>44</v>
      </c>
    </row>
    <row r="306" spans="1:20" x14ac:dyDescent="0.3">
      <c r="A306" t="s">
        <v>355</v>
      </c>
      <c r="B306">
        <v>49</v>
      </c>
      <c r="C306" t="s">
        <v>46</v>
      </c>
      <c r="D306" t="s">
        <v>63</v>
      </c>
      <c r="E306" t="s">
        <v>64</v>
      </c>
      <c r="F306">
        <v>17</v>
      </c>
      <c r="G306" t="s">
        <v>21</v>
      </c>
      <c r="H306">
        <v>50</v>
      </c>
      <c r="I306">
        <v>2</v>
      </c>
      <c r="J306">
        <v>4</v>
      </c>
      <c r="K306" t="s">
        <v>9</v>
      </c>
      <c r="L306" t="s">
        <v>68</v>
      </c>
      <c r="M306" t="s">
        <v>38</v>
      </c>
      <c r="N306" t="s">
        <v>12</v>
      </c>
      <c r="O306">
        <v>5</v>
      </c>
      <c r="P306" t="s">
        <v>24</v>
      </c>
      <c r="Q306">
        <v>5</v>
      </c>
      <c r="R306" t="s">
        <v>49</v>
      </c>
      <c r="S306" t="s">
        <v>42</v>
      </c>
      <c r="T306" t="s">
        <v>58</v>
      </c>
    </row>
    <row r="307" spans="1:20" x14ac:dyDescent="0.3">
      <c r="A307" t="s">
        <v>356</v>
      </c>
      <c r="B307">
        <v>27</v>
      </c>
      <c r="C307" t="s">
        <v>46</v>
      </c>
      <c r="D307" t="s">
        <v>19</v>
      </c>
      <c r="E307" t="s">
        <v>35</v>
      </c>
      <c r="F307">
        <v>16</v>
      </c>
      <c r="G307" t="s">
        <v>36</v>
      </c>
      <c r="H307">
        <v>50</v>
      </c>
      <c r="I307">
        <v>3</v>
      </c>
      <c r="J307">
        <v>5</v>
      </c>
      <c r="K307" t="s">
        <v>37</v>
      </c>
      <c r="L307" t="s">
        <v>68</v>
      </c>
      <c r="M307" t="s">
        <v>38</v>
      </c>
      <c r="N307" t="s">
        <v>29</v>
      </c>
      <c r="O307">
        <v>2</v>
      </c>
      <c r="P307" t="s">
        <v>13</v>
      </c>
      <c r="Q307">
        <v>5</v>
      </c>
      <c r="R307" t="s">
        <v>14</v>
      </c>
      <c r="S307" t="s">
        <v>15</v>
      </c>
      <c r="T307" t="s">
        <v>16</v>
      </c>
    </row>
    <row r="308" spans="1:20" x14ac:dyDescent="0.3">
      <c r="A308" t="s">
        <v>357</v>
      </c>
      <c r="B308">
        <v>35</v>
      </c>
      <c r="C308" t="s">
        <v>46</v>
      </c>
      <c r="D308" t="s">
        <v>57</v>
      </c>
      <c r="E308" t="s">
        <v>51</v>
      </c>
      <c r="F308">
        <v>14</v>
      </c>
      <c r="G308" t="s">
        <v>8</v>
      </c>
      <c r="H308">
        <v>27</v>
      </c>
      <c r="I308">
        <v>10</v>
      </c>
      <c r="J308">
        <v>2</v>
      </c>
      <c r="K308" t="s">
        <v>47</v>
      </c>
      <c r="L308" t="s">
        <v>10</v>
      </c>
      <c r="M308" t="s">
        <v>38</v>
      </c>
      <c r="N308" t="s">
        <v>12</v>
      </c>
      <c r="O308">
        <v>4</v>
      </c>
      <c r="P308" t="s">
        <v>13</v>
      </c>
      <c r="Q308">
        <v>5</v>
      </c>
      <c r="R308" t="s">
        <v>30</v>
      </c>
      <c r="S308" t="s">
        <v>42</v>
      </c>
      <c r="T308" t="s">
        <v>25</v>
      </c>
    </row>
    <row r="309" spans="1:20" x14ac:dyDescent="0.3">
      <c r="A309" t="s">
        <v>358</v>
      </c>
      <c r="B309">
        <v>23</v>
      </c>
      <c r="C309" t="s">
        <v>34</v>
      </c>
      <c r="D309" t="s">
        <v>27</v>
      </c>
      <c r="E309" t="s">
        <v>41</v>
      </c>
      <c r="F309">
        <v>3</v>
      </c>
      <c r="G309" t="s">
        <v>36</v>
      </c>
      <c r="H309">
        <v>31</v>
      </c>
      <c r="I309">
        <v>14</v>
      </c>
      <c r="J309">
        <v>4</v>
      </c>
      <c r="K309" t="s">
        <v>9</v>
      </c>
      <c r="L309" t="s">
        <v>10</v>
      </c>
      <c r="M309" t="s">
        <v>38</v>
      </c>
      <c r="N309" t="s">
        <v>23</v>
      </c>
      <c r="O309">
        <v>1</v>
      </c>
      <c r="P309" t="s">
        <v>24</v>
      </c>
      <c r="Q309">
        <v>2</v>
      </c>
      <c r="R309" t="s">
        <v>14</v>
      </c>
      <c r="S309" t="s">
        <v>42</v>
      </c>
      <c r="T309" t="s">
        <v>32</v>
      </c>
    </row>
    <row r="310" spans="1:20" x14ac:dyDescent="0.3">
      <c r="A310" t="s">
        <v>359</v>
      </c>
      <c r="B310">
        <v>24</v>
      </c>
      <c r="C310" t="s">
        <v>46</v>
      </c>
      <c r="D310" t="s">
        <v>61</v>
      </c>
      <c r="E310" t="s">
        <v>35</v>
      </c>
      <c r="F310">
        <v>27</v>
      </c>
      <c r="G310" t="s">
        <v>8</v>
      </c>
      <c r="H310">
        <v>45</v>
      </c>
      <c r="I310">
        <v>11</v>
      </c>
      <c r="J310">
        <v>3</v>
      </c>
      <c r="K310" t="s">
        <v>47</v>
      </c>
      <c r="L310" t="s">
        <v>22</v>
      </c>
      <c r="M310" t="s">
        <v>38</v>
      </c>
      <c r="N310" t="s">
        <v>23</v>
      </c>
      <c r="O310">
        <v>3</v>
      </c>
      <c r="P310" t="s">
        <v>24</v>
      </c>
      <c r="Q310">
        <v>4</v>
      </c>
      <c r="R310" t="s">
        <v>49</v>
      </c>
      <c r="S310" t="s">
        <v>15</v>
      </c>
      <c r="T310" t="s">
        <v>58</v>
      </c>
    </row>
    <row r="311" spans="1:20" x14ac:dyDescent="0.3">
      <c r="A311" t="s">
        <v>360</v>
      </c>
      <c r="B311">
        <v>41</v>
      </c>
      <c r="C311" t="s">
        <v>5</v>
      </c>
      <c r="D311" t="s">
        <v>40</v>
      </c>
      <c r="E311" t="s">
        <v>28</v>
      </c>
      <c r="F311">
        <v>25</v>
      </c>
      <c r="G311" t="s">
        <v>21</v>
      </c>
      <c r="H311">
        <v>23</v>
      </c>
      <c r="I311">
        <v>8</v>
      </c>
      <c r="J311">
        <v>2</v>
      </c>
      <c r="K311" t="s">
        <v>9</v>
      </c>
      <c r="L311" t="s">
        <v>30</v>
      </c>
      <c r="M311" t="s">
        <v>38</v>
      </c>
      <c r="N311" t="s">
        <v>29</v>
      </c>
      <c r="O311">
        <v>2</v>
      </c>
      <c r="P311" t="s">
        <v>24</v>
      </c>
      <c r="Q311">
        <v>2</v>
      </c>
      <c r="R311" t="s">
        <v>49</v>
      </c>
      <c r="S311" t="s">
        <v>31</v>
      </c>
      <c r="T311" t="s">
        <v>58</v>
      </c>
    </row>
    <row r="312" spans="1:20" x14ac:dyDescent="0.3">
      <c r="A312" t="s">
        <v>361</v>
      </c>
      <c r="B312">
        <v>41</v>
      </c>
      <c r="C312" t="s">
        <v>46</v>
      </c>
      <c r="D312" t="s">
        <v>61</v>
      </c>
      <c r="E312" t="s">
        <v>20</v>
      </c>
      <c r="F312">
        <v>32</v>
      </c>
      <c r="G312" t="s">
        <v>36</v>
      </c>
      <c r="H312">
        <v>42</v>
      </c>
      <c r="I312">
        <v>14</v>
      </c>
      <c r="J312">
        <v>3</v>
      </c>
      <c r="K312" t="s">
        <v>47</v>
      </c>
      <c r="L312" t="s">
        <v>30</v>
      </c>
      <c r="M312" t="s">
        <v>38</v>
      </c>
      <c r="N312" t="s">
        <v>29</v>
      </c>
      <c r="O312">
        <v>3</v>
      </c>
      <c r="P312" t="s">
        <v>48</v>
      </c>
      <c r="Q312">
        <v>1</v>
      </c>
      <c r="R312" t="s">
        <v>14</v>
      </c>
      <c r="S312" t="s">
        <v>15</v>
      </c>
      <c r="T312" t="s">
        <v>25</v>
      </c>
    </row>
    <row r="313" spans="1:20" x14ac:dyDescent="0.3">
      <c r="A313" t="s">
        <v>362</v>
      </c>
      <c r="B313">
        <v>43</v>
      </c>
      <c r="C313" t="s">
        <v>18</v>
      </c>
      <c r="D313" t="s">
        <v>19</v>
      </c>
      <c r="E313" t="s">
        <v>35</v>
      </c>
      <c r="F313">
        <v>16</v>
      </c>
      <c r="G313" t="s">
        <v>36</v>
      </c>
      <c r="H313">
        <v>37</v>
      </c>
      <c r="I313">
        <v>8</v>
      </c>
      <c r="J313">
        <v>1</v>
      </c>
      <c r="K313" t="s">
        <v>9</v>
      </c>
      <c r="L313" t="s">
        <v>30</v>
      </c>
      <c r="M313" t="s">
        <v>11</v>
      </c>
      <c r="N313" t="s">
        <v>12</v>
      </c>
      <c r="O313">
        <v>2</v>
      </c>
      <c r="P313" t="s">
        <v>48</v>
      </c>
      <c r="Q313">
        <v>4</v>
      </c>
      <c r="R313" t="s">
        <v>14</v>
      </c>
      <c r="S313" t="s">
        <v>15</v>
      </c>
      <c r="T313" t="s">
        <v>55</v>
      </c>
    </row>
    <row r="314" spans="1:20" x14ac:dyDescent="0.3">
      <c r="A314" t="s">
        <v>363</v>
      </c>
      <c r="B314">
        <v>30</v>
      </c>
      <c r="C314" t="s">
        <v>5</v>
      </c>
      <c r="D314" t="s">
        <v>40</v>
      </c>
      <c r="E314" t="s">
        <v>20</v>
      </c>
      <c r="F314">
        <v>15</v>
      </c>
      <c r="G314" t="s">
        <v>36</v>
      </c>
      <c r="H314">
        <v>40</v>
      </c>
      <c r="I314">
        <v>7</v>
      </c>
      <c r="J314">
        <v>5</v>
      </c>
      <c r="K314" t="s">
        <v>47</v>
      </c>
      <c r="L314" t="s">
        <v>22</v>
      </c>
      <c r="M314" t="s">
        <v>38</v>
      </c>
      <c r="N314" t="s">
        <v>23</v>
      </c>
      <c r="O314">
        <v>2</v>
      </c>
      <c r="P314" t="s">
        <v>48</v>
      </c>
      <c r="Q314">
        <v>1</v>
      </c>
      <c r="R314" t="s">
        <v>49</v>
      </c>
      <c r="S314" t="s">
        <v>15</v>
      </c>
      <c r="T314" t="s">
        <v>44</v>
      </c>
    </row>
    <row r="315" spans="1:20" x14ac:dyDescent="0.3">
      <c r="A315" t="s">
        <v>364</v>
      </c>
      <c r="B315">
        <v>44</v>
      </c>
      <c r="C315" t="s">
        <v>34</v>
      </c>
      <c r="D315" t="s">
        <v>6</v>
      </c>
      <c r="E315" t="s">
        <v>64</v>
      </c>
      <c r="F315">
        <v>26</v>
      </c>
      <c r="G315" t="s">
        <v>36</v>
      </c>
      <c r="H315">
        <v>23</v>
      </c>
      <c r="I315">
        <v>1</v>
      </c>
      <c r="J315">
        <v>3</v>
      </c>
      <c r="K315" t="s">
        <v>37</v>
      </c>
      <c r="L315" t="s">
        <v>10</v>
      </c>
      <c r="M315" t="s">
        <v>38</v>
      </c>
      <c r="N315" t="s">
        <v>12</v>
      </c>
      <c r="O315">
        <v>2</v>
      </c>
      <c r="P315" t="s">
        <v>24</v>
      </c>
      <c r="Q315">
        <v>5</v>
      </c>
      <c r="R315" t="s">
        <v>14</v>
      </c>
      <c r="S315" t="s">
        <v>15</v>
      </c>
      <c r="T315" t="s">
        <v>58</v>
      </c>
    </row>
    <row r="316" spans="1:20" x14ac:dyDescent="0.3">
      <c r="A316" t="s">
        <v>365</v>
      </c>
      <c r="B316">
        <v>50</v>
      </c>
      <c r="C316" t="s">
        <v>34</v>
      </c>
      <c r="D316" t="s">
        <v>57</v>
      </c>
      <c r="E316" t="s">
        <v>28</v>
      </c>
      <c r="F316">
        <v>22</v>
      </c>
      <c r="G316" t="s">
        <v>21</v>
      </c>
      <c r="H316">
        <v>20</v>
      </c>
      <c r="I316">
        <v>3</v>
      </c>
      <c r="J316">
        <v>3</v>
      </c>
      <c r="K316" t="s">
        <v>9</v>
      </c>
      <c r="L316" t="s">
        <v>68</v>
      </c>
      <c r="M316" t="s">
        <v>38</v>
      </c>
      <c r="N316" t="s">
        <v>12</v>
      </c>
      <c r="O316">
        <v>1</v>
      </c>
      <c r="P316" t="s">
        <v>24</v>
      </c>
      <c r="Q316">
        <v>4</v>
      </c>
      <c r="R316" t="s">
        <v>30</v>
      </c>
      <c r="S316" t="s">
        <v>31</v>
      </c>
      <c r="T316" t="s">
        <v>32</v>
      </c>
    </row>
    <row r="317" spans="1:20" x14ac:dyDescent="0.3">
      <c r="A317" t="s">
        <v>366</v>
      </c>
      <c r="B317">
        <v>48</v>
      </c>
      <c r="C317" t="s">
        <v>5</v>
      </c>
      <c r="D317" t="s">
        <v>61</v>
      </c>
      <c r="E317" t="s">
        <v>51</v>
      </c>
      <c r="F317">
        <v>16</v>
      </c>
      <c r="G317" t="s">
        <v>21</v>
      </c>
      <c r="H317">
        <v>51</v>
      </c>
      <c r="I317">
        <v>8</v>
      </c>
      <c r="J317">
        <v>5</v>
      </c>
      <c r="K317" t="s">
        <v>9</v>
      </c>
      <c r="L317" t="s">
        <v>22</v>
      </c>
      <c r="M317" t="s">
        <v>11</v>
      </c>
      <c r="N317" t="s">
        <v>23</v>
      </c>
      <c r="O317">
        <v>2</v>
      </c>
      <c r="P317" t="s">
        <v>48</v>
      </c>
      <c r="Q317">
        <v>5</v>
      </c>
      <c r="R317" t="s">
        <v>14</v>
      </c>
      <c r="S317" t="s">
        <v>31</v>
      </c>
      <c r="T317" t="s">
        <v>25</v>
      </c>
    </row>
    <row r="318" spans="1:20" x14ac:dyDescent="0.3">
      <c r="A318" t="s">
        <v>367</v>
      </c>
      <c r="B318">
        <v>45</v>
      </c>
      <c r="C318" t="s">
        <v>34</v>
      </c>
      <c r="D318" t="s">
        <v>57</v>
      </c>
      <c r="E318" t="s">
        <v>20</v>
      </c>
      <c r="F318">
        <v>2</v>
      </c>
      <c r="G318" t="s">
        <v>36</v>
      </c>
      <c r="H318">
        <v>46</v>
      </c>
      <c r="I318">
        <v>1</v>
      </c>
      <c r="J318">
        <v>2</v>
      </c>
      <c r="K318" t="s">
        <v>47</v>
      </c>
      <c r="L318" t="s">
        <v>10</v>
      </c>
      <c r="M318" t="s">
        <v>38</v>
      </c>
      <c r="N318" t="s">
        <v>12</v>
      </c>
      <c r="O318">
        <v>3</v>
      </c>
      <c r="P318" t="s">
        <v>48</v>
      </c>
      <c r="Q318">
        <v>1</v>
      </c>
      <c r="R318" t="s">
        <v>49</v>
      </c>
      <c r="S318" t="s">
        <v>15</v>
      </c>
      <c r="T318" t="s">
        <v>25</v>
      </c>
    </row>
    <row r="319" spans="1:20" x14ac:dyDescent="0.3">
      <c r="A319" t="s">
        <v>368</v>
      </c>
      <c r="B319">
        <v>60</v>
      </c>
      <c r="C319" t="s">
        <v>34</v>
      </c>
      <c r="D319" t="s">
        <v>6</v>
      </c>
      <c r="E319" t="s">
        <v>28</v>
      </c>
      <c r="F319">
        <v>6</v>
      </c>
      <c r="G319" t="s">
        <v>21</v>
      </c>
      <c r="H319">
        <v>37</v>
      </c>
      <c r="I319">
        <v>7</v>
      </c>
      <c r="J319">
        <v>2</v>
      </c>
      <c r="K319" t="s">
        <v>9</v>
      </c>
      <c r="L319" t="s">
        <v>22</v>
      </c>
      <c r="M319" t="s">
        <v>38</v>
      </c>
      <c r="N319" t="s">
        <v>23</v>
      </c>
      <c r="O319">
        <v>1</v>
      </c>
      <c r="P319" t="s">
        <v>13</v>
      </c>
      <c r="Q319">
        <v>2</v>
      </c>
      <c r="R319" t="s">
        <v>14</v>
      </c>
      <c r="S319" t="s">
        <v>31</v>
      </c>
      <c r="T319" t="s">
        <v>16</v>
      </c>
    </row>
    <row r="320" spans="1:20" x14ac:dyDescent="0.3">
      <c r="A320" t="s">
        <v>369</v>
      </c>
      <c r="B320">
        <v>51</v>
      </c>
      <c r="C320" t="s">
        <v>46</v>
      </c>
      <c r="D320" t="s">
        <v>63</v>
      </c>
      <c r="E320" t="s">
        <v>28</v>
      </c>
      <c r="F320">
        <v>6</v>
      </c>
      <c r="G320" t="s">
        <v>36</v>
      </c>
      <c r="H320">
        <v>42</v>
      </c>
      <c r="I320">
        <v>4</v>
      </c>
      <c r="J320">
        <v>2</v>
      </c>
      <c r="K320" t="s">
        <v>47</v>
      </c>
      <c r="L320" t="s">
        <v>68</v>
      </c>
      <c r="M320" t="s">
        <v>11</v>
      </c>
      <c r="N320" t="s">
        <v>29</v>
      </c>
      <c r="O320">
        <v>1</v>
      </c>
      <c r="P320" t="s">
        <v>24</v>
      </c>
      <c r="Q320">
        <v>5</v>
      </c>
      <c r="R320" t="s">
        <v>30</v>
      </c>
      <c r="S320" t="s">
        <v>42</v>
      </c>
      <c r="T320" t="s">
        <v>58</v>
      </c>
    </row>
    <row r="321" spans="1:20" x14ac:dyDescent="0.3">
      <c r="A321" t="s">
        <v>370</v>
      </c>
      <c r="B321">
        <v>48</v>
      </c>
      <c r="C321" t="s">
        <v>46</v>
      </c>
      <c r="D321" t="s">
        <v>6</v>
      </c>
      <c r="E321" t="s">
        <v>64</v>
      </c>
      <c r="F321">
        <v>4</v>
      </c>
      <c r="G321" t="s">
        <v>8</v>
      </c>
      <c r="H321">
        <v>53</v>
      </c>
      <c r="I321">
        <v>15</v>
      </c>
      <c r="J321">
        <v>4</v>
      </c>
      <c r="K321" t="s">
        <v>47</v>
      </c>
      <c r="L321" t="s">
        <v>30</v>
      </c>
      <c r="M321" t="s">
        <v>38</v>
      </c>
      <c r="N321" t="s">
        <v>29</v>
      </c>
      <c r="O321">
        <v>1</v>
      </c>
      <c r="P321" t="s">
        <v>48</v>
      </c>
      <c r="Q321">
        <v>2</v>
      </c>
      <c r="R321" t="s">
        <v>14</v>
      </c>
      <c r="S321" t="s">
        <v>15</v>
      </c>
      <c r="T321" t="s">
        <v>16</v>
      </c>
    </row>
    <row r="322" spans="1:20" x14ac:dyDescent="0.3">
      <c r="A322" t="s">
        <v>371</v>
      </c>
      <c r="B322">
        <v>43</v>
      </c>
      <c r="C322" t="s">
        <v>18</v>
      </c>
      <c r="D322" t="s">
        <v>57</v>
      </c>
      <c r="E322" t="s">
        <v>41</v>
      </c>
      <c r="F322">
        <v>25</v>
      </c>
      <c r="G322" t="s">
        <v>8</v>
      </c>
      <c r="H322">
        <v>26</v>
      </c>
      <c r="I322">
        <v>0</v>
      </c>
      <c r="J322">
        <v>2</v>
      </c>
      <c r="K322" t="s">
        <v>47</v>
      </c>
      <c r="L322" t="s">
        <v>68</v>
      </c>
      <c r="M322" t="s">
        <v>38</v>
      </c>
      <c r="N322" t="s">
        <v>23</v>
      </c>
      <c r="O322">
        <v>4</v>
      </c>
      <c r="P322" t="s">
        <v>48</v>
      </c>
      <c r="Q322">
        <v>3</v>
      </c>
      <c r="R322" t="s">
        <v>49</v>
      </c>
      <c r="S322" t="s">
        <v>31</v>
      </c>
      <c r="T322" t="s">
        <v>58</v>
      </c>
    </row>
    <row r="323" spans="1:20" x14ac:dyDescent="0.3">
      <c r="A323" t="s">
        <v>372</v>
      </c>
      <c r="B323">
        <v>23</v>
      </c>
      <c r="C323" t="s">
        <v>46</v>
      </c>
      <c r="D323" t="s">
        <v>57</v>
      </c>
      <c r="E323" t="s">
        <v>28</v>
      </c>
      <c r="F323">
        <v>31</v>
      </c>
      <c r="G323" t="s">
        <v>36</v>
      </c>
      <c r="H323">
        <v>48</v>
      </c>
      <c r="I323">
        <v>9</v>
      </c>
      <c r="J323">
        <v>3</v>
      </c>
      <c r="K323" t="s">
        <v>9</v>
      </c>
      <c r="L323" t="s">
        <v>30</v>
      </c>
      <c r="M323" t="s">
        <v>11</v>
      </c>
      <c r="N323" t="s">
        <v>23</v>
      </c>
      <c r="O323">
        <v>3</v>
      </c>
      <c r="P323" t="s">
        <v>13</v>
      </c>
      <c r="Q323">
        <v>5</v>
      </c>
      <c r="R323" t="s">
        <v>30</v>
      </c>
      <c r="S323" t="s">
        <v>15</v>
      </c>
      <c r="T323" t="s">
        <v>44</v>
      </c>
    </row>
    <row r="324" spans="1:20" x14ac:dyDescent="0.3">
      <c r="A324" t="s">
        <v>373</v>
      </c>
      <c r="B324">
        <v>32</v>
      </c>
      <c r="C324" t="s">
        <v>34</v>
      </c>
      <c r="D324" t="s">
        <v>57</v>
      </c>
      <c r="E324" t="s">
        <v>28</v>
      </c>
      <c r="F324">
        <v>1</v>
      </c>
      <c r="G324" t="s">
        <v>36</v>
      </c>
      <c r="H324">
        <v>58</v>
      </c>
      <c r="I324">
        <v>0</v>
      </c>
      <c r="J324">
        <v>3</v>
      </c>
      <c r="K324" t="s">
        <v>47</v>
      </c>
      <c r="L324" t="s">
        <v>22</v>
      </c>
      <c r="M324" t="s">
        <v>38</v>
      </c>
      <c r="N324" t="s">
        <v>12</v>
      </c>
      <c r="O324">
        <v>4</v>
      </c>
      <c r="P324" t="s">
        <v>48</v>
      </c>
      <c r="Q324">
        <v>5</v>
      </c>
      <c r="R324" t="s">
        <v>30</v>
      </c>
      <c r="S324" t="s">
        <v>31</v>
      </c>
      <c r="T324" t="s">
        <v>25</v>
      </c>
    </row>
    <row r="325" spans="1:20" x14ac:dyDescent="0.3">
      <c r="A325" t="s">
        <v>374</v>
      </c>
      <c r="B325">
        <v>44</v>
      </c>
      <c r="C325" t="s">
        <v>5</v>
      </c>
      <c r="D325" t="s">
        <v>6</v>
      </c>
      <c r="E325" t="s">
        <v>41</v>
      </c>
      <c r="F325">
        <v>29</v>
      </c>
      <c r="G325" t="s">
        <v>8</v>
      </c>
      <c r="H325">
        <v>52</v>
      </c>
      <c r="I325">
        <v>7</v>
      </c>
      <c r="J325">
        <v>1</v>
      </c>
      <c r="K325" t="s">
        <v>9</v>
      </c>
      <c r="L325" t="s">
        <v>68</v>
      </c>
      <c r="M325" t="s">
        <v>38</v>
      </c>
      <c r="N325" t="s">
        <v>23</v>
      </c>
      <c r="O325">
        <v>1</v>
      </c>
      <c r="P325" t="s">
        <v>13</v>
      </c>
      <c r="Q325">
        <v>2</v>
      </c>
      <c r="R325" t="s">
        <v>49</v>
      </c>
      <c r="S325" t="s">
        <v>31</v>
      </c>
      <c r="T325" t="s">
        <v>25</v>
      </c>
    </row>
    <row r="326" spans="1:20" x14ac:dyDescent="0.3">
      <c r="A326" t="s">
        <v>375</v>
      </c>
      <c r="B326">
        <v>36</v>
      </c>
      <c r="C326" t="s">
        <v>18</v>
      </c>
      <c r="D326" t="s">
        <v>57</v>
      </c>
      <c r="E326" t="s">
        <v>35</v>
      </c>
      <c r="F326">
        <v>4</v>
      </c>
      <c r="G326" t="s">
        <v>8</v>
      </c>
      <c r="H326">
        <v>52</v>
      </c>
      <c r="I326">
        <v>13</v>
      </c>
      <c r="J326">
        <v>4</v>
      </c>
      <c r="K326" t="s">
        <v>37</v>
      </c>
      <c r="L326" t="s">
        <v>22</v>
      </c>
      <c r="M326" t="s">
        <v>11</v>
      </c>
      <c r="N326" t="s">
        <v>12</v>
      </c>
      <c r="O326">
        <v>3</v>
      </c>
      <c r="P326" t="s">
        <v>13</v>
      </c>
      <c r="Q326">
        <v>1</v>
      </c>
      <c r="R326" t="s">
        <v>30</v>
      </c>
      <c r="S326" t="s">
        <v>15</v>
      </c>
      <c r="T326" t="s">
        <v>55</v>
      </c>
    </row>
    <row r="327" spans="1:20" x14ac:dyDescent="0.3">
      <c r="A327" t="s">
        <v>376</v>
      </c>
      <c r="B327">
        <v>50</v>
      </c>
      <c r="C327" t="s">
        <v>34</v>
      </c>
      <c r="D327" t="s">
        <v>61</v>
      </c>
      <c r="E327" t="s">
        <v>51</v>
      </c>
      <c r="F327">
        <v>2</v>
      </c>
      <c r="G327" t="s">
        <v>36</v>
      </c>
      <c r="H327">
        <v>49</v>
      </c>
      <c r="I327">
        <v>7</v>
      </c>
      <c r="J327">
        <v>2</v>
      </c>
      <c r="K327" t="s">
        <v>47</v>
      </c>
      <c r="L327" t="s">
        <v>30</v>
      </c>
      <c r="M327" t="s">
        <v>38</v>
      </c>
      <c r="N327" t="s">
        <v>12</v>
      </c>
      <c r="O327">
        <v>1</v>
      </c>
      <c r="P327" t="s">
        <v>24</v>
      </c>
      <c r="Q327">
        <v>3</v>
      </c>
      <c r="R327" t="s">
        <v>49</v>
      </c>
      <c r="S327" t="s">
        <v>31</v>
      </c>
      <c r="T327" t="s">
        <v>55</v>
      </c>
    </row>
    <row r="328" spans="1:20" x14ac:dyDescent="0.3">
      <c r="A328" t="s">
        <v>377</v>
      </c>
      <c r="B328">
        <v>54</v>
      </c>
      <c r="C328" t="s">
        <v>5</v>
      </c>
      <c r="D328" t="s">
        <v>57</v>
      </c>
      <c r="E328" t="s">
        <v>41</v>
      </c>
      <c r="F328">
        <v>19</v>
      </c>
      <c r="G328" t="s">
        <v>8</v>
      </c>
      <c r="H328">
        <v>55</v>
      </c>
      <c r="I328">
        <v>4</v>
      </c>
      <c r="J328">
        <v>2</v>
      </c>
      <c r="K328" t="s">
        <v>37</v>
      </c>
      <c r="L328" t="s">
        <v>22</v>
      </c>
      <c r="M328" t="s">
        <v>11</v>
      </c>
      <c r="N328" t="s">
        <v>23</v>
      </c>
      <c r="O328">
        <v>5</v>
      </c>
      <c r="P328" t="s">
        <v>24</v>
      </c>
      <c r="Q328">
        <v>4</v>
      </c>
      <c r="R328" t="s">
        <v>14</v>
      </c>
      <c r="S328" t="s">
        <v>31</v>
      </c>
      <c r="T328" t="s">
        <v>32</v>
      </c>
    </row>
    <row r="329" spans="1:20" x14ac:dyDescent="0.3">
      <c r="A329" t="s">
        <v>378</v>
      </c>
      <c r="B329">
        <v>54</v>
      </c>
      <c r="C329" t="s">
        <v>34</v>
      </c>
      <c r="D329" t="s">
        <v>61</v>
      </c>
      <c r="E329" t="s">
        <v>7</v>
      </c>
      <c r="F329">
        <v>13</v>
      </c>
      <c r="G329" t="s">
        <v>21</v>
      </c>
      <c r="H329">
        <v>33</v>
      </c>
      <c r="I329">
        <v>0</v>
      </c>
      <c r="J329">
        <v>2</v>
      </c>
      <c r="K329" t="s">
        <v>37</v>
      </c>
      <c r="L329" t="s">
        <v>10</v>
      </c>
      <c r="M329" t="s">
        <v>38</v>
      </c>
      <c r="N329" t="s">
        <v>23</v>
      </c>
      <c r="O329">
        <v>4</v>
      </c>
      <c r="P329" t="s">
        <v>24</v>
      </c>
      <c r="Q329">
        <v>3</v>
      </c>
      <c r="R329" t="s">
        <v>14</v>
      </c>
      <c r="S329" t="s">
        <v>42</v>
      </c>
      <c r="T329" t="s">
        <v>55</v>
      </c>
    </row>
    <row r="330" spans="1:20" x14ac:dyDescent="0.3">
      <c r="A330" t="s">
        <v>379</v>
      </c>
      <c r="B330">
        <v>33</v>
      </c>
      <c r="C330" t="s">
        <v>46</v>
      </c>
      <c r="D330" t="s">
        <v>6</v>
      </c>
      <c r="E330" t="s">
        <v>7</v>
      </c>
      <c r="F330">
        <v>2</v>
      </c>
      <c r="G330" t="s">
        <v>36</v>
      </c>
      <c r="H330">
        <v>24</v>
      </c>
      <c r="I330">
        <v>12</v>
      </c>
      <c r="J330">
        <v>1</v>
      </c>
      <c r="K330" t="s">
        <v>37</v>
      </c>
      <c r="L330" t="s">
        <v>10</v>
      </c>
      <c r="M330" t="s">
        <v>38</v>
      </c>
      <c r="N330" t="s">
        <v>23</v>
      </c>
      <c r="O330">
        <v>1</v>
      </c>
      <c r="P330" t="s">
        <v>48</v>
      </c>
      <c r="Q330">
        <v>4</v>
      </c>
      <c r="R330" t="s">
        <v>49</v>
      </c>
      <c r="S330" t="s">
        <v>31</v>
      </c>
      <c r="T330" t="s">
        <v>44</v>
      </c>
    </row>
    <row r="331" spans="1:20" x14ac:dyDescent="0.3">
      <c r="A331" t="s">
        <v>380</v>
      </c>
      <c r="B331">
        <v>47</v>
      </c>
      <c r="C331" t="s">
        <v>46</v>
      </c>
      <c r="D331" t="s">
        <v>40</v>
      </c>
      <c r="E331" t="s">
        <v>41</v>
      </c>
      <c r="F331">
        <v>31</v>
      </c>
      <c r="G331" t="s">
        <v>36</v>
      </c>
      <c r="H331">
        <v>21</v>
      </c>
      <c r="I331">
        <v>15</v>
      </c>
      <c r="J331">
        <v>5</v>
      </c>
      <c r="K331" t="s">
        <v>47</v>
      </c>
      <c r="L331" t="s">
        <v>10</v>
      </c>
      <c r="M331" t="s">
        <v>38</v>
      </c>
      <c r="N331" t="s">
        <v>23</v>
      </c>
      <c r="O331">
        <v>3</v>
      </c>
      <c r="P331" t="s">
        <v>13</v>
      </c>
      <c r="Q331">
        <v>5</v>
      </c>
      <c r="R331" t="s">
        <v>30</v>
      </c>
      <c r="S331" t="s">
        <v>42</v>
      </c>
      <c r="T331" t="s">
        <v>32</v>
      </c>
    </row>
    <row r="332" spans="1:20" x14ac:dyDescent="0.3">
      <c r="A332" t="s">
        <v>381</v>
      </c>
      <c r="B332">
        <v>25</v>
      </c>
      <c r="C332" t="s">
        <v>46</v>
      </c>
      <c r="D332" t="s">
        <v>27</v>
      </c>
      <c r="E332" t="s">
        <v>28</v>
      </c>
      <c r="F332">
        <v>28</v>
      </c>
      <c r="G332" t="s">
        <v>21</v>
      </c>
      <c r="H332">
        <v>55</v>
      </c>
      <c r="I332">
        <v>12</v>
      </c>
      <c r="J332">
        <v>5</v>
      </c>
      <c r="K332" t="s">
        <v>47</v>
      </c>
      <c r="L332" t="s">
        <v>10</v>
      </c>
      <c r="M332" t="s">
        <v>11</v>
      </c>
      <c r="N332" t="s">
        <v>23</v>
      </c>
      <c r="O332">
        <v>3</v>
      </c>
      <c r="P332" t="s">
        <v>24</v>
      </c>
      <c r="Q332">
        <v>3</v>
      </c>
      <c r="R332" t="s">
        <v>30</v>
      </c>
      <c r="S332" t="s">
        <v>15</v>
      </c>
      <c r="T332" t="s">
        <v>58</v>
      </c>
    </row>
    <row r="333" spans="1:20" x14ac:dyDescent="0.3">
      <c r="A333" t="s">
        <v>382</v>
      </c>
      <c r="B333">
        <v>38</v>
      </c>
      <c r="C333" t="s">
        <v>34</v>
      </c>
      <c r="D333" t="s">
        <v>40</v>
      </c>
      <c r="E333" t="s">
        <v>28</v>
      </c>
      <c r="F333">
        <v>25</v>
      </c>
      <c r="G333" t="s">
        <v>21</v>
      </c>
      <c r="H333">
        <v>44</v>
      </c>
      <c r="I333">
        <v>10</v>
      </c>
      <c r="J333">
        <v>5</v>
      </c>
      <c r="K333" t="s">
        <v>9</v>
      </c>
      <c r="L333" t="s">
        <v>10</v>
      </c>
      <c r="M333" t="s">
        <v>38</v>
      </c>
      <c r="N333" t="s">
        <v>12</v>
      </c>
      <c r="O333">
        <v>1</v>
      </c>
      <c r="P333" t="s">
        <v>24</v>
      </c>
      <c r="Q333">
        <v>5</v>
      </c>
      <c r="R333" t="s">
        <v>49</v>
      </c>
      <c r="S333" t="s">
        <v>42</v>
      </c>
      <c r="T333" t="s">
        <v>16</v>
      </c>
    </row>
    <row r="334" spans="1:20" x14ac:dyDescent="0.3">
      <c r="A334" t="s">
        <v>383</v>
      </c>
      <c r="B334">
        <v>31</v>
      </c>
      <c r="C334" t="s">
        <v>18</v>
      </c>
      <c r="D334" t="s">
        <v>27</v>
      </c>
      <c r="E334" t="s">
        <v>51</v>
      </c>
      <c r="F334">
        <v>21</v>
      </c>
      <c r="G334" t="s">
        <v>36</v>
      </c>
      <c r="H334">
        <v>24</v>
      </c>
      <c r="I334">
        <v>7</v>
      </c>
      <c r="J334">
        <v>4</v>
      </c>
      <c r="K334" t="s">
        <v>9</v>
      </c>
      <c r="L334" t="s">
        <v>30</v>
      </c>
      <c r="M334" t="s">
        <v>38</v>
      </c>
      <c r="N334" t="s">
        <v>12</v>
      </c>
      <c r="O334">
        <v>5</v>
      </c>
      <c r="P334" t="s">
        <v>48</v>
      </c>
      <c r="Q334">
        <v>4</v>
      </c>
      <c r="R334" t="s">
        <v>30</v>
      </c>
      <c r="S334" t="s">
        <v>15</v>
      </c>
      <c r="T334" t="s">
        <v>25</v>
      </c>
    </row>
    <row r="335" spans="1:20" x14ac:dyDescent="0.3">
      <c r="A335" t="s">
        <v>384</v>
      </c>
      <c r="B335">
        <v>58</v>
      </c>
      <c r="C335" t="s">
        <v>34</v>
      </c>
      <c r="D335" t="s">
        <v>57</v>
      </c>
      <c r="E335" t="s">
        <v>20</v>
      </c>
      <c r="F335">
        <v>11</v>
      </c>
      <c r="G335" t="s">
        <v>36</v>
      </c>
      <c r="H335">
        <v>25</v>
      </c>
      <c r="I335">
        <v>6</v>
      </c>
      <c r="J335">
        <v>2</v>
      </c>
      <c r="K335" t="s">
        <v>37</v>
      </c>
      <c r="L335" t="s">
        <v>22</v>
      </c>
      <c r="M335" t="s">
        <v>11</v>
      </c>
      <c r="N335" t="s">
        <v>23</v>
      </c>
      <c r="O335">
        <v>5</v>
      </c>
      <c r="P335" t="s">
        <v>13</v>
      </c>
      <c r="Q335">
        <v>4</v>
      </c>
      <c r="R335" t="s">
        <v>49</v>
      </c>
      <c r="S335" t="s">
        <v>31</v>
      </c>
      <c r="T335" t="s">
        <v>55</v>
      </c>
    </row>
    <row r="336" spans="1:20" x14ac:dyDescent="0.3">
      <c r="A336" t="s">
        <v>385</v>
      </c>
      <c r="B336">
        <v>28</v>
      </c>
      <c r="C336" t="s">
        <v>46</v>
      </c>
      <c r="D336" t="s">
        <v>61</v>
      </c>
      <c r="E336" t="s">
        <v>28</v>
      </c>
      <c r="F336">
        <v>16</v>
      </c>
      <c r="G336" t="s">
        <v>8</v>
      </c>
      <c r="H336">
        <v>40</v>
      </c>
      <c r="I336">
        <v>0</v>
      </c>
      <c r="J336">
        <v>4</v>
      </c>
      <c r="K336" t="s">
        <v>37</v>
      </c>
      <c r="L336" t="s">
        <v>68</v>
      </c>
      <c r="M336" t="s">
        <v>38</v>
      </c>
      <c r="N336" t="s">
        <v>23</v>
      </c>
      <c r="O336">
        <v>2</v>
      </c>
      <c r="P336" t="s">
        <v>24</v>
      </c>
      <c r="Q336">
        <v>3</v>
      </c>
      <c r="R336" t="s">
        <v>49</v>
      </c>
      <c r="S336" t="s">
        <v>15</v>
      </c>
      <c r="T336" t="s">
        <v>58</v>
      </c>
    </row>
    <row r="337" spans="1:20" x14ac:dyDescent="0.3">
      <c r="A337" t="s">
        <v>386</v>
      </c>
      <c r="B337">
        <v>54</v>
      </c>
      <c r="C337" t="s">
        <v>46</v>
      </c>
      <c r="D337" t="s">
        <v>40</v>
      </c>
      <c r="E337" t="s">
        <v>20</v>
      </c>
      <c r="F337">
        <v>32</v>
      </c>
      <c r="G337" t="s">
        <v>8</v>
      </c>
      <c r="H337">
        <v>59</v>
      </c>
      <c r="I337">
        <v>3</v>
      </c>
      <c r="J337">
        <v>2</v>
      </c>
      <c r="K337" t="s">
        <v>47</v>
      </c>
      <c r="L337" t="s">
        <v>22</v>
      </c>
      <c r="M337" t="s">
        <v>38</v>
      </c>
      <c r="N337" t="s">
        <v>23</v>
      </c>
      <c r="O337">
        <v>2</v>
      </c>
      <c r="P337" t="s">
        <v>24</v>
      </c>
      <c r="Q337">
        <v>1</v>
      </c>
      <c r="R337" t="s">
        <v>14</v>
      </c>
      <c r="S337" t="s">
        <v>31</v>
      </c>
      <c r="T337" t="s">
        <v>25</v>
      </c>
    </row>
    <row r="338" spans="1:20" x14ac:dyDescent="0.3">
      <c r="A338" t="s">
        <v>387</v>
      </c>
      <c r="B338">
        <v>60</v>
      </c>
      <c r="C338" t="s">
        <v>18</v>
      </c>
      <c r="D338" t="s">
        <v>27</v>
      </c>
      <c r="E338" t="s">
        <v>20</v>
      </c>
      <c r="F338">
        <v>31</v>
      </c>
      <c r="G338" t="s">
        <v>36</v>
      </c>
      <c r="H338">
        <v>22</v>
      </c>
      <c r="I338">
        <v>9</v>
      </c>
      <c r="J338">
        <v>4</v>
      </c>
      <c r="K338" t="s">
        <v>37</v>
      </c>
      <c r="L338" t="s">
        <v>68</v>
      </c>
      <c r="M338" t="s">
        <v>38</v>
      </c>
      <c r="N338" t="s">
        <v>12</v>
      </c>
      <c r="O338">
        <v>1</v>
      </c>
      <c r="P338" t="s">
        <v>13</v>
      </c>
      <c r="Q338">
        <v>2</v>
      </c>
      <c r="R338" t="s">
        <v>49</v>
      </c>
      <c r="S338" t="s">
        <v>31</v>
      </c>
      <c r="T338" t="s">
        <v>44</v>
      </c>
    </row>
    <row r="339" spans="1:20" x14ac:dyDescent="0.3">
      <c r="A339" t="s">
        <v>388</v>
      </c>
      <c r="B339">
        <v>38</v>
      </c>
      <c r="C339" t="s">
        <v>5</v>
      </c>
      <c r="D339" t="s">
        <v>61</v>
      </c>
      <c r="E339" t="s">
        <v>41</v>
      </c>
      <c r="F339">
        <v>4</v>
      </c>
      <c r="G339" t="s">
        <v>8</v>
      </c>
      <c r="H339">
        <v>47</v>
      </c>
      <c r="I339">
        <v>15</v>
      </c>
      <c r="J339">
        <v>5</v>
      </c>
      <c r="K339" t="s">
        <v>9</v>
      </c>
      <c r="L339" t="s">
        <v>30</v>
      </c>
      <c r="M339" t="s">
        <v>11</v>
      </c>
      <c r="N339" t="s">
        <v>23</v>
      </c>
      <c r="O339">
        <v>2</v>
      </c>
      <c r="P339" t="s">
        <v>48</v>
      </c>
      <c r="Q339">
        <v>2</v>
      </c>
      <c r="R339" t="s">
        <v>49</v>
      </c>
      <c r="S339" t="s">
        <v>31</v>
      </c>
      <c r="T339" t="s">
        <v>32</v>
      </c>
    </row>
    <row r="340" spans="1:20" x14ac:dyDescent="0.3">
      <c r="A340" t="s">
        <v>389</v>
      </c>
      <c r="B340">
        <v>31</v>
      </c>
      <c r="C340" t="s">
        <v>18</v>
      </c>
      <c r="D340" t="s">
        <v>40</v>
      </c>
      <c r="E340" t="s">
        <v>35</v>
      </c>
      <c r="F340">
        <v>32</v>
      </c>
      <c r="G340" t="s">
        <v>8</v>
      </c>
      <c r="H340">
        <v>31</v>
      </c>
      <c r="I340">
        <v>15</v>
      </c>
      <c r="J340">
        <v>2</v>
      </c>
      <c r="K340" t="s">
        <v>47</v>
      </c>
      <c r="L340" t="s">
        <v>10</v>
      </c>
      <c r="M340" t="s">
        <v>11</v>
      </c>
      <c r="N340" t="s">
        <v>12</v>
      </c>
      <c r="O340">
        <v>1</v>
      </c>
      <c r="P340" t="s">
        <v>13</v>
      </c>
      <c r="Q340">
        <v>1</v>
      </c>
      <c r="R340" t="s">
        <v>30</v>
      </c>
      <c r="S340" t="s">
        <v>15</v>
      </c>
      <c r="T340" t="s">
        <v>16</v>
      </c>
    </row>
    <row r="341" spans="1:20" x14ac:dyDescent="0.3">
      <c r="A341" t="s">
        <v>390</v>
      </c>
      <c r="B341">
        <v>42</v>
      </c>
      <c r="C341" t="s">
        <v>5</v>
      </c>
      <c r="D341" t="s">
        <v>61</v>
      </c>
      <c r="E341" t="s">
        <v>20</v>
      </c>
      <c r="F341">
        <v>2</v>
      </c>
      <c r="G341" t="s">
        <v>36</v>
      </c>
      <c r="H341">
        <v>41</v>
      </c>
      <c r="I341">
        <v>5</v>
      </c>
      <c r="J341">
        <v>5</v>
      </c>
      <c r="K341" t="s">
        <v>37</v>
      </c>
      <c r="L341" t="s">
        <v>30</v>
      </c>
      <c r="M341" t="s">
        <v>11</v>
      </c>
      <c r="N341" t="s">
        <v>29</v>
      </c>
      <c r="O341">
        <v>1</v>
      </c>
      <c r="P341" t="s">
        <v>48</v>
      </c>
      <c r="Q341">
        <v>5</v>
      </c>
      <c r="R341" t="s">
        <v>14</v>
      </c>
      <c r="S341" t="s">
        <v>31</v>
      </c>
      <c r="T341" t="s">
        <v>44</v>
      </c>
    </row>
    <row r="342" spans="1:20" x14ac:dyDescent="0.3">
      <c r="A342" t="s">
        <v>391</v>
      </c>
      <c r="B342">
        <v>52</v>
      </c>
      <c r="C342" t="s">
        <v>18</v>
      </c>
      <c r="D342" t="s">
        <v>19</v>
      </c>
      <c r="E342" t="s">
        <v>51</v>
      </c>
      <c r="F342">
        <v>18</v>
      </c>
      <c r="G342" t="s">
        <v>21</v>
      </c>
      <c r="H342">
        <v>52</v>
      </c>
      <c r="I342">
        <v>0</v>
      </c>
      <c r="J342">
        <v>1</v>
      </c>
      <c r="K342" t="s">
        <v>37</v>
      </c>
      <c r="L342" t="s">
        <v>68</v>
      </c>
      <c r="M342" t="s">
        <v>38</v>
      </c>
      <c r="N342" t="s">
        <v>29</v>
      </c>
      <c r="O342">
        <v>2</v>
      </c>
      <c r="P342" t="s">
        <v>13</v>
      </c>
      <c r="Q342">
        <v>2</v>
      </c>
      <c r="R342" t="s">
        <v>30</v>
      </c>
      <c r="S342" t="s">
        <v>15</v>
      </c>
      <c r="T342" t="s">
        <v>32</v>
      </c>
    </row>
    <row r="343" spans="1:20" x14ac:dyDescent="0.3">
      <c r="A343" t="s">
        <v>392</v>
      </c>
      <c r="B343">
        <v>41</v>
      </c>
      <c r="C343" t="s">
        <v>18</v>
      </c>
      <c r="D343" t="s">
        <v>6</v>
      </c>
      <c r="E343" t="s">
        <v>35</v>
      </c>
      <c r="F343">
        <v>6</v>
      </c>
      <c r="G343" t="s">
        <v>8</v>
      </c>
      <c r="H343">
        <v>48</v>
      </c>
      <c r="I343">
        <v>0</v>
      </c>
      <c r="J343">
        <v>2</v>
      </c>
      <c r="K343" t="s">
        <v>47</v>
      </c>
      <c r="L343" t="s">
        <v>68</v>
      </c>
      <c r="M343" t="s">
        <v>38</v>
      </c>
      <c r="N343" t="s">
        <v>12</v>
      </c>
      <c r="O343">
        <v>5</v>
      </c>
      <c r="P343" t="s">
        <v>24</v>
      </c>
      <c r="Q343">
        <v>4</v>
      </c>
      <c r="R343" t="s">
        <v>30</v>
      </c>
      <c r="S343" t="s">
        <v>15</v>
      </c>
      <c r="T343" t="s">
        <v>25</v>
      </c>
    </row>
    <row r="344" spans="1:20" x14ac:dyDescent="0.3">
      <c r="A344" t="s">
        <v>393</v>
      </c>
      <c r="B344">
        <v>44</v>
      </c>
      <c r="C344" t="s">
        <v>34</v>
      </c>
      <c r="D344" t="s">
        <v>63</v>
      </c>
      <c r="E344" t="s">
        <v>35</v>
      </c>
      <c r="F344">
        <v>20</v>
      </c>
      <c r="G344" t="s">
        <v>36</v>
      </c>
      <c r="H344">
        <v>41</v>
      </c>
      <c r="I344">
        <v>14</v>
      </c>
      <c r="J344">
        <v>5</v>
      </c>
      <c r="K344" t="s">
        <v>9</v>
      </c>
      <c r="L344" t="s">
        <v>10</v>
      </c>
      <c r="M344" t="s">
        <v>38</v>
      </c>
      <c r="N344" t="s">
        <v>23</v>
      </c>
      <c r="O344">
        <v>1</v>
      </c>
      <c r="P344" t="s">
        <v>13</v>
      </c>
      <c r="Q344">
        <v>3</v>
      </c>
      <c r="R344" t="s">
        <v>30</v>
      </c>
      <c r="S344" t="s">
        <v>31</v>
      </c>
      <c r="T344" t="s">
        <v>32</v>
      </c>
    </row>
    <row r="345" spans="1:20" x14ac:dyDescent="0.3">
      <c r="A345" t="s">
        <v>394</v>
      </c>
      <c r="B345">
        <v>42</v>
      </c>
      <c r="C345" t="s">
        <v>18</v>
      </c>
      <c r="D345" t="s">
        <v>19</v>
      </c>
      <c r="E345" t="s">
        <v>35</v>
      </c>
      <c r="F345">
        <v>15</v>
      </c>
      <c r="G345" t="s">
        <v>21</v>
      </c>
      <c r="H345">
        <v>21</v>
      </c>
      <c r="I345">
        <v>7</v>
      </c>
      <c r="J345">
        <v>3</v>
      </c>
      <c r="K345" t="s">
        <v>37</v>
      </c>
      <c r="L345" t="s">
        <v>68</v>
      </c>
      <c r="M345" t="s">
        <v>38</v>
      </c>
      <c r="N345" t="s">
        <v>29</v>
      </c>
      <c r="O345">
        <v>4</v>
      </c>
      <c r="P345" t="s">
        <v>24</v>
      </c>
      <c r="Q345">
        <v>5</v>
      </c>
      <c r="R345" t="s">
        <v>30</v>
      </c>
      <c r="S345" t="s">
        <v>42</v>
      </c>
      <c r="T345" t="s">
        <v>44</v>
      </c>
    </row>
    <row r="346" spans="1:20" x14ac:dyDescent="0.3">
      <c r="A346" t="s">
        <v>395</v>
      </c>
      <c r="B346">
        <v>53</v>
      </c>
      <c r="C346" t="s">
        <v>34</v>
      </c>
      <c r="D346" t="s">
        <v>27</v>
      </c>
      <c r="E346" t="s">
        <v>7</v>
      </c>
      <c r="F346">
        <v>3</v>
      </c>
      <c r="G346" t="s">
        <v>8</v>
      </c>
      <c r="H346">
        <v>49</v>
      </c>
      <c r="I346">
        <v>15</v>
      </c>
      <c r="J346">
        <v>2</v>
      </c>
      <c r="K346" t="s">
        <v>47</v>
      </c>
      <c r="L346" t="s">
        <v>68</v>
      </c>
      <c r="M346" t="s">
        <v>11</v>
      </c>
      <c r="N346" t="s">
        <v>12</v>
      </c>
      <c r="O346">
        <v>2</v>
      </c>
      <c r="P346" t="s">
        <v>24</v>
      </c>
      <c r="Q346">
        <v>4</v>
      </c>
      <c r="R346" t="s">
        <v>49</v>
      </c>
      <c r="S346" t="s">
        <v>31</v>
      </c>
      <c r="T346" t="s">
        <v>58</v>
      </c>
    </row>
    <row r="347" spans="1:20" x14ac:dyDescent="0.3">
      <c r="A347" t="s">
        <v>396</v>
      </c>
      <c r="B347">
        <v>52</v>
      </c>
      <c r="C347" t="s">
        <v>18</v>
      </c>
      <c r="D347" t="s">
        <v>27</v>
      </c>
      <c r="E347" t="s">
        <v>28</v>
      </c>
      <c r="F347">
        <v>29</v>
      </c>
      <c r="G347" t="s">
        <v>21</v>
      </c>
      <c r="H347">
        <v>32</v>
      </c>
      <c r="I347">
        <v>7</v>
      </c>
      <c r="J347">
        <v>4</v>
      </c>
      <c r="K347" t="s">
        <v>37</v>
      </c>
      <c r="L347" t="s">
        <v>10</v>
      </c>
      <c r="M347" t="s">
        <v>11</v>
      </c>
      <c r="N347" t="s">
        <v>12</v>
      </c>
      <c r="O347">
        <v>3</v>
      </c>
      <c r="P347" t="s">
        <v>13</v>
      </c>
      <c r="Q347">
        <v>5</v>
      </c>
      <c r="R347" t="s">
        <v>30</v>
      </c>
      <c r="S347" t="s">
        <v>15</v>
      </c>
      <c r="T347" t="s">
        <v>32</v>
      </c>
    </row>
    <row r="348" spans="1:20" x14ac:dyDescent="0.3">
      <c r="A348" t="s">
        <v>397</v>
      </c>
      <c r="B348">
        <v>23</v>
      </c>
      <c r="C348" t="s">
        <v>5</v>
      </c>
      <c r="D348" t="s">
        <v>57</v>
      </c>
      <c r="E348" t="s">
        <v>28</v>
      </c>
      <c r="F348">
        <v>12</v>
      </c>
      <c r="G348" t="s">
        <v>21</v>
      </c>
      <c r="H348">
        <v>40</v>
      </c>
      <c r="I348">
        <v>12</v>
      </c>
      <c r="J348">
        <v>1</v>
      </c>
      <c r="K348" t="s">
        <v>9</v>
      </c>
      <c r="L348" t="s">
        <v>30</v>
      </c>
      <c r="M348" t="s">
        <v>38</v>
      </c>
      <c r="N348" t="s">
        <v>29</v>
      </c>
      <c r="O348">
        <v>1</v>
      </c>
      <c r="P348" t="s">
        <v>13</v>
      </c>
      <c r="Q348">
        <v>3</v>
      </c>
      <c r="R348" t="s">
        <v>49</v>
      </c>
      <c r="S348" t="s">
        <v>42</v>
      </c>
      <c r="T348" t="s">
        <v>58</v>
      </c>
    </row>
    <row r="349" spans="1:20" x14ac:dyDescent="0.3">
      <c r="A349" t="s">
        <v>398</v>
      </c>
      <c r="B349">
        <v>24</v>
      </c>
      <c r="C349" t="s">
        <v>18</v>
      </c>
      <c r="D349" t="s">
        <v>40</v>
      </c>
      <c r="E349" t="s">
        <v>35</v>
      </c>
      <c r="F349">
        <v>23</v>
      </c>
      <c r="G349" t="s">
        <v>36</v>
      </c>
      <c r="H349">
        <v>22</v>
      </c>
      <c r="I349">
        <v>10</v>
      </c>
      <c r="J349">
        <v>4</v>
      </c>
      <c r="K349" t="s">
        <v>37</v>
      </c>
      <c r="L349" t="s">
        <v>68</v>
      </c>
      <c r="M349" t="s">
        <v>38</v>
      </c>
      <c r="N349" t="s">
        <v>29</v>
      </c>
      <c r="O349">
        <v>3</v>
      </c>
      <c r="P349" t="s">
        <v>13</v>
      </c>
      <c r="Q349">
        <v>3</v>
      </c>
      <c r="R349" t="s">
        <v>14</v>
      </c>
      <c r="S349" t="s">
        <v>42</v>
      </c>
      <c r="T349" t="s">
        <v>58</v>
      </c>
    </row>
    <row r="350" spans="1:20" x14ac:dyDescent="0.3">
      <c r="A350" t="s">
        <v>399</v>
      </c>
      <c r="B350">
        <v>41</v>
      </c>
      <c r="C350" t="s">
        <v>46</v>
      </c>
      <c r="D350" t="s">
        <v>63</v>
      </c>
      <c r="E350" t="s">
        <v>41</v>
      </c>
      <c r="F350">
        <v>34</v>
      </c>
      <c r="G350" t="s">
        <v>8</v>
      </c>
      <c r="H350">
        <v>44</v>
      </c>
      <c r="I350">
        <v>9</v>
      </c>
      <c r="J350">
        <v>3</v>
      </c>
      <c r="K350" t="s">
        <v>47</v>
      </c>
      <c r="L350" t="s">
        <v>30</v>
      </c>
      <c r="M350" t="s">
        <v>38</v>
      </c>
      <c r="N350" t="s">
        <v>12</v>
      </c>
      <c r="O350">
        <v>2</v>
      </c>
      <c r="P350" t="s">
        <v>48</v>
      </c>
      <c r="Q350">
        <v>5</v>
      </c>
      <c r="R350" t="s">
        <v>14</v>
      </c>
      <c r="S350" t="s">
        <v>15</v>
      </c>
      <c r="T350" t="s">
        <v>25</v>
      </c>
    </row>
    <row r="351" spans="1:20" x14ac:dyDescent="0.3">
      <c r="A351" t="s">
        <v>400</v>
      </c>
      <c r="B351">
        <v>60</v>
      </c>
      <c r="C351" t="s">
        <v>46</v>
      </c>
      <c r="D351" t="s">
        <v>6</v>
      </c>
      <c r="E351" t="s">
        <v>51</v>
      </c>
      <c r="F351">
        <v>16</v>
      </c>
      <c r="G351" t="s">
        <v>36</v>
      </c>
      <c r="H351">
        <v>41</v>
      </c>
      <c r="I351">
        <v>15</v>
      </c>
      <c r="J351">
        <v>1</v>
      </c>
      <c r="K351" t="s">
        <v>9</v>
      </c>
      <c r="L351" t="s">
        <v>30</v>
      </c>
      <c r="M351" t="s">
        <v>38</v>
      </c>
      <c r="N351" t="s">
        <v>12</v>
      </c>
      <c r="O351">
        <v>4</v>
      </c>
      <c r="P351" t="s">
        <v>13</v>
      </c>
      <c r="Q351">
        <v>4</v>
      </c>
      <c r="R351" t="s">
        <v>14</v>
      </c>
      <c r="S351" t="s">
        <v>15</v>
      </c>
      <c r="T351" t="s">
        <v>58</v>
      </c>
    </row>
    <row r="352" spans="1:20" x14ac:dyDescent="0.3">
      <c r="A352" t="s">
        <v>401</v>
      </c>
      <c r="B352">
        <v>25</v>
      </c>
      <c r="C352" t="s">
        <v>46</v>
      </c>
      <c r="D352" t="s">
        <v>61</v>
      </c>
      <c r="E352" t="s">
        <v>51</v>
      </c>
      <c r="F352">
        <v>6</v>
      </c>
      <c r="G352" t="s">
        <v>21</v>
      </c>
      <c r="H352">
        <v>37</v>
      </c>
      <c r="I352">
        <v>11</v>
      </c>
      <c r="J352">
        <v>1</v>
      </c>
      <c r="K352" t="s">
        <v>37</v>
      </c>
      <c r="L352" t="s">
        <v>68</v>
      </c>
      <c r="M352" t="s">
        <v>38</v>
      </c>
      <c r="N352" t="s">
        <v>12</v>
      </c>
      <c r="O352">
        <v>3</v>
      </c>
      <c r="P352" t="s">
        <v>13</v>
      </c>
      <c r="Q352">
        <v>2</v>
      </c>
      <c r="R352" t="s">
        <v>14</v>
      </c>
      <c r="S352" t="s">
        <v>42</v>
      </c>
      <c r="T352" t="s">
        <v>44</v>
      </c>
    </row>
    <row r="353" spans="1:20" x14ac:dyDescent="0.3">
      <c r="A353" t="s">
        <v>402</v>
      </c>
      <c r="B353">
        <v>55</v>
      </c>
      <c r="C353" t="s">
        <v>46</v>
      </c>
      <c r="D353" t="s">
        <v>6</v>
      </c>
      <c r="E353" t="s">
        <v>7</v>
      </c>
      <c r="F353">
        <v>18</v>
      </c>
      <c r="G353" t="s">
        <v>36</v>
      </c>
      <c r="H353">
        <v>54</v>
      </c>
      <c r="I353">
        <v>12</v>
      </c>
      <c r="J353">
        <v>3</v>
      </c>
      <c r="K353" t="s">
        <v>9</v>
      </c>
      <c r="L353" t="s">
        <v>22</v>
      </c>
      <c r="M353" t="s">
        <v>11</v>
      </c>
      <c r="N353" t="s">
        <v>23</v>
      </c>
      <c r="O353">
        <v>2</v>
      </c>
      <c r="P353" t="s">
        <v>48</v>
      </c>
      <c r="Q353">
        <v>3</v>
      </c>
      <c r="R353" t="s">
        <v>30</v>
      </c>
      <c r="S353" t="s">
        <v>42</v>
      </c>
      <c r="T353" t="s">
        <v>32</v>
      </c>
    </row>
    <row r="354" spans="1:20" x14ac:dyDescent="0.3">
      <c r="A354" t="s">
        <v>403</v>
      </c>
      <c r="B354">
        <v>33</v>
      </c>
      <c r="C354" t="s">
        <v>5</v>
      </c>
      <c r="D354" t="s">
        <v>27</v>
      </c>
      <c r="E354" t="s">
        <v>64</v>
      </c>
      <c r="F354">
        <v>3</v>
      </c>
      <c r="G354" t="s">
        <v>36</v>
      </c>
      <c r="H354">
        <v>31</v>
      </c>
      <c r="I354">
        <v>3</v>
      </c>
      <c r="J354">
        <v>1</v>
      </c>
      <c r="K354" t="s">
        <v>47</v>
      </c>
      <c r="L354" t="s">
        <v>10</v>
      </c>
      <c r="M354" t="s">
        <v>11</v>
      </c>
      <c r="N354" t="s">
        <v>12</v>
      </c>
      <c r="O354">
        <v>2</v>
      </c>
      <c r="P354" t="s">
        <v>24</v>
      </c>
      <c r="Q354">
        <v>2</v>
      </c>
      <c r="R354" t="s">
        <v>30</v>
      </c>
      <c r="S354" t="s">
        <v>15</v>
      </c>
      <c r="T354" t="s">
        <v>44</v>
      </c>
    </row>
    <row r="355" spans="1:20" x14ac:dyDescent="0.3">
      <c r="A355" t="s">
        <v>404</v>
      </c>
      <c r="B355">
        <v>43</v>
      </c>
      <c r="C355" t="s">
        <v>46</v>
      </c>
      <c r="D355" t="s">
        <v>19</v>
      </c>
      <c r="E355" t="s">
        <v>41</v>
      </c>
      <c r="F355">
        <v>14</v>
      </c>
      <c r="G355" t="s">
        <v>8</v>
      </c>
      <c r="H355">
        <v>53</v>
      </c>
      <c r="I355">
        <v>13</v>
      </c>
      <c r="J355">
        <v>2</v>
      </c>
      <c r="K355" t="s">
        <v>9</v>
      </c>
      <c r="L355" t="s">
        <v>10</v>
      </c>
      <c r="M355" t="s">
        <v>38</v>
      </c>
      <c r="N355" t="s">
        <v>12</v>
      </c>
      <c r="O355">
        <v>5</v>
      </c>
      <c r="P355" t="s">
        <v>13</v>
      </c>
      <c r="Q355">
        <v>5</v>
      </c>
      <c r="R355" t="s">
        <v>14</v>
      </c>
      <c r="S355" t="s">
        <v>42</v>
      </c>
      <c r="T355" t="s">
        <v>58</v>
      </c>
    </row>
    <row r="356" spans="1:20" x14ac:dyDescent="0.3">
      <c r="A356" t="s">
        <v>405</v>
      </c>
      <c r="B356">
        <v>59</v>
      </c>
      <c r="C356" t="s">
        <v>34</v>
      </c>
      <c r="D356" t="s">
        <v>63</v>
      </c>
      <c r="E356" t="s">
        <v>28</v>
      </c>
      <c r="F356">
        <v>20</v>
      </c>
      <c r="G356" t="s">
        <v>21</v>
      </c>
      <c r="H356">
        <v>23</v>
      </c>
      <c r="I356">
        <v>13</v>
      </c>
      <c r="J356">
        <v>5</v>
      </c>
      <c r="K356" t="s">
        <v>9</v>
      </c>
      <c r="L356" t="s">
        <v>22</v>
      </c>
      <c r="M356" t="s">
        <v>38</v>
      </c>
      <c r="N356" t="s">
        <v>23</v>
      </c>
      <c r="O356">
        <v>4</v>
      </c>
      <c r="P356" t="s">
        <v>24</v>
      </c>
      <c r="Q356">
        <v>3</v>
      </c>
      <c r="R356" t="s">
        <v>49</v>
      </c>
      <c r="S356" t="s">
        <v>42</v>
      </c>
      <c r="T356" t="s">
        <v>58</v>
      </c>
    </row>
    <row r="357" spans="1:20" x14ac:dyDescent="0.3">
      <c r="A357" t="s">
        <v>406</v>
      </c>
      <c r="B357">
        <v>48</v>
      </c>
      <c r="C357" t="s">
        <v>34</v>
      </c>
      <c r="D357" t="s">
        <v>40</v>
      </c>
      <c r="E357" t="s">
        <v>7</v>
      </c>
      <c r="F357">
        <v>2</v>
      </c>
      <c r="G357" t="s">
        <v>21</v>
      </c>
      <c r="H357">
        <v>58</v>
      </c>
      <c r="I357">
        <v>3</v>
      </c>
      <c r="J357">
        <v>1</v>
      </c>
      <c r="K357" t="s">
        <v>47</v>
      </c>
      <c r="L357" t="s">
        <v>10</v>
      </c>
      <c r="M357" t="s">
        <v>38</v>
      </c>
      <c r="N357" t="s">
        <v>23</v>
      </c>
      <c r="O357">
        <v>2</v>
      </c>
      <c r="P357" t="s">
        <v>24</v>
      </c>
      <c r="Q357">
        <v>2</v>
      </c>
      <c r="R357" t="s">
        <v>30</v>
      </c>
      <c r="S357" t="s">
        <v>15</v>
      </c>
      <c r="T357" t="s">
        <v>44</v>
      </c>
    </row>
    <row r="358" spans="1:20" x14ac:dyDescent="0.3">
      <c r="A358" t="s">
        <v>407</v>
      </c>
      <c r="B358">
        <v>31</v>
      </c>
      <c r="C358" t="s">
        <v>5</v>
      </c>
      <c r="D358" t="s">
        <v>6</v>
      </c>
      <c r="E358" t="s">
        <v>35</v>
      </c>
      <c r="F358">
        <v>9</v>
      </c>
      <c r="G358" t="s">
        <v>21</v>
      </c>
      <c r="H358">
        <v>26</v>
      </c>
      <c r="I358">
        <v>7</v>
      </c>
      <c r="J358">
        <v>1</v>
      </c>
      <c r="K358" t="s">
        <v>47</v>
      </c>
      <c r="L358" t="s">
        <v>30</v>
      </c>
      <c r="M358" t="s">
        <v>11</v>
      </c>
      <c r="N358" t="s">
        <v>23</v>
      </c>
      <c r="O358">
        <v>2</v>
      </c>
      <c r="P358" t="s">
        <v>48</v>
      </c>
      <c r="Q358">
        <v>2</v>
      </c>
      <c r="R358" t="s">
        <v>49</v>
      </c>
      <c r="S358" t="s">
        <v>15</v>
      </c>
      <c r="T358" t="s">
        <v>25</v>
      </c>
    </row>
    <row r="359" spans="1:20" x14ac:dyDescent="0.3">
      <c r="A359" t="s">
        <v>408</v>
      </c>
      <c r="B359">
        <v>28</v>
      </c>
      <c r="C359" t="s">
        <v>34</v>
      </c>
      <c r="D359" t="s">
        <v>61</v>
      </c>
      <c r="E359" t="s">
        <v>51</v>
      </c>
      <c r="F359">
        <v>23</v>
      </c>
      <c r="G359" t="s">
        <v>21</v>
      </c>
      <c r="H359">
        <v>46</v>
      </c>
      <c r="I359">
        <v>7</v>
      </c>
      <c r="J359">
        <v>3</v>
      </c>
      <c r="K359" t="s">
        <v>9</v>
      </c>
      <c r="L359" t="s">
        <v>30</v>
      </c>
      <c r="M359" t="s">
        <v>38</v>
      </c>
      <c r="N359" t="s">
        <v>12</v>
      </c>
      <c r="O359">
        <v>4</v>
      </c>
      <c r="P359" t="s">
        <v>13</v>
      </c>
      <c r="Q359">
        <v>3</v>
      </c>
      <c r="R359" t="s">
        <v>49</v>
      </c>
      <c r="S359" t="s">
        <v>31</v>
      </c>
      <c r="T359" t="s">
        <v>25</v>
      </c>
    </row>
    <row r="360" spans="1:20" x14ac:dyDescent="0.3">
      <c r="A360" t="s">
        <v>409</v>
      </c>
      <c r="B360">
        <v>49</v>
      </c>
      <c r="C360" t="s">
        <v>34</v>
      </c>
      <c r="D360" t="s">
        <v>40</v>
      </c>
      <c r="E360" t="s">
        <v>51</v>
      </c>
      <c r="F360">
        <v>6</v>
      </c>
      <c r="G360" t="s">
        <v>21</v>
      </c>
      <c r="H360">
        <v>20</v>
      </c>
      <c r="I360">
        <v>7</v>
      </c>
      <c r="J360">
        <v>3</v>
      </c>
      <c r="K360" t="s">
        <v>9</v>
      </c>
      <c r="L360" t="s">
        <v>22</v>
      </c>
      <c r="M360" t="s">
        <v>11</v>
      </c>
      <c r="N360" t="s">
        <v>23</v>
      </c>
      <c r="O360">
        <v>4</v>
      </c>
      <c r="P360" t="s">
        <v>48</v>
      </c>
      <c r="Q360">
        <v>4</v>
      </c>
      <c r="R360" t="s">
        <v>14</v>
      </c>
      <c r="S360" t="s">
        <v>42</v>
      </c>
      <c r="T360" t="s">
        <v>44</v>
      </c>
    </row>
    <row r="361" spans="1:20" x14ac:dyDescent="0.3">
      <c r="A361" t="s">
        <v>410</v>
      </c>
      <c r="B361">
        <v>56</v>
      </c>
      <c r="C361" t="s">
        <v>46</v>
      </c>
      <c r="D361" t="s">
        <v>6</v>
      </c>
      <c r="E361" t="s">
        <v>35</v>
      </c>
      <c r="F361">
        <v>13</v>
      </c>
      <c r="G361" t="s">
        <v>8</v>
      </c>
      <c r="H361">
        <v>56</v>
      </c>
      <c r="I361">
        <v>0</v>
      </c>
      <c r="J361">
        <v>2</v>
      </c>
      <c r="K361" t="s">
        <v>9</v>
      </c>
      <c r="L361" t="s">
        <v>10</v>
      </c>
      <c r="M361" t="s">
        <v>38</v>
      </c>
      <c r="N361" t="s">
        <v>12</v>
      </c>
      <c r="O361">
        <v>4</v>
      </c>
      <c r="P361" t="s">
        <v>24</v>
      </c>
      <c r="Q361">
        <v>2</v>
      </c>
      <c r="R361" t="s">
        <v>49</v>
      </c>
      <c r="S361" t="s">
        <v>15</v>
      </c>
      <c r="T361" t="s">
        <v>16</v>
      </c>
    </row>
    <row r="362" spans="1:20" x14ac:dyDescent="0.3">
      <c r="A362" t="s">
        <v>411</v>
      </c>
      <c r="B362">
        <v>56</v>
      </c>
      <c r="C362" t="s">
        <v>5</v>
      </c>
      <c r="D362" t="s">
        <v>40</v>
      </c>
      <c r="E362" t="s">
        <v>64</v>
      </c>
      <c r="F362">
        <v>30</v>
      </c>
      <c r="G362" t="s">
        <v>36</v>
      </c>
      <c r="H362">
        <v>28</v>
      </c>
      <c r="I362">
        <v>15</v>
      </c>
      <c r="J362">
        <v>1</v>
      </c>
      <c r="K362" t="s">
        <v>9</v>
      </c>
      <c r="L362" t="s">
        <v>68</v>
      </c>
      <c r="M362" t="s">
        <v>11</v>
      </c>
      <c r="N362" t="s">
        <v>23</v>
      </c>
      <c r="O362">
        <v>1</v>
      </c>
      <c r="P362" t="s">
        <v>24</v>
      </c>
      <c r="Q362">
        <v>5</v>
      </c>
      <c r="R362" t="s">
        <v>49</v>
      </c>
      <c r="S362" t="s">
        <v>31</v>
      </c>
      <c r="T362" t="s">
        <v>25</v>
      </c>
    </row>
    <row r="363" spans="1:20" x14ac:dyDescent="0.3">
      <c r="A363" t="s">
        <v>412</v>
      </c>
      <c r="B363">
        <v>51</v>
      </c>
      <c r="C363" t="s">
        <v>18</v>
      </c>
      <c r="D363" t="s">
        <v>40</v>
      </c>
      <c r="E363" t="s">
        <v>41</v>
      </c>
      <c r="F363">
        <v>10</v>
      </c>
      <c r="G363" t="s">
        <v>8</v>
      </c>
      <c r="H363">
        <v>39</v>
      </c>
      <c r="I363">
        <v>2</v>
      </c>
      <c r="J363">
        <v>1</v>
      </c>
      <c r="K363" t="s">
        <v>9</v>
      </c>
      <c r="L363" t="s">
        <v>30</v>
      </c>
      <c r="M363" t="s">
        <v>38</v>
      </c>
      <c r="N363" t="s">
        <v>23</v>
      </c>
      <c r="O363">
        <v>5</v>
      </c>
      <c r="P363" t="s">
        <v>24</v>
      </c>
      <c r="Q363">
        <v>5</v>
      </c>
      <c r="R363" t="s">
        <v>30</v>
      </c>
      <c r="S363" t="s">
        <v>42</v>
      </c>
      <c r="T363" t="s">
        <v>16</v>
      </c>
    </row>
    <row r="364" spans="1:20" x14ac:dyDescent="0.3">
      <c r="A364" t="s">
        <v>413</v>
      </c>
      <c r="B364">
        <v>38</v>
      </c>
      <c r="C364" t="s">
        <v>5</v>
      </c>
      <c r="D364" t="s">
        <v>61</v>
      </c>
      <c r="E364" t="s">
        <v>51</v>
      </c>
      <c r="F364">
        <v>11</v>
      </c>
      <c r="G364" t="s">
        <v>36</v>
      </c>
      <c r="H364">
        <v>22</v>
      </c>
      <c r="I364">
        <v>10</v>
      </c>
      <c r="J364">
        <v>4</v>
      </c>
      <c r="K364" t="s">
        <v>9</v>
      </c>
      <c r="L364" t="s">
        <v>30</v>
      </c>
      <c r="M364" t="s">
        <v>38</v>
      </c>
      <c r="N364" t="s">
        <v>23</v>
      </c>
      <c r="O364">
        <v>1</v>
      </c>
      <c r="P364" t="s">
        <v>24</v>
      </c>
      <c r="Q364">
        <v>4</v>
      </c>
      <c r="R364" t="s">
        <v>30</v>
      </c>
      <c r="S364" t="s">
        <v>42</v>
      </c>
      <c r="T364" t="s">
        <v>44</v>
      </c>
    </row>
    <row r="365" spans="1:20" x14ac:dyDescent="0.3">
      <c r="A365" t="s">
        <v>414</v>
      </c>
      <c r="B365">
        <v>40</v>
      </c>
      <c r="C365" t="s">
        <v>34</v>
      </c>
      <c r="D365" t="s">
        <v>63</v>
      </c>
      <c r="E365" t="s">
        <v>20</v>
      </c>
      <c r="F365">
        <v>9</v>
      </c>
      <c r="G365" t="s">
        <v>36</v>
      </c>
      <c r="H365">
        <v>32</v>
      </c>
      <c r="I365">
        <v>4</v>
      </c>
      <c r="J365">
        <v>3</v>
      </c>
      <c r="K365" t="s">
        <v>37</v>
      </c>
      <c r="L365" t="s">
        <v>22</v>
      </c>
      <c r="M365" t="s">
        <v>38</v>
      </c>
      <c r="N365" t="s">
        <v>29</v>
      </c>
      <c r="O365">
        <v>2</v>
      </c>
      <c r="P365" t="s">
        <v>13</v>
      </c>
      <c r="Q365">
        <v>2</v>
      </c>
      <c r="R365" t="s">
        <v>14</v>
      </c>
      <c r="S365" t="s">
        <v>15</v>
      </c>
      <c r="T365" t="s">
        <v>44</v>
      </c>
    </row>
    <row r="366" spans="1:20" x14ac:dyDescent="0.3">
      <c r="A366" t="s">
        <v>415</v>
      </c>
      <c r="B366">
        <v>56</v>
      </c>
      <c r="C366" t="s">
        <v>5</v>
      </c>
      <c r="D366" t="s">
        <v>63</v>
      </c>
      <c r="E366" t="s">
        <v>41</v>
      </c>
      <c r="F366">
        <v>23</v>
      </c>
      <c r="G366" t="s">
        <v>8</v>
      </c>
      <c r="H366">
        <v>28</v>
      </c>
      <c r="I366">
        <v>9</v>
      </c>
      <c r="J366">
        <v>1</v>
      </c>
      <c r="K366" t="s">
        <v>47</v>
      </c>
      <c r="L366" t="s">
        <v>30</v>
      </c>
      <c r="M366" t="s">
        <v>11</v>
      </c>
      <c r="N366" t="s">
        <v>29</v>
      </c>
      <c r="O366">
        <v>2</v>
      </c>
      <c r="P366" t="s">
        <v>48</v>
      </c>
      <c r="Q366">
        <v>2</v>
      </c>
      <c r="R366" t="s">
        <v>49</v>
      </c>
      <c r="S366" t="s">
        <v>31</v>
      </c>
      <c r="T366" t="s">
        <v>58</v>
      </c>
    </row>
    <row r="367" spans="1:20" x14ac:dyDescent="0.3">
      <c r="A367" t="s">
        <v>416</v>
      </c>
      <c r="B367">
        <v>33</v>
      </c>
      <c r="C367" t="s">
        <v>5</v>
      </c>
      <c r="D367" t="s">
        <v>40</v>
      </c>
      <c r="E367" t="s">
        <v>20</v>
      </c>
      <c r="F367">
        <v>12</v>
      </c>
      <c r="G367" t="s">
        <v>8</v>
      </c>
      <c r="H367">
        <v>22</v>
      </c>
      <c r="I367">
        <v>6</v>
      </c>
      <c r="J367">
        <v>4</v>
      </c>
      <c r="K367" t="s">
        <v>9</v>
      </c>
      <c r="L367" t="s">
        <v>30</v>
      </c>
      <c r="M367" t="s">
        <v>11</v>
      </c>
      <c r="N367" t="s">
        <v>12</v>
      </c>
      <c r="O367">
        <v>2</v>
      </c>
      <c r="P367" t="s">
        <v>48</v>
      </c>
      <c r="Q367">
        <v>2</v>
      </c>
      <c r="R367" t="s">
        <v>14</v>
      </c>
      <c r="S367" t="s">
        <v>31</v>
      </c>
      <c r="T367" t="s">
        <v>44</v>
      </c>
    </row>
    <row r="368" spans="1:20" x14ac:dyDescent="0.3">
      <c r="A368" t="s">
        <v>417</v>
      </c>
      <c r="B368">
        <v>45</v>
      </c>
      <c r="C368" t="s">
        <v>34</v>
      </c>
      <c r="D368" t="s">
        <v>57</v>
      </c>
      <c r="E368" t="s">
        <v>51</v>
      </c>
      <c r="F368">
        <v>28</v>
      </c>
      <c r="G368" t="s">
        <v>36</v>
      </c>
      <c r="H368">
        <v>53</v>
      </c>
      <c r="I368">
        <v>2</v>
      </c>
      <c r="J368">
        <v>5</v>
      </c>
      <c r="K368" t="s">
        <v>9</v>
      </c>
      <c r="L368" t="s">
        <v>10</v>
      </c>
      <c r="M368" t="s">
        <v>11</v>
      </c>
      <c r="N368" t="s">
        <v>23</v>
      </c>
      <c r="O368">
        <v>3</v>
      </c>
      <c r="P368" t="s">
        <v>48</v>
      </c>
      <c r="Q368">
        <v>2</v>
      </c>
      <c r="R368" t="s">
        <v>30</v>
      </c>
      <c r="S368" t="s">
        <v>31</v>
      </c>
      <c r="T368" t="s">
        <v>16</v>
      </c>
    </row>
    <row r="369" spans="1:20" x14ac:dyDescent="0.3">
      <c r="A369" t="s">
        <v>418</v>
      </c>
      <c r="B369">
        <v>55</v>
      </c>
      <c r="C369" t="s">
        <v>5</v>
      </c>
      <c r="D369" t="s">
        <v>40</v>
      </c>
      <c r="E369" t="s">
        <v>20</v>
      </c>
      <c r="F369">
        <v>32</v>
      </c>
      <c r="G369" t="s">
        <v>8</v>
      </c>
      <c r="H369">
        <v>33</v>
      </c>
      <c r="I369">
        <v>11</v>
      </c>
      <c r="J369">
        <v>2</v>
      </c>
      <c r="K369" t="s">
        <v>9</v>
      </c>
      <c r="L369" t="s">
        <v>22</v>
      </c>
      <c r="M369" t="s">
        <v>11</v>
      </c>
      <c r="N369" t="s">
        <v>12</v>
      </c>
      <c r="O369">
        <v>2</v>
      </c>
      <c r="P369" t="s">
        <v>48</v>
      </c>
      <c r="Q369">
        <v>1</v>
      </c>
      <c r="R369" t="s">
        <v>49</v>
      </c>
      <c r="S369" t="s">
        <v>15</v>
      </c>
      <c r="T369" t="s">
        <v>16</v>
      </c>
    </row>
    <row r="370" spans="1:20" x14ac:dyDescent="0.3">
      <c r="A370" t="s">
        <v>419</v>
      </c>
      <c r="B370">
        <v>39</v>
      </c>
      <c r="C370" t="s">
        <v>18</v>
      </c>
      <c r="D370" t="s">
        <v>19</v>
      </c>
      <c r="E370" t="s">
        <v>51</v>
      </c>
      <c r="F370">
        <v>33</v>
      </c>
      <c r="G370" t="s">
        <v>21</v>
      </c>
      <c r="H370">
        <v>34</v>
      </c>
      <c r="I370">
        <v>5</v>
      </c>
      <c r="J370">
        <v>1</v>
      </c>
      <c r="K370" t="s">
        <v>37</v>
      </c>
      <c r="L370" t="s">
        <v>68</v>
      </c>
      <c r="M370" t="s">
        <v>38</v>
      </c>
      <c r="N370" t="s">
        <v>29</v>
      </c>
      <c r="O370">
        <v>4</v>
      </c>
      <c r="P370" t="s">
        <v>24</v>
      </c>
      <c r="Q370">
        <v>2</v>
      </c>
      <c r="R370" t="s">
        <v>49</v>
      </c>
      <c r="S370" t="s">
        <v>15</v>
      </c>
      <c r="T370" t="s">
        <v>44</v>
      </c>
    </row>
    <row r="371" spans="1:20" x14ac:dyDescent="0.3">
      <c r="A371" t="s">
        <v>420</v>
      </c>
      <c r="B371">
        <v>58</v>
      </c>
      <c r="C371" t="s">
        <v>5</v>
      </c>
      <c r="D371" t="s">
        <v>27</v>
      </c>
      <c r="E371" t="s">
        <v>28</v>
      </c>
      <c r="F371">
        <v>2</v>
      </c>
      <c r="G371" t="s">
        <v>21</v>
      </c>
      <c r="H371">
        <v>50</v>
      </c>
      <c r="I371">
        <v>0</v>
      </c>
      <c r="J371">
        <v>4</v>
      </c>
      <c r="K371" t="s">
        <v>47</v>
      </c>
      <c r="L371" t="s">
        <v>68</v>
      </c>
      <c r="M371" t="s">
        <v>11</v>
      </c>
      <c r="N371" t="s">
        <v>29</v>
      </c>
      <c r="O371">
        <v>1</v>
      </c>
      <c r="P371" t="s">
        <v>48</v>
      </c>
      <c r="Q371">
        <v>5</v>
      </c>
      <c r="R371" t="s">
        <v>49</v>
      </c>
      <c r="S371" t="s">
        <v>15</v>
      </c>
      <c r="T371" t="s">
        <v>58</v>
      </c>
    </row>
    <row r="372" spans="1:20" x14ac:dyDescent="0.3">
      <c r="A372" t="s">
        <v>421</v>
      </c>
      <c r="B372">
        <v>41</v>
      </c>
      <c r="C372" t="s">
        <v>5</v>
      </c>
      <c r="D372" t="s">
        <v>19</v>
      </c>
      <c r="E372" t="s">
        <v>7</v>
      </c>
      <c r="F372">
        <v>33</v>
      </c>
      <c r="G372" t="s">
        <v>36</v>
      </c>
      <c r="H372">
        <v>28</v>
      </c>
      <c r="I372">
        <v>1</v>
      </c>
      <c r="J372">
        <v>1</v>
      </c>
      <c r="K372" t="s">
        <v>9</v>
      </c>
      <c r="L372" t="s">
        <v>30</v>
      </c>
      <c r="M372" t="s">
        <v>38</v>
      </c>
      <c r="N372" t="s">
        <v>12</v>
      </c>
      <c r="O372">
        <v>1</v>
      </c>
      <c r="P372" t="s">
        <v>24</v>
      </c>
      <c r="Q372">
        <v>5</v>
      </c>
      <c r="R372" t="s">
        <v>30</v>
      </c>
      <c r="S372" t="s">
        <v>42</v>
      </c>
      <c r="T372" t="s">
        <v>55</v>
      </c>
    </row>
    <row r="373" spans="1:20" x14ac:dyDescent="0.3">
      <c r="A373" t="s">
        <v>422</v>
      </c>
      <c r="B373">
        <v>57</v>
      </c>
      <c r="C373" t="s">
        <v>46</v>
      </c>
      <c r="D373" t="s">
        <v>57</v>
      </c>
      <c r="E373" t="s">
        <v>7</v>
      </c>
      <c r="F373">
        <v>16</v>
      </c>
      <c r="G373" t="s">
        <v>36</v>
      </c>
      <c r="H373">
        <v>51</v>
      </c>
      <c r="I373">
        <v>7</v>
      </c>
      <c r="J373">
        <v>4</v>
      </c>
      <c r="K373" t="s">
        <v>9</v>
      </c>
      <c r="L373" t="s">
        <v>30</v>
      </c>
      <c r="M373" t="s">
        <v>11</v>
      </c>
      <c r="N373" t="s">
        <v>23</v>
      </c>
      <c r="O373">
        <v>2</v>
      </c>
      <c r="P373" t="s">
        <v>13</v>
      </c>
      <c r="Q373">
        <v>4</v>
      </c>
      <c r="R373" t="s">
        <v>14</v>
      </c>
      <c r="S373" t="s">
        <v>15</v>
      </c>
      <c r="T373" t="s">
        <v>16</v>
      </c>
    </row>
    <row r="374" spans="1:20" x14ac:dyDescent="0.3">
      <c r="A374" t="s">
        <v>423</v>
      </c>
      <c r="B374">
        <v>31</v>
      </c>
      <c r="C374" t="s">
        <v>18</v>
      </c>
      <c r="D374" t="s">
        <v>27</v>
      </c>
      <c r="E374" t="s">
        <v>28</v>
      </c>
      <c r="F374">
        <v>12</v>
      </c>
      <c r="G374" t="s">
        <v>21</v>
      </c>
      <c r="H374">
        <v>35</v>
      </c>
      <c r="I374">
        <v>0</v>
      </c>
      <c r="J374">
        <v>5</v>
      </c>
      <c r="K374" t="s">
        <v>37</v>
      </c>
      <c r="L374" t="s">
        <v>10</v>
      </c>
      <c r="M374" t="s">
        <v>11</v>
      </c>
      <c r="N374" t="s">
        <v>29</v>
      </c>
      <c r="O374">
        <v>5</v>
      </c>
      <c r="P374" t="s">
        <v>48</v>
      </c>
      <c r="Q374">
        <v>4</v>
      </c>
      <c r="R374" t="s">
        <v>30</v>
      </c>
      <c r="S374" t="s">
        <v>15</v>
      </c>
      <c r="T374" t="s">
        <v>58</v>
      </c>
    </row>
    <row r="375" spans="1:20" x14ac:dyDescent="0.3">
      <c r="A375" t="s">
        <v>424</v>
      </c>
      <c r="B375">
        <v>34</v>
      </c>
      <c r="C375" t="s">
        <v>46</v>
      </c>
      <c r="D375" t="s">
        <v>40</v>
      </c>
      <c r="E375" t="s">
        <v>7</v>
      </c>
      <c r="F375">
        <v>25</v>
      </c>
      <c r="G375" t="s">
        <v>21</v>
      </c>
      <c r="H375">
        <v>39</v>
      </c>
      <c r="I375">
        <v>8</v>
      </c>
      <c r="J375">
        <v>3</v>
      </c>
      <c r="K375" t="s">
        <v>9</v>
      </c>
      <c r="L375" t="s">
        <v>30</v>
      </c>
      <c r="M375" t="s">
        <v>38</v>
      </c>
      <c r="N375" t="s">
        <v>23</v>
      </c>
      <c r="O375">
        <v>2</v>
      </c>
      <c r="P375" t="s">
        <v>13</v>
      </c>
      <c r="Q375">
        <v>2</v>
      </c>
      <c r="R375" t="s">
        <v>14</v>
      </c>
      <c r="S375" t="s">
        <v>42</v>
      </c>
      <c r="T375" t="s">
        <v>55</v>
      </c>
    </row>
    <row r="376" spans="1:20" x14ac:dyDescent="0.3">
      <c r="A376" t="s">
        <v>425</v>
      </c>
      <c r="B376">
        <v>39</v>
      </c>
      <c r="C376" t="s">
        <v>46</v>
      </c>
      <c r="D376" t="s">
        <v>27</v>
      </c>
      <c r="E376" t="s">
        <v>7</v>
      </c>
      <c r="F376">
        <v>8</v>
      </c>
      <c r="G376" t="s">
        <v>8</v>
      </c>
      <c r="H376">
        <v>58</v>
      </c>
      <c r="I376">
        <v>14</v>
      </c>
      <c r="J376">
        <v>1</v>
      </c>
      <c r="K376" t="s">
        <v>37</v>
      </c>
      <c r="L376" t="s">
        <v>30</v>
      </c>
      <c r="M376" t="s">
        <v>38</v>
      </c>
      <c r="N376" t="s">
        <v>23</v>
      </c>
      <c r="O376">
        <v>1</v>
      </c>
      <c r="P376" t="s">
        <v>13</v>
      </c>
      <c r="Q376">
        <v>3</v>
      </c>
      <c r="R376" t="s">
        <v>49</v>
      </c>
      <c r="S376" t="s">
        <v>31</v>
      </c>
      <c r="T376" t="s">
        <v>55</v>
      </c>
    </row>
    <row r="377" spans="1:20" x14ac:dyDescent="0.3">
      <c r="A377" t="s">
        <v>426</v>
      </c>
      <c r="B377">
        <v>29</v>
      </c>
      <c r="C377" t="s">
        <v>5</v>
      </c>
      <c r="D377" t="s">
        <v>61</v>
      </c>
      <c r="E377" t="s">
        <v>20</v>
      </c>
      <c r="F377">
        <v>26</v>
      </c>
      <c r="G377" t="s">
        <v>8</v>
      </c>
      <c r="H377">
        <v>34</v>
      </c>
      <c r="I377">
        <v>3</v>
      </c>
      <c r="J377">
        <v>3</v>
      </c>
      <c r="K377" t="s">
        <v>47</v>
      </c>
      <c r="L377" t="s">
        <v>22</v>
      </c>
      <c r="M377" t="s">
        <v>11</v>
      </c>
      <c r="N377" t="s">
        <v>12</v>
      </c>
      <c r="O377">
        <v>2</v>
      </c>
      <c r="P377" t="s">
        <v>48</v>
      </c>
      <c r="Q377">
        <v>2</v>
      </c>
      <c r="R377" t="s">
        <v>49</v>
      </c>
      <c r="S377" t="s">
        <v>15</v>
      </c>
      <c r="T377" t="s">
        <v>55</v>
      </c>
    </row>
    <row r="378" spans="1:20" x14ac:dyDescent="0.3">
      <c r="A378" t="s">
        <v>427</v>
      </c>
      <c r="B378">
        <v>31</v>
      </c>
      <c r="C378" t="s">
        <v>46</v>
      </c>
      <c r="D378" t="s">
        <v>61</v>
      </c>
      <c r="E378" t="s">
        <v>20</v>
      </c>
      <c r="F378">
        <v>7</v>
      </c>
      <c r="G378" t="s">
        <v>8</v>
      </c>
      <c r="H378">
        <v>48</v>
      </c>
      <c r="I378">
        <v>4</v>
      </c>
      <c r="J378">
        <v>1</v>
      </c>
      <c r="K378" t="s">
        <v>9</v>
      </c>
      <c r="L378" t="s">
        <v>30</v>
      </c>
      <c r="M378" t="s">
        <v>11</v>
      </c>
      <c r="N378" t="s">
        <v>12</v>
      </c>
      <c r="O378">
        <v>2</v>
      </c>
      <c r="P378" t="s">
        <v>48</v>
      </c>
      <c r="Q378">
        <v>4</v>
      </c>
      <c r="R378" t="s">
        <v>30</v>
      </c>
      <c r="S378" t="s">
        <v>31</v>
      </c>
      <c r="T378" t="s">
        <v>44</v>
      </c>
    </row>
    <row r="379" spans="1:20" x14ac:dyDescent="0.3">
      <c r="A379" t="s">
        <v>428</v>
      </c>
      <c r="B379">
        <v>30</v>
      </c>
      <c r="C379" t="s">
        <v>18</v>
      </c>
      <c r="D379" t="s">
        <v>61</v>
      </c>
      <c r="E379" t="s">
        <v>7</v>
      </c>
      <c r="F379">
        <v>2</v>
      </c>
      <c r="G379" t="s">
        <v>21</v>
      </c>
      <c r="H379">
        <v>52</v>
      </c>
      <c r="I379">
        <v>0</v>
      </c>
      <c r="J379">
        <v>5</v>
      </c>
      <c r="K379" t="s">
        <v>37</v>
      </c>
      <c r="L379" t="s">
        <v>68</v>
      </c>
      <c r="M379" t="s">
        <v>11</v>
      </c>
      <c r="N379" t="s">
        <v>29</v>
      </c>
      <c r="O379">
        <v>3</v>
      </c>
      <c r="P379" t="s">
        <v>13</v>
      </c>
      <c r="Q379">
        <v>5</v>
      </c>
      <c r="R379" t="s">
        <v>49</v>
      </c>
      <c r="S379" t="s">
        <v>15</v>
      </c>
      <c r="T379" t="s">
        <v>16</v>
      </c>
    </row>
    <row r="380" spans="1:20" x14ac:dyDescent="0.3">
      <c r="A380" t="s">
        <v>429</v>
      </c>
      <c r="B380">
        <v>53</v>
      </c>
      <c r="C380" t="s">
        <v>46</v>
      </c>
      <c r="D380" t="s">
        <v>61</v>
      </c>
      <c r="E380" t="s">
        <v>7</v>
      </c>
      <c r="F380">
        <v>35</v>
      </c>
      <c r="G380" t="s">
        <v>21</v>
      </c>
      <c r="H380">
        <v>59</v>
      </c>
      <c r="I380">
        <v>8</v>
      </c>
      <c r="J380">
        <v>5</v>
      </c>
      <c r="K380" t="s">
        <v>37</v>
      </c>
      <c r="L380" t="s">
        <v>30</v>
      </c>
      <c r="M380" t="s">
        <v>38</v>
      </c>
      <c r="N380" t="s">
        <v>23</v>
      </c>
      <c r="O380">
        <v>3</v>
      </c>
      <c r="P380" t="s">
        <v>48</v>
      </c>
      <c r="Q380">
        <v>1</v>
      </c>
      <c r="R380" t="s">
        <v>49</v>
      </c>
      <c r="S380" t="s">
        <v>15</v>
      </c>
      <c r="T380" t="s">
        <v>58</v>
      </c>
    </row>
    <row r="381" spans="1:20" x14ac:dyDescent="0.3">
      <c r="A381" t="s">
        <v>430</v>
      </c>
      <c r="B381">
        <v>27</v>
      </c>
      <c r="C381" t="s">
        <v>34</v>
      </c>
      <c r="D381" t="s">
        <v>57</v>
      </c>
      <c r="E381" t="s">
        <v>41</v>
      </c>
      <c r="F381">
        <v>15</v>
      </c>
      <c r="G381" t="s">
        <v>21</v>
      </c>
      <c r="H381">
        <v>32</v>
      </c>
      <c r="I381">
        <v>14</v>
      </c>
      <c r="J381">
        <v>2</v>
      </c>
      <c r="K381" t="s">
        <v>37</v>
      </c>
      <c r="L381" t="s">
        <v>68</v>
      </c>
      <c r="M381" t="s">
        <v>11</v>
      </c>
      <c r="N381" t="s">
        <v>12</v>
      </c>
      <c r="O381">
        <v>5</v>
      </c>
      <c r="P381" t="s">
        <v>48</v>
      </c>
      <c r="Q381">
        <v>1</v>
      </c>
      <c r="R381" t="s">
        <v>30</v>
      </c>
      <c r="S381" t="s">
        <v>31</v>
      </c>
      <c r="T381" t="s">
        <v>55</v>
      </c>
    </row>
    <row r="382" spans="1:20" x14ac:dyDescent="0.3">
      <c r="A382" t="s">
        <v>431</v>
      </c>
      <c r="B382">
        <v>39</v>
      </c>
      <c r="C382" t="s">
        <v>34</v>
      </c>
      <c r="D382" t="s">
        <v>61</v>
      </c>
      <c r="E382" t="s">
        <v>28</v>
      </c>
      <c r="F382">
        <v>28</v>
      </c>
      <c r="G382" t="s">
        <v>21</v>
      </c>
      <c r="H382">
        <v>41</v>
      </c>
      <c r="I382">
        <v>4</v>
      </c>
      <c r="J382">
        <v>3</v>
      </c>
      <c r="K382" t="s">
        <v>9</v>
      </c>
      <c r="L382" t="s">
        <v>30</v>
      </c>
      <c r="M382" t="s">
        <v>38</v>
      </c>
      <c r="N382" t="s">
        <v>23</v>
      </c>
      <c r="O382">
        <v>4</v>
      </c>
      <c r="P382" t="s">
        <v>13</v>
      </c>
      <c r="Q382">
        <v>2</v>
      </c>
      <c r="R382" t="s">
        <v>49</v>
      </c>
      <c r="S382" t="s">
        <v>42</v>
      </c>
      <c r="T382" t="s">
        <v>58</v>
      </c>
    </row>
    <row r="383" spans="1:20" x14ac:dyDescent="0.3">
      <c r="A383" t="s">
        <v>432</v>
      </c>
      <c r="B383">
        <v>59</v>
      </c>
      <c r="C383" t="s">
        <v>34</v>
      </c>
      <c r="D383" t="s">
        <v>63</v>
      </c>
      <c r="E383" t="s">
        <v>28</v>
      </c>
      <c r="F383">
        <v>18</v>
      </c>
      <c r="G383" t="s">
        <v>21</v>
      </c>
      <c r="H383">
        <v>34</v>
      </c>
      <c r="I383">
        <v>14</v>
      </c>
      <c r="J383">
        <v>2</v>
      </c>
      <c r="K383" t="s">
        <v>9</v>
      </c>
      <c r="L383" t="s">
        <v>22</v>
      </c>
      <c r="M383" t="s">
        <v>11</v>
      </c>
      <c r="N383" t="s">
        <v>29</v>
      </c>
      <c r="O383">
        <v>5</v>
      </c>
      <c r="P383" t="s">
        <v>48</v>
      </c>
      <c r="Q383">
        <v>4</v>
      </c>
      <c r="R383" t="s">
        <v>14</v>
      </c>
      <c r="S383" t="s">
        <v>31</v>
      </c>
      <c r="T383" t="s">
        <v>44</v>
      </c>
    </row>
    <row r="384" spans="1:20" x14ac:dyDescent="0.3">
      <c r="A384" t="s">
        <v>433</v>
      </c>
      <c r="B384">
        <v>58</v>
      </c>
      <c r="C384" t="s">
        <v>5</v>
      </c>
      <c r="D384" t="s">
        <v>6</v>
      </c>
      <c r="E384" t="s">
        <v>41</v>
      </c>
      <c r="F384">
        <v>10</v>
      </c>
      <c r="G384" t="s">
        <v>8</v>
      </c>
      <c r="H384">
        <v>41</v>
      </c>
      <c r="I384">
        <v>8</v>
      </c>
      <c r="J384">
        <v>3</v>
      </c>
      <c r="K384" t="s">
        <v>47</v>
      </c>
      <c r="L384" t="s">
        <v>68</v>
      </c>
      <c r="M384" t="s">
        <v>11</v>
      </c>
      <c r="N384" t="s">
        <v>12</v>
      </c>
      <c r="O384">
        <v>2</v>
      </c>
      <c r="P384" t="s">
        <v>48</v>
      </c>
      <c r="Q384">
        <v>2</v>
      </c>
      <c r="R384" t="s">
        <v>49</v>
      </c>
      <c r="S384" t="s">
        <v>42</v>
      </c>
      <c r="T384" t="s">
        <v>32</v>
      </c>
    </row>
    <row r="385" spans="1:20" x14ac:dyDescent="0.3">
      <c r="A385" t="s">
        <v>434</v>
      </c>
      <c r="B385">
        <v>28</v>
      </c>
      <c r="C385" t="s">
        <v>46</v>
      </c>
      <c r="D385" t="s">
        <v>40</v>
      </c>
      <c r="E385" t="s">
        <v>28</v>
      </c>
      <c r="F385">
        <v>5</v>
      </c>
      <c r="G385" t="s">
        <v>21</v>
      </c>
      <c r="H385">
        <v>55</v>
      </c>
      <c r="I385">
        <v>9</v>
      </c>
      <c r="J385">
        <v>3</v>
      </c>
      <c r="K385" t="s">
        <v>9</v>
      </c>
      <c r="L385" t="s">
        <v>22</v>
      </c>
      <c r="M385" t="s">
        <v>38</v>
      </c>
      <c r="N385" t="s">
        <v>29</v>
      </c>
      <c r="O385">
        <v>1</v>
      </c>
      <c r="P385" t="s">
        <v>24</v>
      </c>
      <c r="Q385">
        <v>4</v>
      </c>
      <c r="R385" t="s">
        <v>30</v>
      </c>
      <c r="S385" t="s">
        <v>31</v>
      </c>
      <c r="T385" t="s">
        <v>16</v>
      </c>
    </row>
    <row r="386" spans="1:20" x14ac:dyDescent="0.3">
      <c r="A386" t="s">
        <v>435</v>
      </c>
      <c r="B386">
        <v>56</v>
      </c>
      <c r="C386" t="s">
        <v>34</v>
      </c>
      <c r="D386" t="s">
        <v>61</v>
      </c>
      <c r="E386" t="s">
        <v>20</v>
      </c>
      <c r="F386">
        <v>27</v>
      </c>
      <c r="G386" t="s">
        <v>21</v>
      </c>
      <c r="H386">
        <v>50</v>
      </c>
      <c r="I386">
        <v>8</v>
      </c>
      <c r="J386">
        <v>2</v>
      </c>
      <c r="K386" t="s">
        <v>37</v>
      </c>
      <c r="L386" t="s">
        <v>68</v>
      </c>
      <c r="M386" t="s">
        <v>38</v>
      </c>
      <c r="N386" t="s">
        <v>23</v>
      </c>
      <c r="O386">
        <v>1</v>
      </c>
      <c r="P386" t="s">
        <v>48</v>
      </c>
      <c r="Q386">
        <v>4</v>
      </c>
      <c r="R386" t="s">
        <v>30</v>
      </c>
      <c r="S386" t="s">
        <v>31</v>
      </c>
      <c r="T386" t="s">
        <v>25</v>
      </c>
    </row>
    <row r="387" spans="1:20" x14ac:dyDescent="0.3">
      <c r="A387" t="s">
        <v>436</v>
      </c>
      <c r="B387">
        <v>31</v>
      </c>
      <c r="C387" t="s">
        <v>5</v>
      </c>
      <c r="D387" t="s">
        <v>63</v>
      </c>
      <c r="E387" t="s">
        <v>7</v>
      </c>
      <c r="F387">
        <v>4</v>
      </c>
      <c r="G387" t="s">
        <v>21</v>
      </c>
      <c r="H387">
        <v>25</v>
      </c>
      <c r="I387">
        <v>9</v>
      </c>
      <c r="J387">
        <v>1</v>
      </c>
      <c r="K387" t="s">
        <v>37</v>
      </c>
      <c r="L387" t="s">
        <v>22</v>
      </c>
      <c r="M387" t="s">
        <v>11</v>
      </c>
      <c r="N387" t="s">
        <v>23</v>
      </c>
      <c r="O387">
        <v>5</v>
      </c>
      <c r="P387" t="s">
        <v>13</v>
      </c>
      <c r="Q387">
        <v>2</v>
      </c>
      <c r="R387" t="s">
        <v>14</v>
      </c>
      <c r="S387" t="s">
        <v>42</v>
      </c>
      <c r="T387" t="s">
        <v>55</v>
      </c>
    </row>
    <row r="388" spans="1:20" x14ac:dyDescent="0.3">
      <c r="A388" t="s">
        <v>437</v>
      </c>
      <c r="B388">
        <v>28</v>
      </c>
      <c r="C388" t="s">
        <v>18</v>
      </c>
      <c r="D388" t="s">
        <v>40</v>
      </c>
      <c r="E388" t="s">
        <v>41</v>
      </c>
      <c r="F388">
        <v>32</v>
      </c>
      <c r="G388" t="s">
        <v>36</v>
      </c>
      <c r="H388">
        <v>21</v>
      </c>
      <c r="I388">
        <v>12</v>
      </c>
      <c r="J388">
        <v>3</v>
      </c>
      <c r="K388" t="s">
        <v>9</v>
      </c>
      <c r="L388" t="s">
        <v>10</v>
      </c>
      <c r="M388" t="s">
        <v>38</v>
      </c>
      <c r="N388" t="s">
        <v>29</v>
      </c>
      <c r="O388">
        <v>1</v>
      </c>
      <c r="P388" t="s">
        <v>48</v>
      </c>
      <c r="Q388">
        <v>5</v>
      </c>
      <c r="R388" t="s">
        <v>30</v>
      </c>
      <c r="S388" t="s">
        <v>42</v>
      </c>
      <c r="T388" t="s">
        <v>58</v>
      </c>
    </row>
    <row r="389" spans="1:20" x14ac:dyDescent="0.3">
      <c r="A389" t="s">
        <v>438</v>
      </c>
      <c r="B389">
        <v>46</v>
      </c>
      <c r="C389" t="s">
        <v>18</v>
      </c>
      <c r="D389" t="s">
        <v>40</v>
      </c>
      <c r="E389" t="s">
        <v>35</v>
      </c>
      <c r="F389">
        <v>20</v>
      </c>
      <c r="G389" t="s">
        <v>8</v>
      </c>
      <c r="H389">
        <v>44</v>
      </c>
      <c r="I389">
        <v>11</v>
      </c>
      <c r="J389">
        <v>5</v>
      </c>
      <c r="K389" t="s">
        <v>37</v>
      </c>
      <c r="L389" t="s">
        <v>10</v>
      </c>
      <c r="M389" t="s">
        <v>11</v>
      </c>
      <c r="N389" t="s">
        <v>12</v>
      </c>
      <c r="O389">
        <v>4</v>
      </c>
      <c r="P389" t="s">
        <v>48</v>
      </c>
      <c r="Q389">
        <v>3</v>
      </c>
      <c r="R389" t="s">
        <v>49</v>
      </c>
      <c r="S389" t="s">
        <v>31</v>
      </c>
      <c r="T389" t="s">
        <v>58</v>
      </c>
    </row>
    <row r="390" spans="1:20" x14ac:dyDescent="0.3">
      <c r="A390" t="s">
        <v>439</v>
      </c>
      <c r="B390">
        <v>32</v>
      </c>
      <c r="C390" t="s">
        <v>18</v>
      </c>
      <c r="D390" t="s">
        <v>40</v>
      </c>
      <c r="E390" t="s">
        <v>41</v>
      </c>
      <c r="F390">
        <v>18</v>
      </c>
      <c r="G390" t="s">
        <v>21</v>
      </c>
      <c r="H390">
        <v>28</v>
      </c>
      <c r="I390">
        <v>0</v>
      </c>
      <c r="J390">
        <v>5</v>
      </c>
      <c r="K390" t="s">
        <v>37</v>
      </c>
      <c r="L390" t="s">
        <v>10</v>
      </c>
      <c r="M390" t="s">
        <v>38</v>
      </c>
      <c r="N390" t="s">
        <v>29</v>
      </c>
      <c r="O390">
        <v>2</v>
      </c>
      <c r="P390" t="s">
        <v>48</v>
      </c>
      <c r="Q390">
        <v>3</v>
      </c>
      <c r="R390" t="s">
        <v>14</v>
      </c>
      <c r="S390" t="s">
        <v>15</v>
      </c>
      <c r="T390" t="s">
        <v>44</v>
      </c>
    </row>
    <row r="391" spans="1:20" x14ac:dyDescent="0.3">
      <c r="A391" t="s">
        <v>440</v>
      </c>
      <c r="B391">
        <v>37</v>
      </c>
      <c r="C391" t="s">
        <v>34</v>
      </c>
      <c r="D391" t="s">
        <v>27</v>
      </c>
      <c r="E391" t="s">
        <v>64</v>
      </c>
      <c r="F391">
        <v>31</v>
      </c>
      <c r="G391" t="s">
        <v>36</v>
      </c>
      <c r="H391">
        <v>54</v>
      </c>
      <c r="I391">
        <v>8</v>
      </c>
      <c r="J391">
        <v>5</v>
      </c>
      <c r="K391" t="s">
        <v>9</v>
      </c>
      <c r="L391" t="s">
        <v>68</v>
      </c>
      <c r="M391" t="s">
        <v>11</v>
      </c>
      <c r="N391" t="s">
        <v>29</v>
      </c>
      <c r="O391">
        <v>3</v>
      </c>
      <c r="P391" t="s">
        <v>24</v>
      </c>
      <c r="Q391">
        <v>1</v>
      </c>
      <c r="R391" t="s">
        <v>14</v>
      </c>
      <c r="S391" t="s">
        <v>31</v>
      </c>
      <c r="T391" t="s">
        <v>16</v>
      </c>
    </row>
    <row r="392" spans="1:20" x14ac:dyDescent="0.3">
      <c r="A392" t="s">
        <v>441</v>
      </c>
      <c r="B392">
        <v>50</v>
      </c>
      <c r="C392" t="s">
        <v>46</v>
      </c>
      <c r="D392" t="s">
        <v>63</v>
      </c>
      <c r="E392" t="s">
        <v>41</v>
      </c>
      <c r="F392">
        <v>9</v>
      </c>
      <c r="G392" t="s">
        <v>8</v>
      </c>
      <c r="H392">
        <v>55</v>
      </c>
      <c r="I392">
        <v>12</v>
      </c>
      <c r="J392">
        <v>3</v>
      </c>
      <c r="K392" t="s">
        <v>9</v>
      </c>
      <c r="L392" t="s">
        <v>68</v>
      </c>
      <c r="M392" t="s">
        <v>11</v>
      </c>
      <c r="N392" t="s">
        <v>12</v>
      </c>
      <c r="O392">
        <v>1</v>
      </c>
      <c r="P392" t="s">
        <v>24</v>
      </c>
      <c r="Q392">
        <v>3</v>
      </c>
      <c r="R392" t="s">
        <v>30</v>
      </c>
      <c r="S392" t="s">
        <v>42</v>
      </c>
      <c r="T392" t="s">
        <v>32</v>
      </c>
    </row>
    <row r="393" spans="1:20" x14ac:dyDescent="0.3">
      <c r="A393" t="s">
        <v>442</v>
      </c>
      <c r="B393">
        <v>55</v>
      </c>
      <c r="C393" t="s">
        <v>18</v>
      </c>
      <c r="D393" t="s">
        <v>57</v>
      </c>
      <c r="E393" t="s">
        <v>64</v>
      </c>
      <c r="F393">
        <v>29</v>
      </c>
      <c r="G393" t="s">
        <v>21</v>
      </c>
      <c r="H393">
        <v>26</v>
      </c>
      <c r="I393">
        <v>10</v>
      </c>
      <c r="J393">
        <v>5</v>
      </c>
      <c r="K393" t="s">
        <v>9</v>
      </c>
      <c r="L393" t="s">
        <v>30</v>
      </c>
      <c r="M393" t="s">
        <v>11</v>
      </c>
      <c r="N393" t="s">
        <v>23</v>
      </c>
      <c r="O393">
        <v>5</v>
      </c>
      <c r="P393" t="s">
        <v>13</v>
      </c>
      <c r="Q393">
        <v>1</v>
      </c>
      <c r="R393" t="s">
        <v>14</v>
      </c>
      <c r="S393" t="s">
        <v>15</v>
      </c>
      <c r="T393" t="s">
        <v>44</v>
      </c>
    </row>
    <row r="394" spans="1:20" x14ac:dyDescent="0.3">
      <c r="A394" t="s">
        <v>443</v>
      </c>
      <c r="B394">
        <v>45</v>
      </c>
      <c r="C394" t="s">
        <v>18</v>
      </c>
      <c r="D394" t="s">
        <v>6</v>
      </c>
      <c r="E394" t="s">
        <v>64</v>
      </c>
      <c r="F394">
        <v>17</v>
      </c>
      <c r="G394" t="s">
        <v>36</v>
      </c>
      <c r="H394">
        <v>41</v>
      </c>
      <c r="I394">
        <v>7</v>
      </c>
      <c r="J394">
        <v>5</v>
      </c>
      <c r="K394" t="s">
        <v>47</v>
      </c>
      <c r="L394" t="s">
        <v>10</v>
      </c>
      <c r="M394" t="s">
        <v>11</v>
      </c>
      <c r="N394" t="s">
        <v>29</v>
      </c>
      <c r="O394">
        <v>4</v>
      </c>
      <c r="P394" t="s">
        <v>48</v>
      </c>
      <c r="Q394">
        <v>4</v>
      </c>
      <c r="R394" t="s">
        <v>49</v>
      </c>
      <c r="S394" t="s">
        <v>42</v>
      </c>
      <c r="T394" t="s">
        <v>58</v>
      </c>
    </row>
    <row r="395" spans="1:20" x14ac:dyDescent="0.3">
      <c r="A395" t="s">
        <v>444</v>
      </c>
      <c r="B395">
        <v>50</v>
      </c>
      <c r="C395" t="s">
        <v>18</v>
      </c>
      <c r="D395" t="s">
        <v>40</v>
      </c>
      <c r="E395" t="s">
        <v>7</v>
      </c>
      <c r="F395">
        <v>31</v>
      </c>
      <c r="G395" t="s">
        <v>36</v>
      </c>
      <c r="H395">
        <v>50</v>
      </c>
      <c r="I395">
        <v>4</v>
      </c>
      <c r="J395">
        <v>4</v>
      </c>
      <c r="K395" t="s">
        <v>47</v>
      </c>
      <c r="L395" t="s">
        <v>22</v>
      </c>
      <c r="M395" t="s">
        <v>38</v>
      </c>
      <c r="N395" t="s">
        <v>29</v>
      </c>
      <c r="O395">
        <v>4</v>
      </c>
      <c r="P395" t="s">
        <v>24</v>
      </c>
      <c r="Q395">
        <v>5</v>
      </c>
      <c r="R395" t="s">
        <v>30</v>
      </c>
      <c r="S395" t="s">
        <v>31</v>
      </c>
      <c r="T395" t="s">
        <v>32</v>
      </c>
    </row>
    <row r="396" spans="1:20" x14ac:dyDescent="0.3">
      <c r="A396" t="s">
        <v>445</v>
      </c>
      <c r="B396">
        <v>43</v>
      </c>
      <c r="C396" t="s">
        <v>46</v>
      </c>
      <c r="D396" t="s">
        <v>63</v>
      </c>
      <c r="E396" t="s">
        <v>35</v>
      </c>
      <c r="F396">
        <v>3</v>
      </c>
      <c r="G396" t="s">
        <v>8</v>
      </c>
      <c r="H396">
        <v>55</v>
      </c>
      <c r="I396">
        <v>12</v>
      </c>
      <c r="J396">
        <v>2</v>
      </c>
      <c r="K396" t="s">
        <v>9</v>
      </c>
      <c r="L396" t="s">
        <v>22</v>
      </c>
      <c r="M396" t="s">
        <v>38</v>
      </c>
      <c r="N396" t="s">
        <v>29</v>
      </c>
      <c r="O396">
        <v>3</v>
      </c>
      <c r="P396" t="s">
        <v>48</v>
      </c>
      <c r="Q396">
        <v>5</v>
      </c>
      <c r="R396" t="s">
        <v>14</v>
      </c>
      <c r="S396" t="s">
        <v>42</v>
      </c>
      <c r="T396" t="s">
        <v>55</v>
      </c>
    </row>
    <row r="397" spans="1:20" x14ac:dyDescent="0.3">
      <c r="A397" t="s">
        <v>446</v>
      </c>
      <c r="B397">
        <v>39</v>
      </c>
      <c r="C397" t="s">
        <v>5</v>
      </c>
      <c r="D397" t="s">
        <v>57</v>
      </c>
      <c r="E397" t="s">
        <v>7</v>
      </c>
      <c r="F397">
        <v>20</v>
      </c>
      <c r="G397" t="s">
        <v>8</v>
      </c>
      <c r="H397">
        <v>22</v>
      </c>
      <c r="I397">
        <v>2</v>
      </c>
      <c r="J397">
        <v>3</v>
      </c>
      <c r="K397" t="s">
        <v>9</v>
      </c>
      <c r="L397" t="s">
        <v>22</v>
      </c>
      <c r="M397" t="s">
        <v>11</v>
      </c>
      <c r="N397" t="s">
        <v>23</v>
      </c>
      <c r="O397">
        <v>4</v>
      </c>
      <c r="P397" t="s">
        <v>24</v>
      </c>
      <c r="Q397">
        <v>5</v>
      </c>
      <c r="R397" t="s">
        <v>14</v>
      </c>
      <c r="S397" t="s">
        <v>15</v>
      </c>
      <c r="T397" t="s">
        <v>58</v>
      </c>
    </row>
    <row r="398" spans="1:20" x14ac:dyDescent="0.3">
      <c r="A398" t="s">
        <v>447</v>
      </c>
      <c r="B398">
        <v>30</v>
      </c>
      <c r="C398" t="s">
        <v>18</v>
      </c>
      <c r="D398" t="s">
        <v>19</v>
      </c>
      <c r="E398" t="s">
        <v>41</v>
      </c>
      <c r="F398">
        <v>9</v>
      </c>
      <c r="G398" t="s">
        <v>8</v>
      </c>
      <c r="H398">
        <v>33</v>
      </c>
      <c r="I398">
        <v>11</v>
      </c>
      <c r="J398">
        <v>5</v>
      </c>
      <c r="K398" t="s">
        <v>47</v>
      </c>
      <c r="L398" t="s">
        <v>68</v>
      </c>
      <c r="M398" t="s">
        <v>11</v>
      </c>
      <c r="N398" t="s">
        <v>29</v>
      </c>
      <c r="O398">
        <v>4</v>
      </c>
      <c r="P398" t="s">
        <v>13</v>
      </c>
      <c r="Q398">
        <v>1</v>
      </c>
      <c r="R398" t="s">
        <v>49</v>
      </c>
      <c r="S398" t="s">
        <v>42</v>
      </c>
      <c r="T398" t="s">
        <v>16</v>
      </c>
    </row>
    <row r="399" spans="1:20" x14ac:dyDescent="0.3">
      <c r="A399" t="s">
        <v>448</v>
      </c>
      <c r="B399">
        <v>36</v>
      </c>
      <c r="C399" t="s">
        <v>34</v>
      </c>
      <c r="D399" t="s">
        <v>63</v>
      </c>
      <c r="E399" t="s">
        <v>64</v>
      </c>
      <c r="F399">
        <v>4</v>
      </c>
      <c r="G399" t="s">
        <v>8</v>
      </c>
      <c r="H399">
        <v>21</v>
      </c>
      <c r="I399">
        <v>4</v>
      </c>
      <c r="J399">
        <v>1</v>
      </c>
      <c r="K399" t="s">
        <v>37</v>
      </c>
      <c r="L399" t="s">
        <v>68</v>
      </c>
      <c r="M399" t="s">
        <v>11</v>
      </c>
      <c r="N399" t="s">
        <v>23</v>
      </c>
      <c r="O399">
        <v>3</v>
      </c>
      <c r="P399" t="s">
        <v>48</v>
      </c>
      <c r="Q399">
        <v>1</v>
      </c>
      <c r="R399" t="s">
        <v>30</v>
      </c>
      <c r="S399" t="s">
        <v>31</v>
      </c>
      <c r="T399" t="s">
        <v>16</v>
      </c>
    </row>
    <row r="400" spans="1:20" x14ac:dyDescent="0.3">
      <c r="A400" t="s">
        <v>449</v>
      </c>
      <c r="B400">
        <v>58</v>
      </c>
      <c r="C400" t="s">
        <v>46</v>
      </c>
      <c r="D400" t="s">
        <v>61</v>
      </c>
      <c r="E400" t="s">
        <v>51</v>
      </c>
      <c r="F400">
        <v>17</v>
      </c>
      <c r="G400" t="s">
        <v>8</v>
      </c>
      <c r="H400">
        <v>28</v>
      </c>
      <c r="I400">
        <v>13</v>
      </c>
      <c r="J400">
        <v>2</v>
      </c>
      <c r="K400" t="s">
        <v>9</v>
      </c>
      <c r="L400" t="s">
        <v>68</v>
      </c>
      <c r="M400" t="s">
        <v>11</v>
      </c>
      <c r="N400" t="s">
        <v>29</v>
      </c>
      <c r="O400">
        <v>2</v>
      </c>
      <c r="P400" t="s">
        <v>48</v>
      </c>
      <c r="Q400">
        <v>5</v>
      </c>
      <c r="R400" t="s">
        <v>49</v>
      </c>
      <c r="S400" t="s">
        <v>15</v>
      </c>
      <c r="T400" t="s">
        <v>16</v>
      </c>
    </row>
    <row r="401" spans="1:20" x14ac:dyDescent="0.3">
      <c r="A401" t="s">
        <v>450</v>
      </c>
      <c r="B401">
        <v>53</v>
      </c>
      <c r="C401" t="s">
        <v>46</v>
      </c>
      <c r="D401" t="s">
        <v>19</v>
      </c>
      <c r="E401" t="s">
        <v>7</v>
      </c>
      <c r="F401">
        <v>34</v>
      </c>
      <c r="G401" t="s">
        <v>21</v>
      </c>
      <c r="H401">
        <v>22</v>
      </c>
      <c r="I401">
        <v>6</v>
      </c>
      <c r="J401">
        <v>5</v>
      </c>
      <c r="K401" t="s">
        <v>37</v>
      </c>
      <c r="L401" t="s">
        <v>30</v>
      </c>
      <c r="M401" t="s">
        <v>38</v>
      </c>
      <c r="N401" t="s">
        <v>12</v>
      </c>
      <c r="O401">
        <v>1</v>
      </c>
      <c r="P401" t="s">
        <v>24</v>
      </c>
      <c r="Q401">
        <v>3</v>
      </c>
      <c r="R401" t="s">
        <v>14</v>
      </c>
      <c r="S401" t="s">
        <v>15</v>
      </c>
      <c r="T401" t="s">
        <v>58</v>
      </c>
    </row>
    <row r="402" spans="1:20" x14ac:dyDescent="0.3">
      <c r="A402" t="s">
        <v>451</v>
      </c>
      <c r="B402">
        <v>56</v>
      </c>
      <c r="C402" t="s">
        <v>5</v>
      </c>
      <c r="D402" t="s">
        <v>6</v>
      </c>
      <c r="E402" t="s">
        <v>20</v>
      </c>
      <c r="F402">
        <v>13</v>
      </c>
      <c r="G402" t="s">
        <v>21</v>
      </c>
      <c r="H402">
        <v>58</v>
      </c>
      <c r="I402">
        <v>14</v>
      </c>
      <c r="J402">
        <v>4</v>
      </c>
      <c r="K402" t="s">
        <v>37</v>
      </c>
      <c r="L402" t="s">
        <v>22</v>
      </c>
      <c r="M402" t="s">
        <v>38</v>
      </c>
      <c r="N402" t="s">
        <v>29</v>
      </c>
      <c r="O402">
        <v>4</v>
      </c>
      <c r="P402" t="s">
        <v>48</v>
      </c>
      <c r="Q402">
        <v>2</v>
      </c>
      <c r="R402" t="s">
        <v>49</v>
      </c>
      <c r="S402" t="s">
        <v>31</v>
      </c>
      <c r="T402" t="s">
        <v>25</v>
      </c>
    </row>
    <row r="403" spans="1:20" x14ac:dyDescent="0.3">
      <c r="A403" t="s">
        <v>452</v>
      </c>
      <c r="B403">
        <v>57</v>
      </c>
      <c r="C403" t="s">
        <v>34</v>
      </c>
      <c r="D403" t="s">
        <v>63</v>
      </c>
      <c r="E403" t="s">
        <v>41</v>
      </c>
      <c r="F403">
        <v>19</v>
      </c>
      <c r="G403" t="s">
        <v>21</v>
      </c>
      <c r="H403">
        <v>39</v>
      </c>
      <c r="I403">
        <v>0</v>
      </c>
      <c r="J403">
        <v>4</v>
      </c>
      <c r="K403" t="s">
        <v>47</v>
      </c>
      <c r="L403" t="s">
        <v>22</v>
      </c>
      <c r="M403" t="s">
        <v>11</v>
      </c>
      <c r="N403" t="s">
        <v>12</v>
      </c>
      <c r="O403">
        <v>1</v>
      </c>
      <c r="P403" t="s">
        <v>24</v>
      </c>
      <c r="Q403">
        <v>1</v>
      </c>
      <c r="R403" t="s">
        <v>49</v>
      </c>
      <c r="S403" t="s">
        <v>42</v>
      </c>
      <c r="T403" t="s">
        <v>44</v>
      </c>
    </row>
    <row r="404" spans="1:20" x14ac:dyDescent="0.3">
      <c r="A404" t="s">
        <v>453</v>
      </c>
      <c r="B404">
        <v>58</v>
      </c>
      <c r="C404" t="s">
        <v>34</v>
      </c>
      <c r="D404" t="s">
        <v>19</v>
      </c>
      <c r="E404" t="s">
        <v>35</v>
      </c>
      <c r="F404">
        <v>8</v>
      </c>
      <c r="G404" t="s">
        <v>36</v>
      </c>
      <c r="H404">
        <v>35</v>
      </c>
      <c r="I404">
        <v>15</v>
      </c>
      <c r="J404">
        <v>2</v>
      </c>
      <c r="K404" t="s">
        <v>47</v>
      </c>
      <c r="L404" t="s">
        <v>22</v>
      </c>
      <c r="M404" t="s">
        <v>11</v>
      </c>
      <c r="N404" t="s">
        <v>12</v>
      </c>
      <c r="O404">
        <v>2</v>
      </c>
      <c r="P404" t="s">
        <v>48</v>
      </c>
      <c r="Q404">
        <v>2</v>
      </c>
      <c r="R404" t="s">
        <v>14</v>
      </c>
      <c r="S404" t="s">
        <v>31</v>
      </c>
      <c r="T404" t="s">
        <v>58</v>
      </c>
    </row>
    <row r="405" spans="1:20" x14ac:dyDescent="0.3">
      <c r="A405" t="s">
        <v>454</v>
      </c>
      <c r="B405">
        <v>57</v>
      </c>
      <c r="C405" t="s">
        <v>18</v>
      </c>
      <c r="D405" t="s">
        <v>61</v>
      </c>
      <c r="E405" t="s">
        <v>7</v>
      </c>
      <c r="F405">
        <v>22</v>
      </c>
      <c r="G405" t="s">
        <v>8</v>
      </c>
      <c r="H405">
        <v>56</v>
      </c>
      <c r="I405">
        <v>3</v>
      </c>
      <c r="J405">
        <v>3</v>
      </c>
      <c r="K405" t="s">
        <v>37</v>
      </c>
      <c r="L405" t="s">
        <v>68</v>
      </c>
      <c r="M405" t="s">
        <v>38</v>
      </c>
      <c r="N405" t="s">
        <v>23</v>
      </c>
      <c r="O405">
        <v>3</v>
      </c>
      <c r="P405" t="s">
        <v>13</v>
      </c>
      <c r="Q405">
        <v>1</v>
      </c>
      <c r="R405" t="s">
        <v>14</v>
      </c>
      <c r="S405" t="s">
        <v>31</v>
      </c>
      <c r="T405" t="s">
        <v>16</v>
      </c>
    </row>
    <row r="406" spans="1:20" x14ac:dyDescent="0.3">
      <c r="A406" t="s">
        <v>455</v>
      </c>
      <c r="B406">
        <v>46</v>
      </c>
      <c r="C406" t="s">
        <v>5</v>
      </c>
      <c r="D406" t="s">
        <v>19</v>
      </c>
      <c r="E406" t="s">
        <v>41</v>
      </c>
      <c r="F406">
        <v>14</v>
      </c>
      <c r="G406" t="s">
        <v>21</v>
      </c>
      <c r="H406">
        <v>29</v>
      </c>
      <c r="I406">
        <v>13</v>
      </c>
      <c r="J406">
        <v>4</v>
      </c>
      <c r="K406" t="s">
        <v>9</v>
      </c>
      <c r="L406" t="s">
        <v>22</v>
      </c>
      <c r="M406" t="s">
        <v>11</v>
      </c>
      <c r="N406" t="s">
        <v>23</v>
      </c>
      <c r="O406">
        <v>2</v>
      </c>
      <c r="P406" t="s">
        <v>13</v>
      </c>
      <c r="Q406">
        <v>1</v>
      </c>
      <c r="R406" t="s">
        <v>49</v>
      </c>
      <c r="S406" t="s">
        <v>42</v>
      </c>
      <c r="T406" t="s">
        <v>25</v>
      </c>
    </row>
    <row r="407" spans="1:20" x14ac:dyDescent="0.3">
      <c r="A407" t="s">
        <v>456</v>
      </c>
      <c r="B407">
        <v>42</v>
      </c>
      <c r="C407" t="s">
        <v>18</v>
      </c>
      <c r="D407" t="s">
        <v>6</v>
      </c>
      <c r="E407" t="s">
        <v>51</v>
      </c>
      <c r="F407">
        <v>33</v>
      </c>
      <c r="G407" t="s">
        <v>8</v>
      </c>
      <c r="H407">
        <v>24</v>
      </c>
      <c r="I407">
        <v>0</v>
      </c>
      <c r="J407">
        <v>4</v>
      </c>
      <c r="K407" t="s">
        <v>37</v>
      </c>
      <c r="L407" t="s">
        <v>30</v>
      </c>
      <c r="M407" t="s">
        <v>11</v>
      </c>
      <c r="N407" t="s">
        <v>29</v>
      </c>
      <c r="O407">
        <v>2</v>
      </c>
      <c r="P407" t="s">
        <v>48</v>
      </c>
      <c r="Q407">
        <v>1</v>
      </c>
      <c r="R407" t="s">
        <v>30</v>
      </c>
      <c r="S407" t="s">
        <v>15</v>
      </c>
      <c r="T407" t="s">
        <v>16</v>
      </c>
    </row>
    <row r="408" spans="1:20" x14ac:dyDescent="0.3">
      <c r="A408" t="s">
        <v>457</v>
      </c>
      <c r="B408">
        <v>24</v>
      </c>
      <c r="C408" t="s">
        <v>46</v>
      </c>
      <c r="D408" t="s">
        <v>63</v>
      </c>
      <c r="E408" t="s">
        <v>7</v>
      </c>
      <c r="F408">
        <v>30</v>
      </c>
      <c r="G408" t="s">
        <v>36</v>
      </c>
      <c r="H408">
        <v>60</v>
      </c>
      <c r="I408">
        <v>4</v>
      </c>
      <c r="J408">
        <v>3</v>
      </c>
      <c r="K408" t="s">
        <v>37</v>
      </c>
      <c r="L408" t="s">
        <v>30</v>
      </c>
      <c r="M408" t="s">
        <v>38</v>
      </c>
      <c r="N408" t="s">
        <v>12</v>
      </c>
      <c r="O408">
        <v>3</v>
      </c>
      <c r="P408" t="s">
        <v>24</v>
      </c>
      <c r="Q408">
        <v>3</v>
      </c>
      <c r="R408" t="s">
        <v>30</v>
      </c>
      <c r="S408" t="s">
        <v>42</v>
      </c>
      <c r="T408" t="s">
        <v>44</v>
      </c>
    </row>
    <row r="409" spans="1:20" x14ac:dyDescent="0.3">
      <c r="A409" t="s">
        <v>458</v>
      </c>
      <c r="B409">
        <v>53</v>
      </c>
      <c r="C409" t="s">
        <v>18</v>
      </c>
      <c r="D409" t="s">
        <v>6</v>
      </c>
      <c r="E409" t="s">
        <v>64</v>
      </c>
      <c r="F409">
        <v>10</v>
      </c>
      <c r="G409" t="s">
        <v>21</v>
      </c>
      <c r="H409">
        <v>31</v>
      </c>
      <c r="I409">
        <v>9</v>
      </c>
      <c r="J409">
        <v>4</v>
      </c>
      <c r="K409" t="s">
        <v>47</v>
      </c>
      <c r="L409" t="s">
        <v>68</v>
      </c>
      <c r="M409" t="s">
        <v>11</v>
      </c>
      <c r="N409" t="s">
        <v>12</v>
      </c>
      <c r="O409">
        <v>2</v>
      </c>
      <c r="P409" t="s">
        <v>24</v>
      </c>
      <c r="Q409">
        <v>1</v>
      </c>
      <c r="R409" t="s">
        <v>49</v>
      </c>
      <c r="S409" t="s">
        <v>31</v>
      </c>
      <c r="T409" t="s">
        <v>55</v>
      </c>
    </row>
    <row r="410" spans="1:20" x14ac:dyDescent="0.3">
      <c r="A410" t="s">
        <v>459</v>
      </c>
      <c r="B410">
        <v>24</v>
      </c>
      <c r="C410" t="s">
        <v>18</v>
      </c>
      <c r="D410" t="s">
        <v>19</v>
      </c>
      <c r="E410" t="s">
        <v>35</v>
      </c>
      <c r="F410">
        <v>35</v>
      </c>
      <c r="G410" t="s">
        <v>21</v>
      </c>
      <c r="H410">
        <v>50</v>
      </c>
      <c r="I410">
        <v>10</v>
      </c>
      <c r="J410">
        <v>1</v>
      </c>
      <c r="K410" t="s">
        <v>47</v>
      </c>
      <c r="L410" t="s">
        <v>30</v>
      </c>
      <c r="M410" t="s">
        <v>11</v>
      </c>
      <c r="N410" t="s">
        <v>12</v>
      </c>
      <c r="O410">
        <v>5</v>
      </c>
      <c r="P410" t="s">
        <v>24</v>
      </c>
      <c r="Q410">
        <v>5</v>
      </c>
      <c r="R410" t="s">
        <v>14</v>
      </c>
      <c r="S410" t="s">
        <v>31</v>
      </c>
      <c r="T410" t="s">
        <v>32</v>
      </c>
    </row>
    <row r="411" spans="1:20" x14ac:dyDescent="0.3">
      <c r="A411" t="s">
        <v>460</v>
      </c>
      <c r="B411">
        <v>30</v>
      </c>
      <c r="C411" t="s">
        <v>5</v>
      </c>
      <c r="D411" t="s">
        <v>63</v>
      </c>
      <c r="E411" t="s">
        <v>41</v>
      </c>
      <c r="F411">
        <v>20</v>
      </c>
      <c r="G411" t="s">
        <v>21</v>
      </c>
      <c r="H411">
        <v>27</v>
      </c>
      <c r="I411">
        <v>14</v>
      </c>
      <c r="J411">
        <v>2</v>
      </c>
      <c r="K411" t="s">
        <v>9</v>
      </c>
      <c r="L411" t="s">
        <v>68</v>
      </c>
      <c r="M411" t="s">
        <v>11</v>
      </c>
      <c r="N411" t="s">
        <v>29</v>
      </c>
      <c r="O411">
        <v>3</v>
      </c>
      <c r="P411" t="s">
        <v>13</v>
      </c>
      <c r="Q411">
        <v>3</v>
      </c>
      <c r="R411" t="s">
        <v>14</v>
      </c>
      <c r="S411" t="s">
        <v>15</v>
      </c>
      <c r="T411" t="s">
        <v>44</v>
      </c>
    </row>
    <row r="412" spans="1:20" x14ac:dyDescent="0.3">
      <c r="A412" t="s">
        <v>461</v>
      </c>
      <c r="B412">
        <v>22</v>
      </c>
      <c r="C412" t="s">
        <v>46</v>
      </c>
      <c r="D412" t="s">
        <v>27</v>
      </c>
      <c r="E412" t="s">
        <v>7</v>
      </c>
      <c r="F412">
        <v>6</v>
      </c>
      <c r="G412" t="s">
        <v>21</v>
      </c>
      <c r="H412">
        <v>43</v>
      </c>
      <c r="I412">
        <v>3</v>
      </c>
      <c r="J412">
        <v>2</v>
      </c>
      <c r="K412" t="s">
        <v>9</v>
      </c>
      <c r="L412" t="s">
        <v>30</v>
      </c>
      <c r="M412" t="s">
        <v>11</v>
      </c>
      <c r="N412" t="s">
        <v>29</v>
      </c>
      <c r="O412">
        <v>4</v>
      </c>
      <c r="P412" t="s">
        <v>13</v>
      </c>
      <c r="Q412">
        <v>4</v>
      </c>
      <c r="R412" t="s">
        <v>49</v>
      </c>
      <c r="S412" t="s">
        <v>15</v>
      </c>
      <c r="T412" t="s">
        <v>16</v>
      </c>
    </row>
    <row r="413" spans="1:20" x14ac:dyDescent="0.3">
      <c r="A413" t="s">
        <v>462</v>
      </c>
      <c r="B413">
        <v>28</v>
      </c>
      <c r="C413" t="s">
        <v>5</v>
      </c>
      <c r="D413" t="s">
        <v>61</v>
      </c>
      <c r="E413" t="s">
        <v>64</v>
      </c>
      <c r="F413">
        <v>22</v>
      </c>
      <c r="G413" t="s">
        <v>8</v>
      </c>
      <c r="H413">
        <v>30</v>
      </c>
      <c r="I413">
        <v>3</v>
      </c>
      <c r="J413">
        <v>5</v>
      </c>
      <c r="K413" t="s">
        <v>9</v>
      </c>
      <c r="L413" t="s">
        <v>22</v>
      </c>
      <c r="M413" t="s">
        <v>38</v>
      </c>
      <c r="N413" t="s">
        <v>12</v>
      </c>
      <c r="O413">
        <v>5</v>
      </c>
      <c r="P413" t="s">
        <v>13</v>
      </c>
      <c r="Q413">
        <v>2</v>
      </c>
      <c r="R413" t="s">
        <v>49</v>
      </c>
      <c r="S413" t="s">
        <v>15</v>
      </c>
      <c r="T413" t="s">
        <v>44</v>
      </c>
    </row>
    <row r="414" spans="1:20" x14ac:dyDescent="0.3">
      <c r="A414" t="s">
        <v>463</v>
      </c>
      <c r="B414">
        <v>52</v>
      </c>
      <c r="C414" t="s">
        <v>5</v>
      </c>
      <c r="D414" t="s">
        <v>40</v>
      </c>
      <c r="E414" t="s">
        <v>28</v>
      </c>
      <c r="F414">
        <v>25</v>
      </c>
      <c r="G414" t="s">
        <v>36</v>
      </c>
      <c r="H414">
        <v>26</v>
      </c>
      <c r="I414">
        <v>15</v>
      </c>
      <c r="J414">
        <v>1</v>
      </c>
      <c r="K414" t="s">
        <v>9</v>
      </c>
      <c r="L414" t="s">
        <v>68</v>
      </c>
      <c r="M414" t="s">
        <v>38</v>
      </c>
      <c r="N414" t="s">
        <v>29</v>
      </c>
      <c r="O414">
        <v>2</v>
      </c>
      <c r="P414" t="s">
        <v>48</v>
      </c>
      <c r="Q414">
        <v>3</v>
      </c>
      <c r="R414" t="s">
        <v>30</v>
      </c>
      <c r="S414" t="s">
        <v>42</v>
      </c>
      <c r="T414" t="s">
        <v>16</v>
      </c>
    </row>
    <row r="415" spans="1:20" x14ac:dyDescent="0.3">
      <c r="A415" t="s">
        <v>464</v>
      </c>
      <c r="B415">
        <v>47</v>
      </c>
      <c r="C415" t="s">
        <v>46</v>
      </c>
      <c r="D415" t="s">
        <v>63</v>
      </c>
      <c r="E415" t="s">
        <v>51</v>
      </c>
      <c r="F415">
        <v>21</v>
      </c>
      <c r="G415" t="s">
        <v>36</v>
      </c>
      <c r="H415">
        <v>47</v>
      </c>
      <c r="I415">
        <v>7</v>
      </c>
      <c r="J415">
        <v>1</v>
      </c>
      <c r="K415" t="s">
        <v>9</v>
      </c>
      <c r="L415" t="s">
        <v>22</v>
      </c>
      <c r="M415" t="s">
        <v>11</v>
      </c>
      <c r="N415" t="s">
        <v>12</v>
      </c>
      <c r="O415">
        <v>3</v>
      </c>
      <c r="P415" t="s">
        <v>24</v>
      </c>
      <c r="Q415">
        <v>1</v>
      </c>
      <c r="R415" t="s">
        <v>14</v>
      </c>
      <c r="S415" t="s">
        <v>42</v>
      </c>
      <c r="T415" t="s">
        <v>44</v>
      </c>
    </row>
    <row r="416" spans="1:20" x14ac:dyDescent="0.3">
      <c r="A416" t="s">
        <v>465</v>
      </c>
      <c r="B416">
        <v>30</v>
      </c>
      <c r="C416" t="s">
        <v>34</v>
      </c>
      <c r="D416" t="s">
        <v>19</v>
      </c>
      <c r="E416" t="s">
        <v>51</v>
      </c>
      <c r="F416">
        <v>14</v>
      </c>
      <c r="G416" t="s">
        <v>36</v>
      </c>
      <c r="H416">
        <v>56</v>
      </c>
      <c r="I416">
        <v>14</v>
      </c>
      <c r="J416">
        <v>3</v>
      </c>
      <c r="K416" t="s">
        <v>9</v>
      </c>
      <c r="L416" t="s">
        <v>68</v>
      </c>
      <c r="M416" t="s">
        <v>11</v>
      </c>
      <c r="N416" t="s">
        <v>23</v>
      </c>
      <c r="O416">
        <v>4</v>
      </c>
      <c r="P416" t="s">
        <v>24</v>
      </c>
      <c r="Q416">
        <v>5</v>
      </c>
      <c r="R416" t="s">
        <v>49</v>
      </c>
      <c r="S416" t="s">
        <v>31</v>
      </c>
      <c r="T416" t="s">
        <v>55</v>
      </c>
    </row>
    <row r="417" spans="1:20" x14ac:dyDescent="0.3">
      <c r="A417" t="s">
        <v>466</v>
      </c>
      <c r="B417">
        <v>52</v>
      </c>
      <c r="C417" t="s">
        <v>18</v>
      </c>
      <c r="D417" t="s">
        <v>40</v>
      </c>
      <c r="E417" t="s">
        <v>7</v>
      </c>
      <c r="F417">
        <v>26</v>
      </c>
      <c r="G417" t="s">
        <v>8</v>
      </c>
      <c r="H417">
        <v>30</v>
      </c>
      <c r="I417">
        <v>15</v>
      </c>
      <c r="J417">
        <v>4</v>
      </c>
      <c r="K417" t="s">
        <v>47</v>
      </c>
      <c r="L417" t="s">
        <v>10</v>
      </c>
      <c r="M417" t="s">
        <v>11</v>
      </c>
      <c r="N417" t="s">
        <v>12</v>
      </c>
      <c r="O417">
        <v>4</v>
      </c>
      <c r="P417" t="s">
        <v>24</v>
      </c>
      <c r="Q417">
        <v>5</v>
      </c>
      <c r="R417" t="s">
        <v>30</v>
      </c>
      <c r="S417" t="s">
        <v>31</v>
      </c>
      <c r="T417" t="s">
        <v>32</v>
      </c>
    </row>
    <row r="418" spans="1:20" x14ac:dyDescent="0.3">
      <c r="A418" t="s">
        <v>467</v>
      </c>
      <c r="B418">
        <v>25</v>
      </c>
      <c r="C418" t="s">
        <v>46</v>
      </c>
      <c r="D418" t="s">
        <v>40</v>
      </c>
      <c r="E418" t="s">
        <v>7</v>
      </c>
      <c r="F418">
        <v>9</v>
      </c>
      <c r="G418" t="s">
        <v>8</v>
      </c>
      <c r="H418">
        <v>26</v>
      </c>
      <c r="I418">
        <v>12</v>
      </c>
      <c r="J418">
        <v>4</v>
      </c>
      <c r="K418" t="s">
        <v>37</v>
      </c>
      <c r="L418" t="s">
        <v>10</v>
      </c>
      <c r="M418" t="s">
        <v>11</v>
      </c>
      <c r="N418" t="s">
        <v>29</v>
      </c>
      <c r="O418">
        <v>2</v>
      </c>
      <c r="P418" t="s">
        <v>13</v>
      </c>
      <c r="Q418">
        <v>3</v>
      </c>
      <c r="R418" t="s">
        <v>49</v>
      </c>
      <c r="S418" t="s">
        <v>15</v>
      </c>
      <c r="T418" t="s">
        <v>25</v>
      </c>
    </row>
    <row r="419" spans="1:20" x14ac:dyDescent="0.3">
      <c r="A419" t="s">
        <v>468</v>
      </c>
      <c r="B419">
        <v>50</v>
      </c>
      <c r="C419" t="s">
        <v>5</v>
      </c>
      <c r="D419" t="s">
        <v>6</v>
      </c>
      <c r="E419" t="s">
        <v>41</v>
      </c>
      <c r="F419">
        <v>22</v>
      </c>
      <c r="G419" t="s">
        <v>36</v>
      </c>
      <c r="H419">
        <v>47</v>
      </c>
      <c r="I419">
        <v>10</v>
      </c>
      <c r="J419">
        <v>2</v>
      </c>
      <c r="K419" t="s">
        <v>9</v>
      </c>
      <c r="L419" t="s">
        <v>68</v>
      </c>
      <c r="M419" t="s">
        <v>11</v>
      </c>
      <c r="N419" t="s">
        <v>23</v>
      </c>
      <c r="O419">
        <v>2</v>
      </c>
      <c r="P419" t="s">
        <v>13</v>
      </c>
      <c r="Q419">
        <v>5</v>
      </c>
      <c r="R419" t="s">
        <v>49</v>
      </c>
      <c r="S419" t="s">
        <v>31</v>
      </c>
      <c r="T419" t="s">
        <v>55</v>
      </c>
    </row>
    <row r="420" spans="1:20" x14ac:dyDescent="0.3">
      <c r="A420" t="s">
        <v>469</v>
      </c>
      <c r="B420">
        <v>60</v>
      </c>
      <c r="C420" t="s">
        <v>18</v>
      </c>
      <c r="D420" t="s">
        <v>6</v>
      </c>
      <c r="E420" t="s">
        <v>28</v>
      </c>
      <c r="F420">
        <v>34</v>
      </c>
      <c r="G420" t="s">
        <v>21</v>
      </c>
      <c r="H420">
        <v>38</v>
      </c>
      <c r="I420">
        <v>7</v>
      </c>
      <c r="J420">
        <v>4</v>
      </c>
      <c r="K420" t="s">
        <v>37</v>
      </c>
      <c r="L420" t="s">
        <v>10</v>
      </c>
      <c r="M420" t="s">
        <v>11</v>
      </c>
      <c r="N420" t="s">
        <v>29</v>
      </c>
      <c r="O420">
        <v>4</v>
      </c>
      <c r="P420" t="s">
        <v>48</v>
      </c>
      <c r="Q420">
        <v>4</v>
      </c>
      <c r="R420" t="s">
        <v>14</v>
      </c>
      <c r="S420" t="s">
        <v>15</v>
      </c>
      <c r="T420" t="s">
        <v>25</v>
      </c>
    </row>
    <row r="421" spans="1:20" x14ac:dyDescent="0.3">
      <c r="A421" t="s">
        <v>470</v>
      </c>
      <c r="B421">
        <v>48</v>
      </c>
      <c r="C421" t="s">
        <v>18</v>
      </c>
      <c r="D421" t="s">
        <v>57</v>
      </c>
      <c r="E421" t="s">
        <v>20</v>
      </c>
      <c r="F421">
        <v>30</v>
      </c>
      <c r="G421" t="s">
        <v>8</v>
      </c>
      <c r="H421">
        <v>49</v>
      </c>
      <c r="I421">
        <v>0</v>
      </c>
      <c r="J421">
        <v>2</v>
      </c>
      <c r="K421" t="s">
        <v>9</v>
      </c>
      <c r="L421" t="s">
        <v>22</v>
      </c>
      <c r="M421" t="s">
        <v>38</v>
      </c>
      <c r="N421" t="s">
        <v>29</v>
      </c>
      <c r="O421">
        <v>2</v>
      </c>
      <c r="P421" t="s">
        <v>48</v>
      </c>
      <c r="Q421">
        <v>1</v>
      </c>
      <c r="R421" t="s">
        <v>49</v>
      </c>
      <c r="S421" t="s">
        <v>31</v>
      </c>
      <c r="T421" t="s">
        <v>58</v>
      </c>
    </row>
    <row r="422" spans="1:20" x14ac:dyDescent="0.3">
      <c r="A422" t="s">
        <v>471</v>
      </c>
      <c r="B422">
        <v>28</v>
      </c>
      <c r="C422" t="s">
        <v>34</v>
      </c>
      <c r="D422" t="s">
        <v>6</v>
      </c>
      <c r="E422" t="s">
        <v>20</v>
      </c>
      <c r="F422">
        <v>32</v>
      </c>
      <c r="G422" t="s">
        <v>21</v>
      </c>
      <c r="H422">
        <v>49</v>
      </c>
      <c r="I422">
        <v>0</v>
      </c>
      <c r="J422">
        <v>1</v>
      </c>
      <c r="K422" t="s">
        <v>9</v>
      </c>
      <c r="L422" t="s">
        <v>68</v>
      </c>
      <c r="M422" t="s">
        <v>38</v>
      </c>
      <c r="N422" t="s">
        <v>12</v>
      </c>
      <c r="O422">
        <v>4</v>
      </c>
      <c r="P422" t="s">
        <v>24</v>
      </c>
      <c r="Q422">
        <v>2</v>
      </c>
      <c r="R422" t="s">
        <v>14</v>
      </c>
      <c r="S422" t="s">
        <v>31</v>
      </c>
      <c r="T422" t="s">
        <v>25</v>
      </c>
    </row>
    <row r="423" spans="1:20" x14ac:dyDescent="0.3">
      <c r="A423" t="s">
        <v>472</v>
      </c>
      <c r="B423">
        <v>23</v>
      </c>
      <c r="C423" t="s">
        <v>46</v>
      </c>
      <c r="D423" t="s">
        <v>57</v>
      </c>
      <c r="E423" t="s">
        <v>35</v>
      </c>
      <c r="F423">
        <v>5</v>
      </c>
      <c r="G423" t="s">
        <v>21</v>
      </c>
      <c r="H423">
        <v>37</v>
      </c>
      <c r="I423">
        <v>11</v>
      </c>
      <c r="J423">
        <v>1</v>
      </c>
      <c r="K423" t="s">
        <v>9</v>
      </c>
      <c r="L423" t="s">
        <v>30</v>
      </c>
      <c r="M423" t="s">
        <v>38</v>
      </c>
      <c r="N423" t="s">
        <v>23</v>
      </c>
      <c r="O423">
        <v>3</v>
      </c>
      <c r="P423" t="s">
        <v>24</v>
      </c>
      <c r="Q423">
        <v>3</v>
      </c>
      <c r="R423" t="s">
        <v>30</v>
      </c>
      <c r="S423" t="s">
        <v>15</v>
      </c>
      <c r="T423" t="s">
        <v>55</v>
      </c>
    </row>
    <row r="424" spans="1:20" x14ac:dyDescent="0.3">
      <c r="A424" t="s">
        <v>473</v>
      </c>
      <c r="B424">
        <v>26</v>
      </c>
      <c r="C424" t="s">
        <v>34</v>
      </c>
      <c r="D424" t="s">
        <v>63</v>
      </c>
      <c r="E424" t="s">
        <v>28</v>
      </c>
      <c r="F424">
        <v>21</v>
      </c>
      <c r="G424" t="s">
        <v>8</v>
      </c>
      <c r="H424">
        <v>24</v>
      </c>
      <c r="I424">
        <v>13</v>
      </c>
      <c r="J424">
        <v>2</v>
      </c>
      <c r="K424" t="s">
        <v>37</v>
      </c>
      <c r="L424" t="s">
        <v>30</v>
      </c>
      <c r="M424" t="s">
        <v>11</v>
      </c>
      <c r="N424" t="s">
        <v>12</v>
      </c>
      <c r="O424">
        <v>2</v>
      </c>
      <c r="P424" t="s">
        <v>13</v>
      </c>
      <c r="Q424">
        <v>4</v>
      </c>
      <c r="R424" t="s">
        <v>30</v>
      </c>
      <c r="S424" t="s">
        <v>42</v>
      </c>
      <c r="T424" t="s">
        <v>16</v>
      </c>
    </row>
    <row r="425" spans="1:20" x14ac:dyDescent="0.3">
      <c r="A425" t="s">
        <v>474</v>
      </c>
      <c r="B425">
        <v>27</v>
      </c>
      <c r="C425" t="s">
        <v>18</v>
      </c>
      <c r="D425" t="s">
        <v>57</v>
      </c>
      <c r="E425" t="s">
        <v>41</v>
      </c>
      <c r="F425">
        <v>32</v>
      </c>
      <c r="G425" t="s">
        <v>8</v>
      </c>
      <c r="H425">
        <v>53</v>
      </c>
      <c r="I425">
        <v>0</v>
      </c>
      <c r="J425">
        <v>5</v>
      </c>
      <c r="K425" t="s">
        <v>9</v>
      </c>
      <c r="L425" t="s">
        <v>10</v>
      </c>
      <c r="M425" t="s">
        <v>38</v>
      </c>
      <c r="N425" t="s">
        <v>23</v>
      </c>
      <c r="O425">
        <v>1</v>
      </c>
      <c r="P425" t="s">
        <v>48</v>
      </c>
      <c r="Q425">
        <v>1</v>
      </c>
      <c r="R425" t="s">
        <v>49</v>
      </c>
      <c r="S425" t="s">
        <v>31</v>
      </c>
      <c r="T425" t="s">
        <v>32</v>
      </c>
    </row>
    <row r="426" spans="1:20" x14ac:dyDescent="0.3">
      <c r="A426" t="s">
        <v>475</v>
      </c>
      <c r="B426">
        <v>52</v>
      </c>
      <c r="C426" t="s">
        <v>5</v>
      </c>
      <c r="D426" t="s">
        <v>40</v>
      </c>
      <c r="E426" t="s">
        <v>35</v>
      </c>
      <c r="F426">
        <v>30</v>
      </c>
      <c r="G426" t="s">
        <v>21</v>
      </c>
      <c r="H426">
        <v>33</v>
      </c>
      <c r="I426">
        <v>14</v>
      </c>
      <c r="J426">
        <v>2</v>
      </c>
      <c r="K426" t="s">
        <v>9</v>
      </c>
      <c r="L426" t="s">
        <v>22</v>
      </c>
      <c r="M426" t="s">
        <v>38</v>
      </c>
      <c r="N426" t="s">
        <v>23</v>
      </c>
      <c r="O426">
        <v>2</v>
      </c>
      <c r="P426" t="s">
        <v>48</v>
      </c>
      <c r="Q426">
        <v>5</v>
      </c>
      <c r="R426" t="s">
        <v>14</v>
      </c>
      <c r="S426" t="s">
        <v>15</v>
      </c>
      <c r="T426" t="s">
        <v>25</v>
      </c>
    </row>
    <row r="427" spans="1:20" x14ac:dyDescent="0.3">
      <c r="A427" t="s">
        <v>476</v>
      </c>
      <c r="B427">
        <v>32</v>
      </c>
      <c r="C427" t="s">
        <v>46</v>
      </c>
      <c r="D427" t="s">
        <v>27</v>
      </c>
      <c r="E427" t="s">
        <v>41</v>
      </c>
      <c r="F427">
        <v>28</v>
      </c>
      <c r="G427" t="s">
        <v>36</v>
      </c>
      <c r="H427">
        <v>41</v>
      </c>
      <c r="I427">
        <v>13</v>
      </c>
      <c r="J427">
        <v>1</v>
      </c>
      <c r="K427" t="s">
        <v>9</v>
      </c>
      <c r="L427" t="s">
        <v>10</v>
      </c>
      <c r="M427" t="s">
        <v>38</v>
      </c>
      <c r="N427" t="s">
        <v>12</v>
      </c>
      <c r="O427">
        <v>1</v>
      </c>
      <c r="P427" t="s">
        <v>48</v>
      </c>
      <c r="Q427">
        <v>1</v>
      </c>
      <c r="R427" t="s">
        <v>49</v>
      </c>
      <c r="S427" t="s">
        <v>42</v>
      </c>
      <c r="T427" t="s">
        <v>25</v>
      </c>
    </row>
    <row r="428" spans="1:20" x14ac:dyDescent="0.3">
      <c r="A428" t="s">
        <v>477</v>
      </c>
      <c r="B428">
        <v>23</v>
      </c>
      <c r="C428" t="s">
        <v>46</v>
      </c>
      <c r="D428" t="s">
        <v>40</v>
      </c>
      <c r="E428" t="s">
        <v>35</v>
      </c>
      <c r="F428">
        <v>4</v>
      </c>
      <c r="G428" t="s">
        <v>21</v>
      </c>
      <c r="H428">
        <v>31</v>
      </c>
      <c r="I428">
        <v>15</v>
      </c>
      <c r="J428">
        <v>2</v>
      </c>
      <c r="K428" t="s">
        <v>47</v>
      </c>
      <c r="L428" t="s">
        <v>68</v>
      </c>
      <c r="M428" t="s">
        <v>38</v>
      </c>
      <c r="N428" t="s">
        <v>23</v>
      </c>
      <c r="O428">
        <v>2</v>
      </c>
      <c r="P428" t="s">
        <v>48</v>
      </c>
      <c r="Q428">
        <v>3</v>
      </c>
      <c r="R428" t="s">
        <v>14</v>
      </c>
      <c r="S428" t="s">
        <v>42</v>
      </c>
      <c r="T428" t="s">
        <v>16</v>
      </c>
    </row>
    <row r="429" spans="1:20" x14ac:dyDescent="0.3">
      <c r="A429" t="s">
        <v>478</v>
      </c>
      <c r="B429">
        <v>41</v>
      </c>
      <c r="C429" t="s">
        <v>46</v>
      </c>
      <c r="D429" t="s">
        <v>40</v>
      </c>
      <c r="E429" t="s">
        <v>20</v>
      </c>
      <c r="F429">
        <v>19</v>
      </c>
      <c r="G429" t="s">
        <v>36</v>
      </c>
      <c r="H429">
        <v>29</v>
      </c>
      <c r="I429">
        <v>4</v>
      </c>
      <c r="J429">
        <v>4</v>
      </c>
      <c r="K429" t="s">
        <v>47</v>
      </c>
      <c r="L429" t="s">
        <v>22</v>
      </c>
      <c r="M429" t="s">
        <v>38</v>
      </c>
      <c r="N429" t="s">
        <v>29</v>
      </c>
      <c r="O429">
        <v>1</v>
      </c>
      <c r="P429" t="s">
        <v>24</v>
      </c>
      <c r="Q429">
        <v>5</v>
      </c>
      <c r="R429" t="s">
        <v>30</v>
      </c>
      <c r="S429" t="s">
        <v>42</v>
      </c>
      <c r="T429" t="s">
        <v>55</v>
      </c>
    </row>
    <row r="430" spans="1:20" x14ac:dyDescent="0.3">
      <c r="A430" t="s">
        <v>479</v>
      </c>
      <c r="B430">
        <v>33</v>
      </c>
      <c r="C430" t="s">
        <v>18</v>
      </c>
      <c r="D430" t="s">
        <v>63</v>
      </c>
      <c r="E430" t="s">
        <v>20</v>
      </c>
      <c r="F430">
        <v>25</v>
      </c>
      <c r="G430" t="s">
        <v>8</v>
      </c>
      <c r="H430">
        <v>33</v>
      </c>
      <c r="I430">
        <v>7</v>
      </c>
      <c r="J430">
        <v>1</v>
      </c>
      <c r="K430" t="s">
        <v>37</v>
      </c>
      <c r="L430" t="s">
        <v>22</v>
      </c>
      <c r="M430" t="s">
        <v>38</v>
      </c>
      <c r="N430" t="s">
        <v>29</v>
      </c>
      <c r="O430">
        <v>3</v>
      </c>
      <c r="P430" t="s">
        <v>48</v>
      </c>
      <c r="Q430">
        <v>1</v>
      </c>
      <c r="R430" t="s">
        <v>49</v>
      </c>
      <c r="S430" t="s">
        <v>42</v>
      </c>
      <c r="T430" t="s">
        <v>32</v>
      </c>
    </row>
    <row r="431" spans="1:20" x14ac:dyDescent="0.3">
      <c r="A431" t="s">
        <v>480</v>
      </c>
      <c r="B431">
        <v>37</v>
      </c>
      <c r="C431" t="s">
        <v>5</v>
      </c>
      <c r="D431" t="s">
        <v>40</v>
      </c>
      <c r="E431" t="s">
        <v>41</v>
      </c>
      <c r="F431">
        <v>9</v>
      </c>
      <c r="G431" t="s">
        <v>21</v>
      </c>
      <c r="H431">
        <v>58</v>
      </c>
      <c r="I431">
        <v>8</v>
      </c>
      <c r="J431">
        <v>5</v>
      </c>
      <c r="K431" t="s">
        <v>37</v>
      </c>
      <c r="L431" t="s">
        <v>22</v>
      </c>
      <c r="M431" t="s">
        <v>38</v>
      </c>
      <c r="N431" t="s">
        <v>23</v>
      </c>
      <c r="O431">
        <v>5</v>
      </c>
      <c r="P431" t="s">
        <v>24</v>
      </c>
      <c r="Q431">
        <v>5</v>
      </c>
      <c r="R431" t="s">
        <v>49</v>
      </c>
      <c r="S431" t="s">
        <v>31</v>
      </c>
      <c r="T431" t="s">
        <v>16</v>
      </c>
    </row>
    <row r="432" spans="1:20" x14ac:dyDescent="0.3">
      <c r="A432" t="s">
        <v>481</v>
      </c>
      <c r="B432">
        <v>33</v>
      </c>
      <c r="C432" t="s">
        <v>34</v>
      </c>
      <c r="D432" t="s">
        <v>63</v>
      </c>
      <c r="E432" t="s">
        <v>41</v>
      </c>
      <c r="F432">
        <v>10</v>
      </c>
      <c r="G432" t="s">
        <v>8</v>
      </c>
      <c r="H432">
        <v>42</v>
      </c>
      <c r="I432">
        <v>12</v>
      </c>
      <c r="J432">
        <v>3</v>
      </c>
      <c r="K432" t="s">
        <v>37</v>
      </c>
      <c r="L432" t="s">
        <v>30</v>
      </c>
      <c r="M432" t="s">
        <v>38</v>
      </c>
      <c r="N432" t="s">
        <v>23</v>
      </c>
      <c r="O432">
        <v>2</v>
      </c>
      <c r="P432" t="s">
        <v>13</v>
      </c>
      <c r="Q432">
        <v>2</v>
      </c>
      <c r="R432" t="s">
        <v>30</v>
      </c>
      <c r="S432" t="s">
        <v>42</v>
      </c>
      <c r="T432" t="s">
        <v>55</v>
      </c>
    </row>
    <row r="433" spans="1:20" x14ac:dyDescent="0.3">
      <c r="A433" t="s">
        <v>482</v>
      </c>
      <c r="B433">
        <v>28</v>
      </c>
      <c r="C433" t="s">
        <v>5</v>
      </c>
      <c r="D433" t="s">
        <v>57</v>
      </c>
      <c r="E433" t="s">
        <v>35</v>
      </c>
      <c r="F433">
        <v>26</v>
      </c>
      <c r="G433" t="s">
        <v>8</v>
      </c>
      <c r="H433">
        <v>23</v>
      </c>
      <c r="I433">
        <v>15</v>
      </c>
      <c r="J433">
        <v>3</v>
      </c>
      <c r="K433" t="s">
        <v>37</v>
      </c>
      <c r="L433" t="s">
        <v>10</v>
      </c>
      <c r="M433" t="s">
        <v>11</v>
      </c>
      <c r="N433" t="s">
        <v>29</v>
      </c>
      <c r="O433">
        <v>1</v>
      </c>
      <c r="P433" t="s">
        <v>13</v>
      </c>
      <c r="Q433">
        <v>1</v>
      </c>
      <c r="R433" t="s">
        <v>49</v>
      </c>
      <c r="S433" t="s">
        <v>31</v>
      </c>
      <c r="T433" t="s">
        <v>32</v>
      </c>
    </row>
    <row r="434" spans="1:20" x14ac:dyDescent="0.3">
      <c r="A434" t="s">
        <v>483</v>
      </c>
      <c r="B434">
        <v>57</v>
      </c>
      <c r="C434" t="s">
        <v>5</v>
      </c>
      <c r="D434" t="s">
        <v>63</v>
      </c>
      <c r="E434" t="s">
        <v>41</v>
      </c>
      <c r="F434">
        <v>26</v>
      </c>
      <c r="G434" t="s">
        <v>8</v>
      </c>
      <c r="H434">
        <v>28</v>
      </c>
      <c r="I434">
        <v>4</v>
      </c>
      <c r="J434">
        <v>5</v>
      </c>
      <c r="K434" t="s">
        <v>37</v>
      </c>
      <c r="L434" t="s">
        <v>68</v>
      </c>
      <c r="M434" t="s">
        <v>38</v>
      </c>
      <c r="N434" t="s">
        <v>12</v>
      </c>
      <c r="O434">
        <v>1</v>
      </c>
      <c r="P434" t="s">
        <v>48</v>
      </c>
      <c r="Q434">
        <v>2</v>
      </c>
      <c r="R434" t="s">
        <v>14</v>
      </c>
      <c r="S434" t="s">
        <v>31</v>
      </c>
      <c r="T434" t="s">
        <v>44</v>
      </c>
    </row>
    <row r="435" spans="1:20" x14ac:dyDescent="0.3">
      <c r="A435" t="s">
        <v>484</v>
      </c>
      <c r="B435">
        <v>45</v>
      </c>
      <c r="C435" t="s">
        <v>18</v>
      </c>
      <c r="D435" t="s">
        <v>61</v>
      </c>
      <c r="E435" t="s">
        <v>35</v>
      </c>
      <c r="F435">
        <v>11</v>
      </c>
      <c r="G435" t="s">
        <v>8</v>
      </c>
      <c r="H435">
        <v>41</v>
      </c>
      <c r="I435">
        <v>10</v>
      </c>
      <c r="J435">
        <v>2</v>
      </c>
      <c r="K435" t="s">
        <v>47</v>
      </c>
      <c r="L435" t="s">
        <v>68</v>
      </c>
      <c r="M435" t="s">
        <v>11</v>
      </c>
      <c r="N435" t="s">
        <v>12</v>
      </c>
      <c r="O435">
        <v>3</v>
      </c>
      <c r="P435" t="s">
        <v>48</v>
      </c>
      <c r="Q435">
        <v>1</v>
      </c>
      <c r="R435" t="s">
        <v>30</v>
      </c>
      <c r="S435" t="s">
        <v>31</v>
      </c>
      <c r="T435" t="s">
        <v>55</v>
      </c>
    </row>
    <row r="436" spans="1:20" x14ac:dyDescent="0.3">
      <c r="A436" t="s">
        <v>485</v>
      </c>
      <c r="B436">
        <v>50</v>
      </c>
      <c r="C436" t="s">
        <v>18</v>
      </c>
      <c r="D436" t="s">
        <v>19</v>
      </c>
      <c r="E436" t="s">
        <v>41</v>
      </c>
      <c r="F436">
        <v>25</v>
      </c>
      <c r="G436" t="s">
        <v>36</v>
      </c>
      <c r="H436">
        <v>33</v>
      </c>
      <c r="I436">
        <v>9</v>
      </c>
      <c r="J436">
        <v>5</v>
      </c>
      <c r="K436" t="s">
        <v>37</v>
      </c>
      <c r="L436" t="s">
        <v>22</v>
      </c>
      <c r="M436" t="s">
        <v>38</v>
      </c>
      <c r="N436" t="s">
        <v>12</v>
      </c>
      <c r="O436">
        <v>3</v>
      </c>
      <c r="P436" t="s">
        <v>24</v>
      </c>
      <c r="Q436">
        <v>2</v>
      </c>
      <c r="R436" t="s">
        <v>49</v>
      </c>
      <c r="S436" t="s">
        <v>31</v>
      </c>
      <c r="T436" t="s">
        <v>55</v>
      </c>
    </row>
    <row r="437" spans="1:20" x14ac:dyDescent="0.3">
      <c r="A437" t="s">
        <v>486</v>
      </c>
      <c r="B437">
        <v>53</v>
      </c>
      <c r="C437" t="s">
        <v>5</v>
      </c>
      <c r="D437" t="s">
        <v>57</v>
      </c>
      <c r="E437" t="s">
        <v>7</v>
      </c>
      <c r="F437">
        <v>3</v>
      </c>
      <c r="G437" t="s">
        <v>8</v>
      </c>
      <c r="H437">
        <v>46</v>
      </c>
      <c r="I437">
        <v>13</v>
      </c>
      <c r="J437">
        <v>2</v>
      </c>
      <c r="K437" t="s">
        <v>9</v>
      </c>
      <c r="L437" t="s">
        <v>30</v>
      </c>
      <c r="M437" t="s">
        <v>38</v>
      </c>
      <c r="N437" t="s">
        <v>29</v>
      </c>
      <c r="O437">
        <v>3</v>
      </c>
      <c r="P437" t="s">
        <v>24</v>
      </c>
      <c r="Q437">
        <v>3</v>
      </c>
      <c r="R437" t="s">
        <v>49</v>
      </c>
      <c r="S437" t="s">
        <v>15</v>
      </c>
      <c r="T437" t="s">
        <v>55</v>
      </c>
    </row>
    <row r="438" spans="1:20" x14ac:dyDescent="0.3">
      <c r="A438" t="s">
        <v>487</v>
      </c>
      <c r="B438">
        <v>58</v>
      </c>
      <c r="C438" t="s">
        <v>46</v>
      </c>
      <c r="D438" t="s">
        <v>6</v>
      </c>
      <c r="E438" t="s">
        <v>7</v>
      </c>
      <c r="F438">
        <v>29</v>
      </c>
      <c r="G438" t="s">
        <v>21</v>
      </c>
      <c r="H438">
        <v>25</v>
      </c>
      <c r="I438">
        <v>9</v>
      </c>
      <c r="J438">
        <v>4</v>
      </c>
      <c r="K438" t="s">
        <v>37</v>
      </c>
      <c r="L438" t="s">
        <v>10</v>
      </c>
      <c r="M438" t="s">
        <v>11</v>
      </c>
      <c r="N438" t="s">
        <v>23</v>
      </c>
      <c r="O438">
        <v>2</v>
      </c>
      <c r="P438" t="s">
        <v>13</v>
      </c>
      <c r="Q438">
        <v>1</v>
      </c>
      <c r="R438" t="s">
        <v>14</v>
      </c>
      <c r="S438" t="s">
        <v>15</v>
      </c>
      <c r="T438" t="s">
        <v>16</v>
      </c>
    </row>
    <row r="439" spans="1:20" x14ac:dyDescent="0.3">
      <c r="A439" t="s">
        <v>488</v>
      </c>
      <c r="B439">
        <v>48</v>
      </c>
      <c r="C439" t="s">
        <v>46</v>
      </c>
      <c r="D439" t="s">
        <v>63</v>
      </c>
      <c r="E439" t="s">
        <v>28</v>
      </c>
      <c r="F439">
        <v>7</v>
      </c>
      <c r="G439" t="s">
        <v>36</v>
      </c>
      <c r="H439">
        <v>55</v>
      </c>
      <c r="I439">
        <v>1</v>
      </c>
      <c r="J439">
        <v>2</v>
      </c>
      <c r="K439" t="s">
        <v>9</v>
      </c>
      <c r="L439" t="s">
        <v>10</v>
      </c>
      <c r="M439" t="s">
        <v>38</v>
      </c>
      <c r="N439" t="s">
        <v>12</v>
      </c>
      <c r="O439">
        <v>5</v>
      </c>
      <c r="P439" t="s">
        <v>48</v>
      </c>
      <c r="Q439">
        <v>1</v>
      </c>
      <c r="R439" t="s">
        <v>14</v>
      </c>
      <c r="S439" t="s">
        <v>15</v>
      </c>
      <c r="T439" t="s">
        <v>25</v>
      </c>
    </row>
    <row r="440" spans="1:20" x14ac:dyDescent="0.3">
      <c r="A440" t="s">
        <v>489</v>
      </c>
      <c r="B440">
        <v>42</v>
      </c>
      <c r="C440" t="s">
        <v>46</v>
      </c>
      <c r="D440" t="s">
        <v>40</v>
      </c>
      <c r="E440" t="s">
        <v>51</v>
      </c>
      <c r="F440">
        <v>28</v>
      </c>
      <c r="G440" t="s">
        <v>36</v>
      </c>
      <c r="H440">
        <v>53</v>
      </c>
      <c r="I440">
        <v>4</v>
      </c>
      <c r="J440">
        <v>4</v>
      </c>
      <c r="K440" t="s">
        <v>37</v>
      </c>
      <c r="L440" t="s">
        <v>68</v>
      </c>
      <c r="M440" t="s">
        <v>38</v>
      </c>
      <c r="N440" t="s">
        <v>23</v>
      </c>
      <c r="O440">
        <v>2</v>
      </c>
      <c r="P440" t="s">
        <v>24</v>
      </c>
      <c r="Q440">
        <v>3</v>
      </c>
      <c r="R440" t="s">
        <v>49</v>
      </c>
      <c r="S440" t="s">
        <v>42</v>
      </c>
      <c r="T440" t="s">
        <v>16</v>
      </c>
    </row>
    <row r="441" spans="1:20" x14ac:dyDescent="0.3">
      <c r="A441" t="s">
        <v>490</v>
      </c>
      <c r="B441">
        <v>22</v>
      </c>
      <c r="C441" t="s">
        <v>5</v>
      </c>
      <c r="D441" t="s">
        <v>27</v>
      </c>
      <c r="E441" t="s">
        <v>64</v>
      </c>
      <c r="F441">
        <v>7</v>
      </c>
      <c r="G441" t="s">
        <v>36</v>
      </c>
      <c r="H441">
        <v>47</v>
      </c>
      <c r="I441">
        <v>10</v>
      </c>
      <c r="J441">
        <v>1</v>
      </c>
      <c r="K441" t="s">
        <v>9</v>
      </c>
      <c r="L441" t="s">
        <v>68</v>
      </c>
      <c r="M441" t="s">
        <v>11</v>
      </c>
      <c r="N441" t="s">
        <v>12</v>
      </c>
      <c r="O441">
        <v>3</v>
      </c>
      <c r="P441" t="s">
        <v>48</v>
      </c>
      <c r="Q441">
        <v>1</v>
      </c>
      <c r="R441" t="s">
        <v>30</v>
      </c>
      <c r="S441" t="s">
        <v>42</v>
      </c>
      <c r="T441" t="s">
        <v>25</v>
      </c>
    </row>
    <row r="442" spans="1:20" x14ac:dyDescent="0.3">
      <c r="A442" t="s">
        <v>491</v>
      </c>
      <c r="B442">
        <v>23</v>
      </c>
      <c r="C442" t="s">
        <v>18</v>
      </c>
      <c r="D442" t="s">
        <v>19</v>
      </c>
      <c r="E442" t="s">
        <v>64</v>
      </c>
      <c r="F442">
        <v>34</v>
      </c>
      <c r="G442" t="s">
        <v>8</v>
      </c>
      <c r="H442">
        <v>35</v>
      </c>
      <c r="I442">
        <v>14</v>
      </c>
      <c r="J442">
        <v>2</v>
      </c>
      <c r="K442" t="s">
        <v>47</v>
      </c>
      <c r="L442" t="s">
        <v>10</v>
      </c>
      <c r="M442" t="s">
        <v>11</v>
      </c>
      <c r="N442" t="s">
        <v>12</v>
      </c>
      <c r="O442">
        <v>2</v>
      </c>
      <c r="P442" t="s">
        <v>24</v>
      </c>
      <c r="Q442">
        <v>4</v>
      </c>
      <c r="R442" t="s">
        <v>49</v>
      </c>
      <c r="S442" t="s">
        <v>15</v>
      </c>
      <c r="T442" t="s">
        <v>44</v>
      </c>
    </row>
    <row r="443" spans="1:20" x14ac:dyDescent="0.3">
      <c r="A443" t="s">
        <v>492</v>
      </c>
      <c r="B443">
        <v>59</v>
      </c>
      <c r="C443" t="s">
        <v>46</v>
      </c>
      <c r="D443" t="s">
        <v>6</v>
      </c>
      <c r="E443" t="s">
        <v>35</v>
      </c>
      <c r="F443">
        <v>3</v>
      </c>
      <c r="G443" t="s">
        <v>8</v>
      </c>
      <c r="H443">
        <v>39</v>
      </c>
      <c r="I443">
        <v>8</v>
      </c>
      <c r="J443">
        <v>4</v>
      </c>
      <c r="K443" t="s">
        <v>47</v>
      </c>
      <c r="L443" t="s">
        <v>10</v>
      </c>
      <c r="M443" t="s">
        <v>38</v>
      </c>
      <c r="N443" t="s">
        <v>29</v>
      </c>
      <c r="O443">
        <v>1</v>
      </c>
      <c r="P443" t="s">
        <v>48</v>
      </c>
      <c r="Q443">
        <v>5</v>
      </c>
      <c r="R443" t="s">
        <v>14</v>
      </c>
      <c r="S443" t="s">
        <v>31</v>
      </c>
      <c r="T443" t="s">
        <v>32</v>
      </c>
    </row>
    <row r="444" spans="1:20" x14ac:dyDescent="0.3">
      <c r="A444" t="s">
        <v>493</v>
      </c>
      <c r="B444">
        <v>50</v>
      </c>
      <c r="C444" t="s">
        <v>5</v>
      </c>
      <c r="D444" t="s">
        <v>61</v>
      </c>
      <c r="E444" t="s">
        <v>41</v>
      </c>
      <c r="F444">
        <v>24</v>
      </c>
      <c r="G444" t="s">
        <v>8</v>
      </c>
      <c r="H444">
        <v>34</v>
      </c>
      <c r="I444">
        <v>12</v>
      </c>
      <c r="J444">
        <v>1</v>
      </c>
      <c r="K444" t="s">
        <v>37</v>
      </c>
      <c r="L444" t="s">
        <v>10</v>
      </c>
      <c r="M444" t="s">
        <v>38</v>
      </c>
      <c r="N444" t="s">
        <v>12</v>
      </c>
      <c r="O444">
        <v>4</v>
      </c>
      <c r="P444" t="s">
        <v>13</v>
      </c>
      <c r="Q444">
        <v>5</v>
      </c>
      <c r="R444" t="s">
        <v>30</v>
      </c>
      <c r="S444" t="s">
        <v>42</v>
      </c>
      <c r="T444" t="s">
        <v>55</v>
      </c>
    </row>
    <row r="445" spans="1:20" x14ac:dyDescent="0.3">
      <c r="A445" t="s">
        <v>494</v>
      </c>
      <c r="B445">
        <v>27</v>
      </c>
      <c r="C445" t="s">
        <v>18</v>
      </c>
      <c r="D445" t="s">
        <v>6</v>
      </c>
      <c r="E445" t="s">
        <v>64</v>
      </c>
      <c r="F445">
        <v>7</v>
      </c>
      <c r="G445" t="s">
        <v>8</v>
      </c>
      <c r="H445">
        <v>27</v>
      </c>
      <c r="I445">
        <v>9</v>
      </c>
      <c r="J445">
        <v>5</v>
      </c>
      <c r="K445" t="s">
        <v>37</v>
      </c>
      <c r="L445" t="s">
        <v>68</v>
      </c>
      <c r="M445" t="s">
        <v>11</v>
      </c>
      <c r="N445" t="s">
        <v>23</v>
      </c>
      <c r="O445">
        <v>5</v>
      </c>
      <c r="P445" t="s">
        <v>13</v>
      </c>
      <c r="Q445">
        <v>1</v>
      </c>
      <c r="R445" t="s">
        <v>14</v>
      </c>
      <c r="S445" t="s">
        <v>31</v>
      </c>
      <c r="T445" t="s">
        <v>55</v>
      </c>
    </row>
    <row r="446" spans="1:20" x14ac:dyDescent="0.3">
      <c r="A446" t="s">
        <v>495</v>
      </c>
      <c r="B446">
        <v>25</v>
      </c>
      <c r="C446" t="s">
        <v>46</v>
      </c>
      <c r="D446" t="s">
        <v>27</v>
      </c>
      <c r="E446" t="s">
        <v>64</v>
      </c>
      <c r="F446">
        <v>18</v>
      </c>
      <c r="G446" t="s">
        <v>21</v>
      </c>
      <c r="H446">
        <v>22</v>
      </c>
      <c r="I446">
        <v>4</v>
      </c>
      <c r="J446">
        <v>3</v>
      </c>
      <c r="K446" t="s">
        <v>47</v>
      </c>
      <c r="L446" t="s">
        <v>22</v>
      </c>
      <c r="M446" t="s">
        <v>11</v>
      </c>
      <c r="N446" t="s">
        <v>23</v>
      </c>
      <c r="O446">
        <v>1</v>
      </c>
      <c r="P446" t="s">
        <v>48</v>
      </c>
      <c r="Q446">
        <v>4</v>
      </c>
      <c r="R446" t="s">
        <v>30</v>
      </c>
      <c r="S446" t="s">
        <v>31</v>
      </c>
      <c r="T446" t="s">
        <v>58</v>
      </c>
    </row>
    <row r="447" spans="1:20" x14ac:dyDescent="0.3">
      <c r="A447" t="s">
        <v>496</v>
      </c>
      <c r="B447">
        <v>52</v>
      </c>
      <c r="C447" t="s">
        <v>34</v>
      </c>
      <c r="D447" t="s">
        <v>61</v>
      </c>
      <c r="E447" t="s">
        <v>7</v>
      </c>
      <c r="F447">
        <v>33</v>
      </c>
      <c r="G447" t="s">
        <v>36</v>
      </c>
      <c r="H447">
        <v>48</v>
      </c>
      <c r="I447">
        <v>1</v>
      </c>
      <c r="J447">
        <v>2</v>
      </c>
      <c r="K447" t="s">
        <v>47</v>
      </c>
      <c r="L447" t="s">
        <v>10</v>
      </c>
      <c r="M447" t="s">
        <v>38</v>
      </c>
      <c r="N447" t="s">
        <v>29</v>
      </c>
      <c r="O447">
        <v>3</v>
      </c>
      <c r="P447" t="s">
        <v>13</v>
      </c>
      <c r="Q447">
        <v>1</v>
      </c>
      <c r="R447" t="s">
        <v>49</v>
      </c>
      <c r="S447" t="s">
        <v>15</v>
      </c>
      <c r="T447" t="s">
        <v>58</v>
      </c>
    </row>
    <row r="448" spans="1:20" x14ac:dyDescent="0.3">
      <c r="A448" t="s">
        <v>497</v>
      </c>
      <c r="B448">
        <v>37</v>
      </c>
      <c r="C448" t="s">
        <v>5</v>
      </c>
      <c r="D448" t="s">
        <v>40</v>
      </c>
      <c r="E448" t="s">
        <v>7</v>
      </c>
      <c r="F448">
        <v>28</v>
      </c>
      <c r="G448" t="s">
        <v>21</v>
      </c>
      <c r="H448">
        <v>52</v>
      </c>
      <c r="I448">
        <v>3</v>
      </c>
      <c r="J448">
        <v>5</v>
      </c>
      <c r="K448" t="s">
        <v>47</v>
      </c>
      <c r="L448" t="s">
        <v>68</v>
      </c>
      <c r="M448" t="s">
        <v>11</v>
      </c>
      <c r="N448" t="s">
        <v>23</v>
      </c>
      <c r="O448">
        <v>1</v>
      </c>
      <c r="P448" t="s">
        <v>13</v>
      </c>
      <c r="Q448">
        <v>3</v>
      </c>
      <c r="R448" t="s">
        <v>49</v>
      </c>
      <c r="S448" t="s">
        <v>31</v>
      </c>
      <c r="T448" t="s">
        <v>32</v>
      </c>
    </row>
    <row r="449" spans="1:20" x14ac:dyDescent="0.3">
      <c r="A449" t="s">
        <v>498</v>
      </c>
      <c r="B449">
        <v>22</v>
      </c>
      <c r="C449" t="s">
        <v>5</v>
      </c>
      <c r="D449" t="s">
        <v>63</v>
      </c>
      <c r="E449" t="s">
        <v>64</v>
      </c>
      <c r="F449">
        <v>2</v>
      </c>
      <c r="G449" t="s">
        <v>36</v>
      </c>
      <c r="H449">
        <v>40</v>
      </c>
      <c r="I449">
        <v>5</v>
      </c>
      <c r="J449">
        <v>3</v>
      </c>
      <c r="K449" t="s">
        <v>9</v>
      </c>
      <c r="L449" t="s">
        <v>68</v>
      </c>
      <c r="M449" t="s">
        <v>11</v>
      </c>
      <c r="N449" t="s">
        <v>23</v>
      </c>
      <c r="O449">
        <v>4</v>
      </c>
      <c r="P449" t="s">
        <v>24</v>
      </c>
      <c r="Q449">
        <v>2</v>
      </c>
      <c r="R449" t="s">
        <v>14</v>
      </c>
      <c r="S449" t="s">
        <v>31</v>
      </c>
      <c r="T449" t="s">
        <v>44</v>
      </c>
    </row>
    <row r="450" spans="1:20" x14ac:dyDescent="0.3">
      <c r="A450" t="s">
        <v>499</v>
      </c>
      <c r="B450">
        <v>51</v>
      </c>
      <c r="C450" t="s">
        <v>34</v>
      </c>
      <c r="D450" t="s">
        <v>6</v>
      </c>
      <c r="E450" t="s">
        <v>35</v>
      </c>
      <c r="F450">
        <v>22</v>
      </c>
      <c r="G450" t="s">
        <v>8</v>
      </c>
      <c r="H450">
        <v>41</v>
      </c>
      <c r="I450">
        <v>7</v>
      </c>
      <c r="J450">
        <v>1</v>
      </c>
      <c r="K450" t="s">
        <v>47</v>
      </c>
      <c r="L450" t="s">
        <v>68</v>
      </c>
      <c r="M450" t="s">
        <v>11</v>
      </c>
      <c r="N450" t="s">
        <v>12</v>
      </c>
      <c r="O450">
        <v>4</v>
      </c>
      <c r="P450" t="s">
        <v>13</v>
      </c>
      <c r="Q450">
        <v>5</v>
      </c>
      <c r="R450" t="s">
        <v>30</v>
      </c>
      <c r="S450" t="s">
        <v>42</v>
      </c>
      <c r="T450" t="s">
        <v>25</v>
      </c>
    </row>
    <row r="451" spans="1:20" x14ac:dyDescent="0.3">
      <c r="A451" t="s">
        <v>500</v>
      </c>
      <c r="B451">
        <v>57</v>
      </c>
      <c r="C451" t="s">
        <v>34</v>
      </c>
      <c r="D451" t="s">
        <v>63</v>
      </c>
      <c r="E451" t="s">
        <v>20</v>
      </c>
      <c r="F451">
        <v>8</v>
      </c>
      <c r="G451" t="s">
        <v>8</v>
      </c>
      <c r="H451">
        <v>56</v>
      </c>
      <c r="I451">
        <v>15</v>
      </c>
      <c r="J451">
        <v>1</v>
      </c>
      <c r="K451" t="s">
        <v>37</v>
      </c>
      <c r="L451" t="s">
        <v>68</v>
      </c>
      <c r="M451" t="s">
        <v>38</v>
      </c>
      <c r="N451" t="s">
        <v>12</v>
      </c>
      <c r="O451">
        <v>1</v>
      </c>
      <c r="P451" t="s">
        <v>13</v>
      </c>
      <c r="Q451">
        <v>4</v>
      </c>
      <c r="R451" t="s">
        <v>30</v>
      </c>
      <c r="S451" t="s">
        <v>31</v>
      </c>
      <c r="T451" t="s">
        <v>16</v>
      </c>
    </row>
    <row r="452" spans="1:20" x14ac:dyDescent="0.3">
      <c r="A452" t="s">
        <v>501</v>
      </c>
      <c r="B452">
        <v>58</v>
      </c>
      <c r="C452" t="s">
        <v>46</v>
      </c>
      <c r="D452" t="s">
        <v>19</v>
      </c>
      <c r="E452" t="s">
        <v>51</v>
      </c>
      <c r="F452">
        <v>32</v>
      </c>
      <c r="G452" t="s">
        <v>36</v>
      </c>
      <c r="H452">
        <v>57</v>
      </c>
      <c r="I452">
        <v>9</v>
      </c>
      <c r="J452">
        <v>5</v>
      </c>
      <c r="K452" t="s">
        <v>47</v>
      </c>
      <c r="L452" t="s">
        <v>22</v>
      </c>
      <c r="M452" t="s">
        <v>38</v>
      </c>
      <c r="N452" t="s">
        <v>29</v>
      </c>
      <c r="O452">
        <v>4</v>
      </c>
      <c r="P452" t="s">
        <v>24</v>
      </c>
      <c r="Q452">
        <v>5</v>
      </c>
      <c r="R452" t="s">
        <v>14</v>
      </c>
      <c r="S452" t="s">
        <v>15</v>
      </c>
      <c r="T452" t="s">
        <v>32</v>
      </c>
    </row>
    <row r="453" spans="1:20" x14ac:dyDescent="0.3">
      <c r="A453" t="s">
        <v>502</v>
      </c>
      <c r="B453">
        <v>32</v>
      </c>
      <c r="C453" t="s">
        <v>46</v>
      </c>
      <c r="D453" t="s">
        <v>19</v>
      </c>
      <c r="E453" t="s">
        <v>35</v>
      </c>
      <c r="F453">
        <v>21</v>
      </c>
      <c r="G453" t="s">
        <v>21</v>
      </c>
      <c r="H453">
        <v>36</v>
      </c>
      <c r="I453">
        <v>5</v>
      </c>
      <c r="J453">
        <v>3</v>
      </c>
      <c r="K453" t="s">
        <v>37</v>
      </c>
      <c r="L453" t="s">
        <v>22</v>
      </c>
      <c r="M453" t="s">
        <v>11</v>
      </c>
      <c r="N453" t="s">
        <v>29</v>
      </c>
      <c r="O453">
        <v>4</v>
      </c>
      <c r="P453" t="s">
        <v>24</v>
      </c>
      <c r="Q453">
        <v>5</v>
      </c>
      <c r="R453" t="s">
        <v>49</v>
      </c>
      <c r="S453" t="s">
        <v>15</v>
      </c>
      <c r="T453" t="s">
        <v>55</v>
      </c>
    </row>
    <row r="454" spans="1:20" x14ac:dyDescent="0.3">
      <c r="A454" t="s">
        <v>503</v>
      </c>
      <c r="B454">
        <v>41</v>
      </c>
      <c r="C454" t="s">
        <v>18</v>
      </c>
      <c r="D454" t="s">
        <v>19</v>
      </c>
      <c r="E454" t="s">
        <v>35</v>
      </c>
      <c r="F454">
        <v>15</v>
      </c>
      <c r="G454" t="s">
        <v>8</v>
      </c>
      <c r="H454">
        <v>32</v>
      </c>
      <c r="I454">
        <v>5</v>
      </c>
      <c r="J454">
        <v>4</v>
      </c>
      <c r="K454" t="s">
        <v>47</v>
      </c>
      <c r="L454" t="s">
        <v>68</v>
      </c>
      <c r="M454" t="s">
        <v>38</v>
      </c>
      <c r="N454" t="s">
        <v>23</v>
      </c>
      <c r="O454">
        <v>4</v>
      </c>
      <c r="P454" t="s">
        <v>13</v>
      </c>
      <c r="Q454">
        <v>1</v>
      </c>
      <c r="R454" t="s">
        <v>49</v>
      </c>
      <c r="S454" t="s">
        <v>42</v>
      </c>
      <c r="T454" t="s">
        <v>55</v>
      </c>
    </row>
    <row r="455" spans="1:20" x14ac:dyDescent="0.3">
      <c r="A455" t="s">
        <v>504</v>
      </c>
      <c r="B455">
        <v>36</v>
      </c>
      <c r="C455" t="s">
        <v>18</v>
      </c>
      <c r="D455" t="s">
        <v>57</v>
      </c>
      <c r="E455" t="s">
        <v>28</v>
      </c>
      <c r="F455">
        <v>10</v>
      </c>
      <c r="G455" t="s">
        <v>21</v>
      </c>
      <c r="H455">
        <v>32</v>
      </c>
      <c r="I455">
        <v>7</v>
      </c>
      <c r="J455">
        <v>4</v>
      </c>
      <c r="K455" t="s">
        <v>9</v>
      </c>
      <c r="L455" t="s">
        <v>30</v>
      </c>
      <c r="M455" t="s">
        <v>11</v>
      </c>
      <c r="N455" t="s">
        <v>12</v>
      </c>
      <c r="O455">
        <v>5</v>
      </c>
      <c r="P455" t="s">
        <v>13</v>
      </c>
      <c r="Q455">
        <v>3</v>
      </c>
      <c r="R455" t="s">
        <v>14</v>
      </c>
      <c r="S455" t="s">
        <v>15</v>
      </c>
      <c r="T455" t="s">
        <v>25</v>
      </c>
    </row>
    <row r="456" spans="1:20" x14ac:dyDescent="0.3">
      <c r="A456" t="s">
        <v>505</v>
      </c>
      <c r="B456">
        <v>51</v>
      </c>
      <c r="C456" t="s">
        <v>5</v>
      </c>
      <c r="D456" t="s">
        <v>19</v>
      </c>
      <c r="E456" t="s">
        <v>51</v>
      </c>
      <c r="F456">
        <v>2</v>
      </c>
      <c r="G456" t="s">
        <v>21</v>
      </c>
      <c r="H456">
        <v>58</v>
      </c>
      <c r="I456">
        <v>14</v>
      </c>
      <c r="J456">
        <v>3</v>
      </c>
      <c r="K456" t="s">
        <v>47</v>
      </c>
      <c r="L456" t="s">
        <v>10</v>
      </c>
      <c r="M456" t="s">
        <v>11</v>
      </c>
      <c r="N456" t="s">
        <v>12</v>
      </c>
      <c r="O456">
        <v>4</v>
      </c>
      <c r="P456" t="s">
        <v>24</v>
      </c>
      <c r="Q456">
        <v>4</v>
      </c>
      <c r="R456" t="s">
        <v>30</v>
      </c>
      <c r="S456" t="s">
        <v>42</v>
      </c>
      <c r="T456" t="s">
        <v>25</v>
      </c>
    </row>
    <row r="457" spans="1:20" x14ac:dyDescent="0.3">
      <c r="A457" t="s">
        <v>506</v>
      </c>
      <c r="B457">
        <v>60</v>
      </c>
      <c r="C457" t="s">
        <v>18</v>
      </c>
      <c r="D457" t="s">
        <v>40</v>
      </c>
      <c r="E457" t="s">
        <v>64</v>
      </c>
      <c r="F457">
        <v>10</v>
      </c>
      <c r="G457" t="s">
        <v>21</v>
      </c>
      <c r="H457">
        <v>59</v>
      </c>
      <c r="I457">
        <v>15</v>
      </c>
      <c r="J457">
        <v>4</v>
      </c>
      <c r="K457" t="s">
        <v>47</v>
      </c>
      <c r="L457" t="s">
        <v>30</v>
      </c>
      <c r="M457" t="s">
        <v>11</v>
      </c>
      <c r="N457" t="s">
        <v>23</v>
      </c>
      <c r="O457">
        <v>4</v>
      </c>
      <c r="P457" t="s">
        <v>24</v>
      </c>
      <c r="Q457">
        <v>1</v>
      </c>
      <c r="R457" t="s">
        <v>49</v>
      </c>
      <c r="S457" t="s">
        <v>31</v>
      </c>
      <c r="T457" t="s">
        <v>44</v>
      </c>
    </row>
    <row r="458" spans="1:20" x14ac:dyDescent="0.3">
      <c r="A458" t="s">
        <v>507</v>
      </c>
      <c r="B458">
        <v>34</v>
      </c>
      <c r="C458" t="s">
        <v>18</v>
      </c>
      <c r="D458" t="s">
        <v>6</v>
      </c>
      <c r="E458" t="s">
        <v>7</v>
      </c>
      <c r="F458">
        <v>28</v>
      </c>
      <c r="G458" t="s">
        <v>36</v>
      </c>
      <c r="H458">
        <v>22</v>
      </c>
      <c r="I458">
        <v>3</v>
      </c>
      <c r="J458">
        <v>3</v>
      </c>
      <c r="K458" t="s">
        <v>9</v>
      </c>
      <c r="L458" t="s">
        <v>30</v>
      </c>
      <c r="M458" t="s">
        <v>38</v>
      </c>
      <c r="N458" t="s">
        <v>29</v>
      </c>
      <c r="O458">
        <v>2</v>
      </c>
      <c r="P458" t="s">
        <v>48</v>
      </c>
      <c r="Q458">
        <v>5</v>
      </c>
      <c r="R458" t="s">
        <v>14</v>
      </c>
      <c r="S458" t="s">
        <v>31</v>
      </c>
      <c r="T458" t="s">
        <v>58</v>
      </c>
    </row>
    <row r="459" spans="1:20" x14ac:dyDescent="0.3">
      <c r="A459" t="s">
        <v>508</v>
      </c>
      <c r="B459">
        <v>33</v>
      </c>
      <c r="C459" t="s">
        <v>18</v>
      </c>
      <c r="D459" t="s">
        <v>40</v>
      </c>
      <c r="E459" t="s">
        <v>51</v>
      </c>
      <c r="F459">
        <v>27</v>
      </c>
      <c r="G459" t="s">
        <v>21</v>
      </c>
      <c r="H459">
        <v>49</v>
      </c>
      <c r="I459">
        <v>10</v>
      </c>
      <c r="J459">
        <v>2</v>
      </c>
      <c r="K459" t="s">
        <v>9</v>
      </c>
      <c r="L459" t="s">
        <v>22</v>
      </c>
      <c r="M459" t="s">
        <v>38</v>
      </c>
      <c r="N459" t="s">
        <v>29</v>
      </c>
      <c r="O459">
        <v>2</v>
      </c>
      <c r="P459" t="s">
        <v>13</v>
      </c>
      <c r="Q459">
        <v>3</v>
      </c>
      <c r="R459" t="s">
        <v>30</v>
      </c>
      <c r="S459" t="s">
        <v>42</v>
      </c>
      <c r="T459" t="s">
        <v>55</v>
      </c>
    </row>
    <row r="460" spans="1:20" x14ac:dyDescent="0.3">
      <c r="A460" t="s">
        <v>509</v>
      </c>
      <c r="B460">
        <v>53</v>
      </c>
      <c r="C460" t="s">
        <v>46</v>
      </c>
      <c r="D460" t="s">
        <v>57</v>
      </c>
      <c r="E460" t="s">
        <v>41</v>
      </c>
      <c r="F460">
        <v>1</v>
      </c>
      <c r="G460" t="s">
        <v>36</v>
      </c>
      <c r="H460">
        <v>42</v>
      </c>
      <c r="I460">
        <v>14</v>
      </c>
      <c r="J460">
        <v>3</v>
      </c>
      <c r="K460" t="s">
        <v>37</v>
      </c>
      <c r="L460" t="s">
        <v>10</v>
      </c>
      <c r="M460" t="s">
        <v>11</v>
      </c>
      <c r="N460" t="s">
        <v>29</v>
      </c>
      <c r="O460">
        <v>1</v>
      </c>
      <c r="P460" t="s">
        <v>24</v>
      </c>
      <c r="Q460">
        <v>3</v>
      </c>
      <c r="R460" t="s">
        <v>49</v>
      </c>
      <c r="S460" t="s">
        <v>31</v>
      </c>
      <c r="T460" t="s">
        <v>25</v>
      </c>
    </row>
    <row r="461" spans="1:20" x14ac:dyDescent="0.3">
      <c r="A461" t="s">
        <v>510</v>
      </c>
      <c r="B461">
        <v>53</v>
      </c>
      <c r="C461" t="s">
        <v>18</v>
      </c>
      <c r="D461" t="s">
        <v>40</v>
      </c>
      <c r="E461" t="s">
        <v>64</v>
      </c>
      <c r="F461">
        <v>7</v>
      </c>
      <c r="G461" t="s">
        <v>36</v>
      </c>
      <c r="H461">
        <v>20</v>
      </c>
      <c r="I461">
        <v>5</v>
      </c>
      <c r="J461">
        <v>5</v>
      </c>
      <c r="K461" t="s">
        <v>47</v>
      </c>
      <c r="L461" t="s">
        <v>10</v>
      </c>
      <c r="M461" t="s">
        <v>38</v>
      </c>
      <c r="N461" t="s">
        <v>23</v>
      </c>
      <c r="O461">
        <v>2</v>
      </c>
      <c r="P461" t="s">
        <v>13</v>
      </c>
      <c r="Q461">
        <v>3</v>
      </c>
      <c r="R461" t="s">
        <v>30</v>
      </c>
      <c r="S461" t="s">
        <v>42</v>
      </c>
      <c r="T461" t="s">
        <v>58</v>
      </c>
    </row>
    <row r="462" spans="1:20" x14ac:dyDescent="0.3">
      <c r="A462" t="s">
        <v>511</v>
      </c>
      <c r="B462">
        <v>40</v>
      </c>
      <c r="C462" t="s">
        <v>18</v>
      </c>
      <c r="D462" t="s">
        <v>63</v>
      </c>
      <c r="E462" t="s">
        <v>20</v>
      </c>
      <c r="F462">
        <v>12</v>
      </c>
      <c r="G462" t="s">
        <v>21</v>
      </c>
      <c r="H462">
        <v>22</v>
      </c>
      <c r="I462">
        <v>5</v>
      </c>
      <c r="J462">
        <v>2</v>
      </c>
      <c r="K462" t="s">
        <v>9</v>
      </c>
      <c r="L462" t="s">
        <v>68</v>
      </c>
      <c r="M462" t="s">
        <v>11</v>
      </c>
      <c r="N462" t="s">
        <v>12</v>
      </c>
      <c r="O462">
        <v>2</v>
      </c>
      <c r="P462" t="s">
        <v>24</v>
      </c>
      <c r="Q462">
        <v>2</v>
      </c>
      <c r="R462" t="s">
        <v>30</v>
      </c>
      <c r="S462" t="s">
        <v>31</v>
      </c>
      <c r="T462" t="s">
        <v>16</v>
      </c>
    </row>
    <row r="463" spans="1:20" x14ac:dyDescent="0.3">
      <c r="A463" t="s">
        <v>512</v>
      </c>
      <c r="B463">
        <v>36</v>
      </c>
      <c r="C463" t="s">
        <v>5</v>
      </c>
      <c r="D463" t="s">
        <v>61</v>
      </c>
      <c r="E463" t="s">
        <v>51</v>
      </c>
      <c r="F463">
        <v>28</v>
      </c>
      <c r="G463" t="s">
        <v>8</v>
      </c>
      <c r="H463">
        <v>48</v>
      </c>
      <c r="I463">
        <v>1</v>
      </c>
      <c r="J463">
        <v>5</v>
      </c>
      <c r="K463" t="s">
        <v>9</v>
      </c>
      <c r="L463" t="s">
        <v>68</v>
      </c>
      <c r="M463" t="s">
        <v>11</v>
      </c>
      <c r="N463" t="s">
        <v>12</v>
      </c>
      <c r="O463">
        <v>2</v>
      </c>
      <c r="P463" t="s">
        <v>48</v>
      </c>
      <c r="Q463">
        <v>2</v>
      </c>
      <c r="R463" t="s">
        <v>30</v>
      </c>
      <c r="S463" t="s">
        <v>15</v>
      </c>
      <c r="T463" t="s">
        <v>16</v>
      </c>
    </row>
    <row r="464" spans="1:20" x14ac:dyDescent="0.3">
      <c r="A464" t="s">
        <v>513</v>
      </c>
      <c r="B464">
        <v>54</v>
      </c>
      <c r="C464" t="s">
        <v>46</v>
      </c>
      <c r="D464" t="s">
        <v>61</v>
      </c>
      <c r="E464" t="s">
        <v>7</v>
      </c>
      <c r="F464">
        <v>27</v>
      </c>
      <c r="G464" t="s">
        <v>21</v>
      </c>
      <c r="H464">
        <v>20</v>
      </c>
      <c r="I464">
        <v>1</v>
      </c>
      <c r="J464">
        <v>1</v>
      </c>
      <c r="K464" t="s">
        <v>37</v>
      </c>
      <c r="L464" t="s">
        <v>68</v>
      </c>
      <c r="M464" t="s">
        <v>11</v>
      </c>
      <c r="N464" t="s">
        <v>12</v>
      </c>
      <c r="O464">
        <v>1</v>
      </c>
      <c r="P464" t="s">
        <v>24</v>
      </c>
      <c r="Q464">
        <v>3</v>
      </c>
      <c r="R464" t="s">
        <v>30</v>
      </c>
      <c r="S464" t="s">
        <v>42</v>
      </c>
      <c r="T464" t="s">
        <v>16</v>
      </c>
    </row>
    <row r="465" spans="1:20" x14ac:dyDescent="0.3">
      <c r="A465" t="s">
        <v>514</v>
      </c>
      <c r="B465">
        <v>41</v>
      </c>
      <c r="C465" t="s">
        <v>46</v>
      </c>
      <c r="D465" t="s">
        <v>6</v>
      </c>
      <c r="E465" t="s">
        <v>20</v>
      </c>
      <c r="F465">
        <v>19</v>
      </c>
      <c r="G465" t="s">
        <v>8</v>
      </c>
      <c r="H465">
        <v>24</v>
      </c>
      <c r="I465">
        <v>8</v>
      </c>
      <c r="J465">
        <v>3</v>
      </c>
      <c r="K465" t="s">
        <v>47</v>
      </c>
      <c r="L465" t="s">
        <v>10</v>
      </c>
      <c r="M465" t="s">
        <v>11</v>
      </c>
      <c r="N465" t="s">
        <v>29</v>
      </c>
      <c r="O465">
        <v>3</v>
      </c>
      <c r="P465" t="s">
        <v>24</v>
      </c>
      <c r="Q465">
        <v>5</v>
      </c>
      <c r="R465" t="s">
        <v>49</v>
      </c>
      <c r="S465" t="s">
        <v>31</v>
      </c>
      <c r="T465" t="s">
        <v>32</v>
      </c>
    </row>
    <row r="466" spans="1:20" x14ac:dyDescent="0.3">
      <c r="A466" t="s">
        <v>515</v>
      </c>
      <c r="B466">
        <v>55</v>
      </c>
      <c r="C466" t="s">
        <v>18</v>
      </c>
      <c r="D466" t="s">
        <v>40</v>
      </c>
      <c r="E466" t="s">
        <v>41</v>
      </c>
      <c r="F466">
        <v>15</v>
      </c>
      <c r="G466" t="s">
        <v>8</v>
      </c>
      <c r="H466">
        <v>22</v>
      </c>
      <c r="I466">
        <v>9</v>
      </c>
      <c r="J466">
        <v>4</v>
      </c>
      <c r="K466" t="s">
        <v>37</v>
      </c>
      <c r="L466" t="s">
        <v>22</v>
      </c>
      <c r="M466" t="s">
        <v>38</v>
      </c>
      <c r="N466" t="s">
        <v>29</v>
      </c>
      <c r="O466">
        <v>1</v>
      </c>
      <c r="P466" t="s">
        <v>13</v>
      </c>
      <c r="Q466">
        <v>2</v>
      </c>
      <c r="R466" t="s">
        <v>30</v>
      </c>
      <c r="S466" t="s">
        <v>31</v>
      </c>
      <c r="T466" t="s">
        <v>16</v>
      </c>
    </row>
    <row r="467" spans="1:20" x14ac:dyDescent="0.3">
      <c r="A467" t="s">
        <v>516</v>
      </c>
      <c r="B467">
        <v>34</v>
      </c>
      <c r="C467" t="s">
        <v>46</v>
      </c>
      <c r="D467" t="s">
        <v>57</v>
      </c>
      <c r="E467" t="s">
        <v>35</v>
      </c>
      <c r="F467">
        <v>19</v>
      </c>
      <c r="G467" t="s">
        <v>36</v>
      </c>
      <c r="H467">
        <v>58</v>
      </c>
      <c r="I467">
        <v>4</v>
      </c>
      <c r="J467">
        <v>1</v>
      </c>
      <c r="K467" t="s">
        <v>37</v>
      </c>
      <c r="L467" t="s">
        <v>30</v>
      </c>
      <c r="M467" t="s">
        <v>11</v>
      </c>
      <c r="N467" t="s">
        <v>12</v>
      </c>
      <c r="O467">
        <v>5</v>
      </c>
      <c r="P467" t="s">
        <v>13</v>
      </c>
      <c r="Q467">
        <v>2</v>
      </c>
      <c r="R467" t="s">
        <v>30</v>
      </c>
      <c r="S467" t="s">
        <v>42</v>
      </c>
      <c r="T467" t="s">
        <v>16</v>
      </c>
    </row>
    <row r="468" spans="1:20" x14ac:dyDescent="0.3">
      <c r="A468" t="s">
        <v>517</v>
      </c>
      <c r="B468">
        <v>43</v>
      </c>
      <c r="C468" t="s">
        <v>46</v>
      </c>
      <c r="D468" t="s">
        <v>63</v>
      </c>
      <c r="E468" t="s">
        <v>20</v>
      </c>
      <c r="F468">
        <v>17</v>
      </c>
      <c r="G468" t="s">
        <v>8</v>
      </c>
      <c r="H468">
        <v>58</v>
      </c>
      <c r="I468">
        <v>2</v>
      </c>
      <c r="J468">
        <v>2</v>
      </c>
      <c r="K468" t="s">
        <v>9</v>
      </c>
      <c r="L468" t="s">
        <v>22</v>
      </c>
      <c r="M468" t="s">
        <v>38</v>
      </c>
      <c r="N468" t="s">
        <v>23</v>
      </c>
      <c r="O468">
        <v>2</v>
      </c>
      <c r="P468" t="s">
        <v>48</v>
      </c>
      <c r="Q468">
        <v>2</v>
      </c>
      <c r="R468" t="s">
        <v>30</v>
      </c>
      <c r="S468" t="s">
        <v>42</v>
      </c>
      <c r="T468" t="s">
        <v>16</v>
      </c>
    </row>
    <row r="469" spans="1:20" x14ac:dyDescent="0.3">
      <c r="A469" t="s">
        <v>518</v>
      </c>
      <c r="B469">
        <v>37</v>
      </c>
      <c r="C469" t="s">
        <v>5</v>
      </c>
      <c r="D469" t="s">
        <v>63</v>
      </c>
      <c r="E469" t="s">
        <v>20</v>
      </c>
      <c r="F469">
        <v>26</v>
      </c>
      <c r="G469" t="s">
        <v>8</v>
      </c>
      <c r="H469">
        <v>27</v>
      </c>
      <c r="I469">
        <v>9</v>
      </c>
      <c r="J469">
        <v>1</v>
      </c>
      <c r="K469" t="s">
        <v>9</v>
      </c>
      <c r="L469" t="s">
        <v>22</v>
      </c>
      <c r="M469" t="s">
        <v>38</v>
      </c>
      <c r="N469" t="s">
        <v>12</v>
      </c>
      <c r="O469">
        <v>5</v>
      </c>
      <c r="P469" t="s">
        <v>24</v>
      </c>
      <c r="Q469">
        <v>1</v>
      </c>
      <c r="R469" t="s">
        <v>14</v>
      </c>
      <c r="S469" t="s">
        <v>31</v>
      </c>
      <c r="T469" t="s">
        <v>55</v>
      </c>
    </row>
    <row r="470" spans="1:20" x14ac:dyDescent="0.3">
      <c r="A470" t="s">
        <v>519</v>
      </c>
      <c r="B470">
        <v>37</v>
      </c>
      <c r="C470" t="s">
        <v>46</v>
      </c>
      <c r="D470" t="s">
        <v>6</v>
      </c>
      <c r="E470" t="s">
        <v>28</v>
      </c>
      <c r="F470">
        <v>14</v>
      </c>
      <c r="G470" t="s">
        <v>8</v>
      </c>
      <c r="H470">
        <v>40</v>
      </c>
      <c r="I470">
        <v>13</v>
      </c>
      <c r="J470">
        <v>1</v>
      </c>
      <c r="K470" t="s">
        <v>47</v>
      </c>
      <c r="L470" t="s">
        <v>68</v>
      </c>
      <c r="M470" t="s">
        <v>38</v>
      </c>
      <c r="N470" t="s">
        <v>12</v>
      </c>
      <c r="O470">
        <v>4</v>
      </c>
      <c r="P470" t="s">
        <v>24</v>
      </c>
      <c r="Q470">
        <v>1</v>
      </c>
      <c r="R470" t="s">
        <v>14</v>
      </c>
      <c r="S470" t="s">
        <v>42</v>
      </c>
      <c r="T470" t="s">
        <v>25</v>
      </c>
    </row>
    <row r="471" spans="1:20" x14ac:dyDescent="0.3">
      <c r="A471" t="s">
        <v>520</v>
      </c>
      <c r="B471">
        <v>57</v>
      </c>
      <c r="C471" t="s">
        <v>18</v>
      </c>
      <c r="D471" t="s">
        <v>40</v>
      </c>
      <c r="E471" t="s">
        <v>35</v>
      </c>
      <c r="F471">
        <v>1</v>
      </c>
      <c r="G471" t="s">
        <v>8</v>
      </c>
      <c r="H471">
        <v>24</v>
      </c>
      <c r="I471">
        <v>14</v>
      </c>
      <c r="J471">
        <v>4</v>
      </c>
      <c r="K471" t="s">
        <v>47</v>
      </c>
      <c r="L471" t="s">
        <v>10</v>
      </c>
      <c r="M471" t="s">
        <v>38</v>
      </c>
      <c r="N471" t="s">
        <v>29</v>
      </c>
      <c r="O471">
        <v>1</v>
      </c>
      <c r="P471" t="s">
        <v>13</v>
      </c>
      <c r="Q471">
        <v>3</v>
      </c>
      <c r="R471" t="s">
        <v>49</v>
      </c>
      <c r="S471" t="s">
        <v>31</v>
      </c>
      <c r="T471" t="s">
        <v>58</v>
      </c>
    </row>
    <row r="472" spans="1:20" x14ac:dyDescent="0.3">
      <c r="A472" t="s">
        <v>521</v>
      </c>
      <c r="B472">
        <v>33</v>
      </c>
      <c r="C472" t="s">
        <v>18</v>
      </c>
      <c r="D472" t="s">
        <v>40</v>
      </c>
      <c r="E472" t="s">
        <v>20</v>
      </c>
      <c r="F472">
        <v>26</v>
      </c>
      <c r="G472" t="s">
        <v>36</v>
      </c>
      <c r="H472">
        <v>43</v>
      </c>
      <c r="I472">
        <v>7</v>
      </c>
      <c r="J472">
        <v>2</v>
      </c>
      <c r="K472" t="s">
        <v>47</v>
      </c>
      <c r="L472" t="s">
        <v>10</v>
      </c>
      <c r="M472" t="s">
        <v>11</v>
      </c>
      <c r="N472" t="s">
        <v>29</v>
      </c>
      <c r="O472">
        <v>1</v>
      </c>
      <c r="P472" t="s">
        <v>48</v>
      </c>
      <c r="Q472">
        <v>2</v>
      </c>
      <c r="R472" t="s">
        <v>49</v>
      </c>
      <c r="S472" t="s">
        <v>15</v>
      </c>
      <c r="T472" t="s">
        <v>16</v>
      </c>
    </row>
    <row r="473" spans="1:20" x14ac:dyDescent="0.3">
      <c r="A473" t="s">
        <v>522</v>
      </c>
      <c r="B473">
        <v>51</v>
      </c>
      <c r="C473" t="s">
        <v>18</v>
      </c>
      <c r="D473" t="s">
        <v>6</v>
      </c>
      <c r="E473" t="s">
        <v>51</v>
      </c>
      <c r="F473">
        <v>14</v>
      </c>
      <c r="G473" t="s">
        <v>21</v>
      </c>
      <c r="H473">
        <v>50</v>
      </c>
      <c r="I473">
        <v>9</v>
      </c>
      <c r="J473">
        <v>2</v>
      </c>
      <c r="K473" t="s">
        <v>37</v>
      </c>
      <c r="L473" t="s">
        <v>30</v>
      </c>
      <c r="M473" t="s">
        <v>11</v>
      </c>
      <c r="N473" t="s">
        <v>12</v>
      </c>
      <c r="O473">
        <v>3</v>
      </c>
      <c r="P473" t="s">
        <v>48</v>
      </c>
      <c r="Q473">
        <v>2</v>
      </c>
      <c r="R473" t="s">
        <v>49</v>
      </c>
      <c r="S473" t="s">
        <v>42</v>
      </c>
      <c r="T473" t="s">
        <v>58</v>
      </c>
    </row>
    <row r="474" spans="1:20" x14ac:dyDescent="0.3">
      <c r="A474" t="s">
        <v>523</v>
      </c>
      <c r="B474">
        <v>50</v>
      </c>
      <c r="C474" t="s">
        <v>34</v>
      </c>
      <c r="D474" t="s">
        <v>61</v>
      </c>
      <c r="E474" t="s">
        <v>51</v>
      </c>
      <c r="F474">
        <v>17</v>
      </c>
      <c r="G474" t="s">
        <v>21</v>
      </c>
      <c r="H474">
        <v>30</v>
      </c>
      <c r="I474">
        <v>14</v>
      </c>
      <c r="J474">
        <v>3</v>
      </c>
      <c r="K474" t="s">
        <v>9</v>
      </c>
      <c r="L474" t="s">
        <v>30</v>
      </c>
      <c r="M474" t="s">
        <v>38</v>
      </c>
      <c r="N474" t="s">
        <v>12</v>
      </c>
      <c r="O474">
        <v>5</v>
      </c>
      <c r="P474" t="s">
        <v>24</v>
      </c>
      <c r="Q474">
        <v>1</v>
      </c>
      <c r="R474" t="s">
        <v>14</v>
      </c>
      <c r="S474" t="s">
        <v>42</v>
      </c>
      <c r="T474" t="s">
        <v>16</v>
      </c>
    </row>
    <row r="475" spans="1:20" x14ac:dyDescent="0.3">
      <c r="A475" t="s">
        <v>524</v>
      </c>
      <c r="B475">
        <v>35</v>
      </c>
      <c r="C475" t="s">
        <v>18</v>
      </c>
      <c r="D475" t="s">
        <v>40</v>
      </c>
      <c r="E475" t="s">
        <v>41</v>
      </c>
      <c r="F475">
        <v>26</v>
      </c>
      <c r="G475" t="s">
        <v>8</v>
      </c>
      <c r="H475">
        <v>35</v>
      </c>
      <c r="I475">
        <v>15</v>
      </c>
      <c r="J475">
        <v>2</v>
      </c>
      <c r="K475" t="s">
        <v>9</v>
      </c>
      <c r="L475" t="s">
        <v>10</v>
      </c>
      <c r="M475" t="s">
        <v>11</v>
      </c>
      <c r="N475" t="s">
        <v>12</v>
      </c>
      <c r="O475">
        <v>1</v>
      </c>
      <c r="P475" t="s">
        <v>13</v>
      </c>
      <c r="Q475">
        <v>2</v>
      </c>
      <c r="R475" t="s">
        <v>30</v>
      </c>
      <c r="S475" t="s">
        <v>31</v>
      </c>
      <c r="T475" t="s">
        <v>25</v>
      </c>
    </row>
    <row r="476" spans="1:20" x14ac:dyDescent="0.3">
      <c r="A476" t="s">
        <v>525</v>
      </c>
      <c r="B476">
        <v>40</v>
      </c>
      <c r="C476" t="s">
        <v>5</v>
      </c>
      <c r="D476" t="s">
        <v>57</v>
      </c>
      <c r="E476" t="s">
        <v>28</v>
      </c>
      <c r="F476">
        <v>33</v>
      </c>
      <c r="G476" t="s">
        <v>21</v>
      </c>
      <c r="H476">
        <v>37</v>
      </c>
      <c r="I476">
        <v>13</v>
      </c>
      <c r="J476">
        <v>2</v>
      </c>
      <c r="K476" t="s">
        <v>47</v>
      </c>
      <c r="L476" t="s">
        <v>10</v>
      </c>
      <c r="M476" t="s">
        <v>38</v>
      </c>
      <c r="N476" t="s">
        <v>23</v>
      </c>
      <c r="O476">
        <v>4</v>
      </c>
      <c r="P476" t="s">
        <v>24</v>
      </c>
      <c r="Q476">
        <v>5</v>
      </c>
      <c r="R476" t="s">
        <v>30</v>
      </c>
      <c r="S476" t="s">
        <v>31</v>
      </c>
      <c r="T476" t="s">
        <v>58</v>
      </c>
    </row>
    <row r="477" spans="1:20" x14ac:dyDescent="0.3">
      <c r="A477" t="s">
        <v>526</v>
      </c>
      <c r="B477">
        <v>53</v>
      </c>
      <c r="C477" t="s">
        <v>5</v>
      </c>
      <c r="D477" t="s">
        <v>63</v>
      </c>
      <c r="E477" t="s">
        <v>64</v>
      </c>
      <c r="F477">
        <v>7</v>
      </c>
      <c r="G477" t="s">
        <v>36</v>
      </c>
      <c r="H477">
        <v>51</v>
      </c>
      <c r="I477">
        <v>9</v>
      </c>
      <c r="J477">
        <v>3</v>
      </c>
      <c r="K477" t="s">
        <v>47</v>
      </c>
      <c r="L477" t="s">
        <v>10</v>
      </c>
      <c r="M477" t="s">
        <v>38</v>
      </c>
      <c r="N477" t="s">
        <v>29</v>
      </c>
      <c r="O477">
        <v>3</v>
      </c>
      <c r="P477" t="s">
        <v>24</v>
      </c>
      <c r="Q477">
        <v>5</v>
      </c>
      <c r="R477" t="s">
        <v>14</v>
      </c>
      <c r="S477" t="s">
        <v>31</v>
      </c>
      <c r="T477" t="s">
        <v>44</v>
      </c>
    </row>
    <row r="478" spans="1:20" x14ac:dyDescent="0.3">
      <c r="A478" t="s">
        <v>527</v>
      </c>
      <c r="B478">
        <v>32</v>
      </c>
      <c r="C478" t="s">
        <v>34</v>
      </c>
      <c r="D478" t="s">
        <v>57</v>
      </c>
      <c r="E478" t="s">
        <v>51</v>
      </c>
      <c r="F478">
        <v>5</v>
      </c>
      <c r="G478" t="s">
        <v>36</v>
      </c>
      <c r="H478">
        <v>54</v>
      </c>
      <c r="I478">
        <v>11</v>
      </c>
      <c r="J478">
        <v>2</v>
      </c>
      <c r="K478" t="s">
        <v>47</v>
      </c>
      <c r="L478" t="s">
        <v>22</v>
      </c>
      <c r="M478" t="s">
        <v>11</v>
      </c>
      <c r="N478" t="s">
        <v>23</v>
      </c>
      <c r="O478">
        <v>4</v>
      </c>
      <c r="P478" t="s">
        <v>13</v>
      </c>
      <c r="Q478">
        <v>4</v>
      </c>
      <c r="R478" t="s">
        <v>49</v>
      </c>
      <c r="S478" t="s">
        <v>42</v>
      </c>
      <c r="T478" t="s">
        <v>58</v>
      </c>
    </row>
    <row r="479" spans="1:20" x14ac:dyDescent="0.3">
      <c r="A479" t="s">
        <v>528</v>
      </c>
      <c r="B479">
        <v>56</v>
      </c>
      <c r="C479" t="s">
        <v>18</v>
      </c>
      <c r="D479" t="s">
        <v>61</v>
      </c>
      <c r="E479" t="s">
        <v>64</v>
      </c>
      <c r="F479">
        <v>25</v>
      </c>
      <c r="G479" t="s">
        <v>21</v>
      </c>
      <c r="H479">
        <v>58</v>
      </c>
      <c r="I479">
        <v>15</v>
      </c>
      <c r="J479">
        <v>4</v>
      </c>
      <c r="K479" t="s">
        <v>37</v>
      </c>
      <c r="L479" t="s">
        <v>68</v>
      </c>
      <c r="M479" t="s">
        <v>11</v>
      </c>
      <c r="N479" t="s">
        <v>12</v>
      </c>
      <c r="O479">
        <v>3</v>
      </c>
      <c r="P479" t="s">
        <v>24</v>
      </c>
      <c r="Q479">
        <v>2</v>
      </c>
      <c r="R479" t="s">
        <v>30</v>
      </c>
      <c r="S479" t="s">
        <v>15</v>
      </c>
      <c r="T479" t="s">
        <v>58</v>
      </c>
    </row>
    <row r="480" spans="1:20" x14ac:dyDescent="0.3">
      <c r="A480" t="s">
        <v>529</v>
      </c>
      <c r="B480">
        <v>55</v>
      </c>
      <c r="C480" t="s">
        <v>18</v>
      </c>
      <c r="D480" t="s">
        <v>40</v>
      </c>
      <c r="E480" t="s">
        <v>35</v>
      </c>
      <c r="F480">
        <v>3</v>
      </c>
      <c r="G480" t="s">
        <v>36</v>
      </c>
      <c r="H480">
        <v>36</v>
      </c>
      <c r="I480">
        <v>1</v>
      </c>
      <c r="J480">
        <v>1</v>
      </c>
      <c r="K480" t="s">
        <v>47</v>
      </c>
      <c r="L480" t="s">
        <v>10</v>
      </c>
      <c r="M480" t="s">
        <v>38</v>
      </c>
      <c r="N480" t="s">
        <v>12</v>
      </c>
      <c r="O480">
        <v>2</v>
      </c>
      <c r="P480" t="s">
        <v>13</v>
      </c>
      <c r="Q480">
        <v>5</v>
      </c>
      <c r="R480" t="s">
        <v>30</v>
      </c>
      <c r="S480" t="s">
        <v>15</v>
      </c>
      <c r="T480" t="s">
        <v>44</v>
      </c>
    </row>
    <row r="481" spans="1:20" x14ac:dyDescent="0.3">
      <c r="A481" t="s">
        <v>530</v>
      </c>
      <c r="B481">
        <v>49</v>
      </c>
      <c r="C481" t="s">
        <v>5</v>
      </c>
      <c r="D481" t="s">
        <v>63</v>
      </c>
      <c r="E481" t="s">
        <v>64</v>
      </c>
      <c r="F481">
        <v>2</v>
      </c>
      <c r="G481" t="s">
        <v>36</v>
      </c>
      <c r="H481">
        <v>53</v>
      </c>
      <c r="I481">
        <v>10</v>
      </c>
      <c r="J481">
        <v>4</v>
      </c>
      <c r="K481" t="s">
        <v>47</v>
      </c>
      <c r="L481" t="s">
        <v>68</v>
      </c>
      <c r="M481" t="s">
        <v>38</v>
      </c>
      <c r="N481" t="s">
        <v>29</v>
      </c>
      <c r="O481">
        <v>1</v>
      </c>
      <c r="P481" t="s">
        <v>13</v>
      </c>
      <c r="Q481">
        <v>1</v>
      </c>
      <c r="R481" t="s">
        <v>14</v>
      </c>
      <c r="S481" t="s">
        <v>31</v>
      </c>
      <c r="T481" t="s">
        <v>58</v>
      </c>
    </row>
    <row r="482" spans="1:20" x14ac:dyDescent="0.3">
      <c r="A482" t="s">
        <v>531</v>
      </c>
      <c r="B482">
        <v>23</v>
      </c>
      <c r="C482" t="s">
        <v>18</v>
      </c>
      <c r="D482" t="s">
        <v>27</v>
      </c>
      <c r="E482" t="s">
        <v>64</v>
      </c>
      <c r="F482">
        <v>13</v>
      </c>
      <c r="G482" t="s">
        <v>8</v>
      </c>
      <c r="H482">
        <v>56</v>
      </c>
      <c r="I482">
        <v>12</v>
      </c>
      <c r="J482">
        <v>2</v>
      </c>
      <c r="K482" t="s">
        <v>37</v>
      </c>
      <c r="L482" t="s">
        <v>68</v>
      </c>
      <c r="M482" t="s">
        <v>11</v>
      </c>
      <c r="N482" t="s">
        <v>12</v>
      </c>
      <c r="O482">
        <v>3</v>
      </c>
      <c r="P482" t="s">
        <v>48</v>
      </c>
      <c r="Q482">
        <v>5</v>
      </c>
      <c r="R482" t="s">
        <v>49</v>
      </c>
      <c r="S482" t="s">
        <v>42</v>
      </c>
      <c r="T482" t="s">
        <v>32</v>
      </c>
    </row>
    <row r="483" spans="1:20" x14ac:dyDescent="0.3">
      <c r="A483" t="s">
        <v>532</v>
      </c>
      <c r="B483">
        <v>38</v>
      </c>
      <c r="C483" t="s">
        <v>34</v>
      </c>
      <c r="D483" t="s">
        <v>40</v>
      </c>
      <c r="E483" t="s">
        <v>64</v>
      </c>
      <c r="F483">
        <v>8</v>
      </c>
      <c r="G483" t="s">
        <v>8</v>
      </c>
      <c r="H483">
        <v>27</v>
      </c>
      <c r="I483">
        <v>4</v>
      </c>
      <c r="J483">
        <v>2</v>
      </c>
      <c r="K483" t="s">
        <v>9</v>
      </c>
      <c r="L483" t="s">
        <v>22</v>
      </c>
      <c r="M483" t="s">
        <v>38</v>
      </c>
      <c r="N483" t="s">
        <v>12</v>
      </c>
      <c r="O483">
        <v>3</v>
      </c>
      <c r="P483" t="s">
        <v>13</v>
      </c>
      <c r="Q483">
        <v>1</v>
      </c>
      <c r="R483" t="s">
        <v>14</v>
      </c>
      <c r="S483" t="s">
        <v>31</v>
      </c>
      <c r="T483" t="s">
        <v>58</v>
      </c>
    </row>
    <row r="484" spans="1:20" x14ac:dyDescent="0.3">
      <c r="A484" t="s">
        <v>533</v>
      </c>
      <c r="B484">
        <v>23</v>
      </c>
      <c r="C484" t="s">
        <v>34</v>
      </c>
      <c r="D484" t="s">
        <v>57</v>
      </c>
      <c r="E484" t="s">
        <v>28</v>
      </c>
      <c r="F484">
        <v>16</v>
      </c>
      <c r="G484" t="s">
        <v>21</v>
      </c>
      <c r="H484">
        <v>20</v>
      </c>
      <c r="I484">
        <v>11</v>
      </c>
      <c r="J484">
        <v>3</v>
      </c>
      <c r="K484" t="s">
        <v>9</v>
      </c>
      <c r="L484" t="s">
        <v>68</v>
      </c>
      <c r="M484" t="s">
        <v>38</v>
      </c>
      <c r="N484" t="s">
        <v>12</v>
      </c>
      <c r="O484">
        <v>2</v>
      </c>
      <c r="P484" t="s">
        <v>48</v>
      </c>
      <c r="Q484">
        <v>3</v>
      </c>
      <c r="R484" t="s">
        <v>14</v>
      </c>
      <c r="S484" t="s">
        <v>31</v>
      </c>
      <c r="T484" t="s">
        <v>58</v>
      </c>
    </row>
    <row r="485" spans="1:20" x14ac:dyDescent="0.3">
      <c r="A485" t="s">
        <v>534</v>
      </c>
      <c r="B485">
        <v>29</v>
      </c>
      <c r="C485" t="s">
        <v>18</v>
      </c>
      <c r="D485" t="s">
        <v>63</v>
      </c>
      <c r="E485" t="s">
        <v>28</v>
      </c>
      <c r="F485">
        <v>21</v>
      </c>
      <c r="G485" t="s">
        <v>21</v>
      </c>
      <c r="H485">
        <v>25</v>
      </c>
      <c r="I485">
        <v>14</v>
      </c>
      <c r="J485">
        <v>2</v>
      </c>
      <c r="K485" t="s">
        <v>47</v>
      </c>
      <c r="L485" t="s">
        <v>68</v>
      </c>
      <c r="M485" t="s">
        <v>11</v>
      </c>
      <c r="N485" t="s">
        <v>23</v>
      </c>
      <c r="O485">
        <v>1</v>
      </c>
      <c r="P485" t="s">
        <v>24</v>
      </c>
      <c r="Q485">
        <v>3</v>
      </c>
      <c r="R485" t="s">
        <v>14</v>
      </c>
      <c r="S485" t="s">
        <v>42</v>
      </c>
      <c r="T485" t="s">
        <v>58</v>
      </c>
    </row>
    <row r="486" spans="1:20" x14ac:dyDescent="0.3">
      <c r="A486" t="s">
        <v>535</v>
      </c>
      <c r="B486">
        <v>24</v>
      </c>
      <c r="C486" t="s">
        <v>18</v>
      </c>
      <c r="D486" t="s">
        <v>19</v>
      </c>
      <c r="E486" t="s">
        <v>41</v>
      </c>
      <c r="F486">
        <v>20</v>
      </c>
      <c r="G486" t="s">
        <v>21</v>
      </c>
      <c r="H486">
        <v>33</v>
      </c>
      <c r="I486">
        <v>14</v>
      </c>
      <c r="J486">
        <v>1</v>
      </c>
      <c r="K486" t="s">
        <v>47</v>
      </c>
      <c r="L486" t="s">
        <v>22</v>
      </c>
      <c r="M486" t="s">
        <v>11</v>
      </c>
      <c r="N486" t="s">
        <v>23</v>
      </c>
      <c r="O486">
        <v>1</v>
      </c>
      <c r="P486" t="s">
        <v>24</v>
      </c>
      <c r="Q486">
        <v>5</v>
      </c>
      <c r="R486" t="s">
        <v>30</v>
      </c>
      <c r="S486" t="s">
        <v>42</v>
      </c>
      <c r="T486" t="s">
        <v>16</v>
      </c>
    </row>
    <row r="487" spans="1:20" x14ac:dyDescent="0.3">
      <c r="A487" t="s">
        <v>536</v>
      </c>
      <c r="B487">
        <v>58</v>
      </c>
      <c r="C487" t="s">
        <v>34</v>
      </c>
      <c r="D487" t="s">
        <v>27</v>
      </c>
      <c r="E487" t="s">
        <v>35</v>
      </c>
      <c r="F487">
        <v>12</v>
      </c>
      <c r="G487" t="s">
        <v>36</v>
      </c>
      <c r="H487">
        <v>35</v>
      </c>
      <c r="I487">
        <v>5</v>
      </c>
      <c r="J487">
        <v>5</v>
      </c>
      <c r="K487" t="s">
        <v>47</v>
      </c>
      <c r="L487" t="s">
        <v>68</v>
      </c>
      <c r="M487" t="s">
        <v>11</v>
      </c>
      <c r="N487" t="s">
        <v>29</v>
      </c>
      <c r="O487">
        <v>2</v>
      </c>
      <c r="P487" t="s">
        <v>48</v>
      </c>
      <c r="Q487">
        <v>2</v>
      </c>
      <c r="R487" t="s">
        <v>14</v>
      </c>
      <c r="S487" t="s">
        <v>31</v>
      </c>
      <c r="T487" t="s">
        <v>44</v>
      </c>
    </row>
    <row r="488" spans="1:20" x14ac:dyDescent="0.3">
      <c r="A488" t="s">
        <v>537</v>
      </c>
      <c r="B488">
        <v>42</v>
      </c>
      <c r="C488" t="s">
        <v>34</v>
      </c>
      <c r="D488" t="s">
        <v>63</v>
      </c>
      <c r="E488" t="s">
        <v>51</v>
      </c>
      <c r="F488">
        <v>1</v>
      </c>
      <c r="G488" t="s">
        <v>8</v>
      </c>
      <c r="H488">
        <v>34</v>
      </c>
      <c r="I488">
        <v>4</v>
      </c>
      <c r="J488">
        <v>1</v>
      </c>
      <c r="K488" t="s">
        <v>47</v>
      </c>
      <c r="L488" t="s">
        <v>22</v>
      </c>
      <c r="M488" t="s">
        <v>11</v>
      </c>
      <c r="N488" t="s">
        <v>23</v>
      </c>
      <c r="O488">
        <v>5</v>
      </c>
      <c r="P488" t="s">
        <v>48</v>
      </c>
      <c r="Q488">
        <v>4</v>
      </c>
      <c r="R488" t="s">
        <v>14</v>
      </c>
      <c r="S488" t="s">
        <v>15</v>
      </c>
      <c r="T488" t="s">
        <v>58</v>
      </c>
    </row>
    <row r="489" spans="1:20" x14ac:dyDescent="0.3">
      <c r="A489" t="s">
        <v>538</v>
      </c>
      <c r="B489">
        <v>42</v>
      </c>
      <c r="C489" t="s">
        <v>34</v>
      </c>
      <c r="D489" t="s">
        <v>61</v>
      </c>
      <c r="E489" t="s">
        <v>7</v>
      </c>
      <c r="F489">
        <v>32</v>
      </c>
      <c r="G489" t="s">
        <v>36</v>
      </c>
      <c r="H489">
        <v>21</v>
      </c>
      <c r="I489">
        <v>5</v>
      </c>
      <c r="J489">
        <v>1</v>
      </c>
      <c r="K489" t="s">
        <v>47</v>
      </c>
      <c r="L489" t="s">
        <v>22</v>
      </c>
      <c r="M489" t="s">
        <v>11</v>
      </c>
      <c r="N489" t="s">
        <v>29</v>
      </c>
      <c r="O489">
        <v>1</v>
      </c>
      <c r="P489" t="s">
        <v>48</v>
      </c>
      <c r="Q489">
        <v>4</v>
      </c>
      <c r="R489" t="s">
        <v>30</v>
      </c>
      <c r="S489" t="s">
        <v>31</v>
      </c>
      <c r="T489" t="s">
        <v>44</v>
      </c>
    </row>
    <row r="490" spans="1:20" x14ac:dyDescent="0.3">
      <c r="A490" t="s">
        <v>539</v>
      </c>
      <c r="B490">
        <v>39</v>
      </c>
      <c r="C490" t="s">
        <v>5</v>
      </c>
      <c r="D490" t="s">
        <v>40</v>
      </c>
      <c r="E490" t="s">
        <v>7</v>
      </c>
      <c r="F490">
        <v>22</v>
      </c>
      <c r="G490" t="s">
        <v>21</v>
      </c>
      <c r="H490">
        <v>21</v>
      </c>
      <c r="I490">
        <v>2</v>
      </c>
      <c r="J490">
        <v>3</v>
      </c>
      <c r="K490" t="s">
        <v>47</v>
      </c>
      <c r="L490" t="s">
        <v>68</v>
      </c>
      <c r="M490" t="s">
        <v>38</v>
      </c>
      <c r="N490" t="s">
        <v>23</v>
      </c>
      <c r="O490">
        <v>4</v>
      </c>
      <c r="P490" t="s">
        <v>13</v>
      </c>
      <c r="Q490">
        <v>1</v>
      </c>
      <c r="R490" t="s">
        <v>49</v>
      </c>
      <c r="S490" t="s">
        <v>31</v>
      </c>
      <c r="T490" t="s">
        <v>25</v>
      </c>
    </row>
    <row r="491" spans="1:20" x14ac:dyDescent="0.3">
      <c r="A491" t="s">
        <v>540</v>
      </c>
      <c r="B491">
        <v>45</v>
      </c>
      <c r="C491" t="s">
        <v>34</v>
      </c>
      <c r="D491" t="s">
        <v>61</v>
      </c>
      <c r="E491" t="s">
        <v>7</v>
      </c>
      <c r="F491">
        <v>23</v>
      </c>
      <c r="G491" t="s">
        <v>36</v>
      </c>
      <c r="H491">
        <v>29</v>
      </c>
      <c r="I491">
        <v>8</v>
      </c>
      <c r="J491">
        <v>5</v>
      </c>
      <c r="K491" t="s">
        <v>9</v>
      </c>
      <c r="L491" t="s">
        <v>10</v>
      </c>
      <c r="M491" t="s">
        <v>38</v>
      </c>
      <c r="N491" t="s">
        <v>23</v>
      </c>
      <c r="O491">
        <v>2</v>
      </c>
      <c r="P491" t="s">
        <v>13</v>
      </c>
      <c r="Q491">
        <v>3</v>
      </c>
      <c r="R491" t="s">
        <v>30</v>
      </c>
      <c r="S491" t="s">
        <v>15</v>
      </c>
      <c r="T491" t="s">
        <v>55</v>
      </c>
    </row>
    <row r="492" spans="1:20" x14ac:dyDescent="0.3">
      <c r="A492" t="s">
        <v>541</v>
      </c>
      <c r="B492">
        <v>53</v>
      </c>
      <c r="C492" t="s">
        <v>5</v>
      </c>
      <c r="D492" t="s">
        <v>63</v>
      </c>
      <c r="E492" t="s">
        <v>20</v>
      </c>
      <c r="F492">
        <v>27</v>
      </c>
      <c r="G492" t="s">
        <v>36</v>
      </c>
      <c r="H492">
        <v>33</v>
      </c>
      <c r="I492">
        <v>5</v>
      </c>
      <c r="J492">
        <v>2</v>
      </c>
      <c r="K492" t="s">
        <v>37</v>
      </c>
      <c r="L492" t="s">
        <v>30</v>
      </c>
      <c r="M492" t="s">
        <v>11</v>
      </c>
      <c r="N492" t="s">
        <v>29</v>
      </c>
      <c r="O492">
        <v>4</v>
      </c>
      <c r="P492" t="s">
        <v>24</v>
      </c>
      <c r="Q492">
        <v>5</v>
      </c>
      <c r="R492" t="s">
        <v>30</v>
      </c>
      <c r="S492" t="s">
        <v>15</v>
      </c>
      <c r="T492" t="s">
        <v>55</v>
      </c>
    </row>
    <row r="493" spans="1:20" x14ac:dyDescent="0.3">
      <c r="A493" t="s">
        <v>542</v>
      </c>
      <c r="B493">
        <v>43</v>
      </c>
      <c r="C493" t="s">
        <v>46</v>
      </c>
      <c r="D493" t="s">
        <v>40</v>
      </c>
      <c r="E493" t="s">
        <v>35</v>
      </c>
      <c r="F493">
        <v>10</v>
      </c>
      <c r="G493" t="s">
        <v>8</v>
      </c>
      <c r="H493">
        <v>42</v>
      </c>
      <c r="I493">
        <v>11</v>
      </c>
      <c r="J493">
        <v>4</v>
      </c>
      <c r="K493" t="s">
        <v>37</v>
      </c>
      <c r="L493" t="s">
        <v>30</v>
      </c>
      <c r="M493" t="s">
        <v>38</v>
      </c>
      <c r="N493" t="s">
        <v>23</v>
      </c>
      <c r="O493">
        <v>2</v>
      </c>
      <c r="P493" t="s">
        <v>48</v>
      </c>
      <c r="Q493">
        <v>3</v>
      </c>
      <c r="R493" t="s">
        <v>14</v>
      </c>
      <c r="S493" t="s">
        <v>31</v>
      </c>
      <c r="T493" t="s">
        <v>32</v>
      </c>
    </row>
    <row r="494" spans="1:20" x14ac:dyDescent="0.3">
      <c r="A494" t="s">
        <v>543</v>
      </c>
      <c r="B494">
        <v>24</v>
      </c>
      <c r="C494" t="s">
        <v>46</v>
      </c>
      <c r="D494" t="s">
        <v>61</v>
      </c>
      <c r="E494" t="s">
        <v>28</v>
      </c>
      <c r="F494">
        <v>23</v>
      </c>
      <c r="G494" t="s">
        <v>36</v>
      </c>
      <c r="H494">
        <v>38</v>
      </c>
      <c r="I494">
        <v>7</v>
      </c>
      <c r="J494">
        <v>1</v>
      </c>
      <c r="K494" t="s">
        <v>9</v>
      </c>
      <c r="L494" t="s">
        <v>22</v>
      </c>
      <c r="M494" t="s">
        <v>38</v>
      </c>
      <c r="N494" t="s">
        <v>29</v>
      </c>
      <c r="O494">
        <v>2</v>
      </c>
      <c r="P494" t="s">
        <v>48</v>
      </c>
      <c r="Q494">
        <v>3</v>
      </c>
      <c r="R494" t="s">
        <v>14</v>
      </c>
      <c r="S494" t="s">
        <v>42</v>
      </c>
      <c r="T494" t="s">
        <v>44</v>
      </c>
    </row>
    <row r="495" spans="1:20" x14ac:dyDescent="0.3">
      <c r="A495" t="s">
        <v>544</v>
      </c>
      <c r="B495">
        <v>44</v>
      </c>
      <c r="C495" t="s">
        <v>34</v>
      </c>
      <c r="D495" t="s">
        <v>57</v>
      </c>
      <c r="E495" t="s">
        <v>35</v>
      </c>
      <c r="F495">
        <v>24</v>
      </c>
      <c r="G495" t="s">
        <v>21</v>
      </c>
      <c r="H495">
        <v>40</v>
      </c>
      <c r="I495">
        <v>4</v>
      </c>
      <c r="J495">
        <v>1</v>
      </c>
      <c r="K495" t="s">
        <v>37</v>
      </c>
      <c r="L495" t="s">
        <v>68</v>
      </c>
      <c r="M495" t="s">
        <v>38</v>
      </c>
      <c r="N495" t="s">
        <v>12</v>
      </c>
      <c r="O495">
        <v>2</v>
      </c>
      <c r="P495" t="s">
        <v>13</v>
      </c>
      <c r="Q495">
        <v>5</v>
      </c>
      <c r="R495" t="s">
        <v>30</v>
      </c>
      <c r="S495" t="s">
        <v>42</v>
      </c>
      <c r="T495" t="s">
        <v>16</v>
      </c>
    </row>
    <row r="496" spans="1:20" x14ac:dyDescent="0.3">
      <c r="A496" t="s">
        <v>545</v>
      </c>
      <c r="B496">
        <v>39</v>
      </c>
      <c r="C496" t="s">
        <v>46</v>
      </c>
      <c r="D496" t="s">
        <v>27</v>
      </c>
      <c r="E496" t="s">
        <v>28</v>
      </c>
      <c r="F496">
        <v>16</v>
      </c>
      <c r="G496" t="s">
        <v>21</v>
      </c>
      <c r="H496">
        <v>24</v>
      </c>
      <c r="I496">
        <v>4</v>
      </c>
      <c r="J496">
        <v>4</v>
      </c>
      <c r="K496" t="s">
        <v>9</v>
      </c>
      <c r="L496" t="s">
        <v>22</v>
      </c>
      <c r="M496" t="s">
        <v>11</v>
      </c>
      <c r="N496" t="s">
        <v>12</v>
      </c>
      <c r="O496">
        <v>5</v>
      </c>
      <c r="P496" t="s">
        <v>48</v>
      </c>
      <c r="Q496">
        <v>5</v>
      </c>
      <c r="R496" t="s">
        <v>49</v>
      </c>
      <c r="S496" t="s">
        <v>15</v>
      </c>
      <c r="T496" t="s">
        <v>32</v>
      </c>
    </row>
    <row r="497" spans="1:20" x14ac:dyDescent="0.3">
      <c r="A497" t="s">
        <v>546</v>
      </c>
      <c r="B497">
        <v>40</v>
      </c>
      <c r="C497" t="s">
        <v>46</v>
      </c>
      <c r="D497" t="s">
        <v>6</v>
      </c>
      <c r="E497" t="s">
        <v>64</v>
      </c>
      <c r="F497">
        <v>19</v>
      </c>
      <c r="G497" t="s">
        <v>8</v>
      </c>
      <c r="H497">
        <v>28</v>
      </c>
      <c r="I497">
        <v>4</v>
      </c>
      <c r="J497">
        <v>2</v>
      </c>
      <c r="K497" t="s">
        <v>47</v>
      </c>
      <c r="L497" t="s">
        <v>30</v>
      </c>
      <c r="M497" t="s">
        <v>38</v>
      </c>
      <c r="N497" t="s">
        <v>29</v>
      </c>
      <c r="O497">
        <v>1</v>
      </c>
      <c r="P497" t="s">
        <v>48</v>
      </c>
      <c r="Q497">
        <v>2</v>
      </c>
      <c r="R497" t="s">
        <v>30</v>
      </c>
      <c r="S497" t="s">
        <v>42</v>
      </c>
      <c r="T497" t="s">
        <v>16</v>
      </c>
    </row>
    <row r="498" spans="1:20" x14ac:dyDescent="0.3">
      <c r="A498" t="s">
        <v>547</v>
      </c>
      <c r="B498">
        <v>41</v>
      </c>
      <c r="C498" t="s">
        <v>5</v>
      </c>
      <c r="D498" t="s">
        <v>61</v>
      </c>
      <c r="E498" t="s">
        <v>28</v>
      </c>
      <c r="F498">
        <v>14</v>
      </c>
      <c r="G498" t="s">
        <v>8</v>
      </c>
      <c r="H498">
        <v>57</v>
      </c>
      <c r="I498">
        <v>7</v>
      </c>
      <c r="J498">
        <v>4</v>
      </c>
      <c r="K498" t="s">
        <v>9</v>
      </c>
      <c r="L498" t="s">
        <v>22</v>
      </c>
      <c r="M498" t="s">
        <v>38</v>
      </c>
      <c r="N498" t="s">
        <v>29</v>
      </c>
      <c r="O498">
        <v>2</v>
      </c>
      <c r="P498" t="s">
        <v>13</v>
      </c>
      <c r="Q498">
        <v>3</v>
      </c>
      <c r="R498" t="s">
        <v>14</v>
      </c>
      <c r="S498" t="s">
        <v>15</v>
      </c>
      <c r="T498" t="s">
        <v>32</v>
      </c>
    </row>
    <row r="499" spans="1:20" x14ac:dyDescent="0.3">
      <c r="A499" t="s">
        <v>548</v>
      </c>
      <c r="B499">
        <v>23</v>
      </c>
      <c r="C499" t="s">
        <v>34</v>
      </c>
      <c r="D499" t="s">
        <v>19</v>
      </c>
      <c r="E499" t="s">
        <v>35</v>
      </c>
      <c r="F499">
        <v>23</v>
      </c>
      <c r="G499" t="s">
        <v>21</v>
      </c>
      <c r="H499">
        <v>41</v>
      </c>
      <c r="I499">
        <v>13</v>
      </c>
      <c r="J499">
        <v>4</v>
      </c>
      <c r="K499" t="s">
        <v>47</v>
      </c>
      <c r="L499" t="s">
        <v>68</v>
      </c>
      <c r="M499" t="s">
        <v>38</v>
      </c>
      <c r="N499" t="s">
        <v>29</v>
      </c>
      <c r="O499">
        <v>2</v>
      </c>
      <c r="P499" t="s">
        <v>48</v>
      </c>
      <c r="Q499">
        <v>2</v>
      </c>
      <c r="R499" t="s">
        <v>49</v>
      </c>
      <c r="S499" t="s">
        <v>15</v>
      </c>
      <c r="T499" t="s">
        <v>32</v>
      </c>
    </row>
    <row r="500" spans="1:20" x14ac:dyDescent="0.3">
      <c r="A500" t="s">
        <v>549</v>
      </c>
      <c r="B500">
        <v>53</v>
      </c>
      <c r="C500" t="s">
        <v>18</v>
      </c>
      <c r="D500" t="s">
        <v>27</v>
      </c>
      <c r="E500" t="s">
        <v>64</v>
      </c>
      <c r="F500">
        <v>14</v>
      </c>
      <c r="G500" t="s">
        <v>36</v>
      </c>
      <c r="H500">
        <v>40</v>
      </c>
      <c r="I500">
        <v>13</v>
      </c>
      <c r="J500">
        <v>4</v>
      </c>
      <c r="K500" t="s">
        <v>47</v>
      </c>
      <c r="L500" t="s">
        <v>68</v>
      </c>
      <c r="M500" t="s">
        <v>11</v>
      </c>
      <c r="N500" t="s">
        <v>23</v>
      </c>
      <c r="O500">
        <v>5</v>
      </c>
      <c r="P500" t="s">
        <v>13</v>
      </c>
      <c r="Q500">
        <v>5</v>
      </c>
      <c r="R500" t="s">
        <v>49</v>
      </c>
      <c r="S500" t="s">
        <v>31</v>
      </c>
      <c r="T500" t="s">
        <v>32</v>
      </c>
    </row>
    <row r="501" spans="1:20" x14ac:dyDescent="0.3">
      <c r="A501" t="s">
        <v>550</v>
      </c>
      <c r="B501">
        <v>52</v>
      </c>
      <c r="C501" t="s">
        <v>5</v>
      </c>
      <c r="D501" t="s">
        <v>63</v>
      </c>
      <c r="E501" t="s">
        <v>64</v>
      </c>
      <c r="F501">
        <v>10</v>
      </c>
      <c r="G501" t="s">
        <v>36</v>
      </c>
      <c r="H501">
        <v>47</v>
      </c>
      <c r="I501">
        <v>3</v>
      </c>
      <c r="J501">
        <v>3</v>
      </c>
      <c r="K501" t="s">
        <v>9</v>
      </c>
      <c r="L501" t="s">
        <v>10</v>
      </c>
      <c r="M501" t="s">
        <v>38</v>
      </c>
      <c r="N501" t="s">
        <v>12</v>
      </c>
      <c r="O501">
        <v>2</v>
      </c>
      <c r="P501" t="s">
        <v>48</v>
      </c>
      <c r="Q501">
        <v>3</v>
      </c>
      <c r="R501" t="s">
        <v>49</v>
      </c>
      <c r="S501" t="s">
        <v>42</v>
      </c>
      <c r="T501" t="s">
        <v>25</v>
      </c>
    </row>
    <row r="502" spans="1:20" x14ac:dyDescent="0.3">
      <c r="A502" t="s">
        <v>551</v>
      </c>
      <c r="B502">
        <v>58</v>
      </c>
      <c r="C502" t="s">
        <v>18</v>
      </c>
      <c r="D502" t="s">
        <v>19</v>
      </c>
      <c r="E502" t="s">
        <v>41</v>
      </c>
      <c r="F502">
        <v>7</v>
      </c>
      <c r="G502" t="s">
        <v>36</v>
      </c>
      <c r="H502">
        <v>53</v>
      </c>
      <c r="I502">
        <v>2</v>
      </c>
      <c r="J502">
        <v>5</v>
      </c>
      <c r="K502" t="s">
        <v>47</v>
      </c>
      <c r="L502" t="s">
        <v>68</v>
      </c>
      <c r="M502" t="s">
        <v>11</v>
      </c>
      <c r="N502" t="s">
        <v>12</v>
      </c>
      <c r="O502">
        <v>4</v>
      </c>
      <c r="P502" t="s">
        <v>13</v>
      </c>
      <c r="Q502">
        <v>1</v>
      </c>
      <c r="R502" t="s">
        <v>30</v>
      </c>
      <c r="S502" t="s">
        <v>15</v>
      </c>
      <c r="T502" t="s">
        <v>16</v>
      </c>
    </row>
    <row r="503" spans="1:20" x14ac:dyDescent="0.3">
      <c r="A503" t="s">
        <v>552</v>
      </c>
      <c r="B503">
        <v>56</v>
      </c>
      <c r="C503" t="s">
        <v>46</v>
      </c>
      <c r="D503" t="s">
        <v>19</v>
      </c>
      <c r="E503" t="s">
        <v>64</v>
      </c>
      <c r="F503">
        <v>25</v>
      </c>
      <c r="G503" t="s">
        <v>8</v>
      </c>
      <c r="H503">
        <v>27</v>
      </c>
      <c r="I503">
        <v>13</v>
      </c>
      <c r="J503">
        <v>1</v>
      </c>
      <c r="K503" t="s">
        <v>37</v>
      </c>
      <c r="L503" t="s">
        <v>30</v>
      </c>
      <c r="M503" t="s">
        <v>11</v>
      </c>
      <c r="N503" t="s">
        <v>29</v>
      </c>
      <c r="O503">
        <v>4</v>
      </c>
      <c r="P503" t="s">
        <v>13</v>
      </c>
      <c r="Q503">
        <v>5</v>
      </c>
      <c r="R503" t="s">
        <v>14</v>
      </c>
      <c r="S503" t="s">
        <v>42</v>
      </c>
      <c r="T503" t="s">
        <v>55</v>
      </c>
    </row>
    <row r="504" spans="1:20" x14ac:dyDescent="0.3">
      <c r="A504" t="s">
        <v>553</v>
      </c>
      <c r="B504">
        <v>34</v>
      </c>
      <c r="C504" t="s">
        <v>18</v>
      </c>
      <c r="D504" t="s">
        <v>27</v>
      </c>
      <c r="E504" t="s">
        <v>41</v>
      </c>
      <c r="F504">
        <v>21</v>
      </c>
      <c r="G504" t="s">
        <v>8</v>
      </c>
      <c r="H504">
        <v>33</v>
      </c>
      <c r="I504">
        <v>13</v>
      </c>
      <c r="J504">
        <v>3</v>
      </c>
      <c r="K504" t="s">
        <v>37</v>
      </c>
      <c r="L504" t="s">
        <v>68</v>
      </c>
      <c r="M504" t="s">
        <v>11</v>
      </c>
      <c r="N504" t="s">
        <v>23</v>
      </c>
      <c r="O504">
        <v>3</v>
      </c>
      <c r="P504" t="s">
        <v>13</v>
      </c>
      <c r="Q504">
        <v>2</v>
      </c>
      <c r="R504" t="s">
        <v>30</v>
      </c>
      <c r="S504" t="s">
        <v>42</v>
      </c>
      <c r="T504" t="s">
        <v>58</v>
      </c>
    </row>
    <row r="505" spans="1:20" x14ac:dyDescent="0.3">
      <c r="A505" t="s">
        <v>554</v>
      </c>
      <c r="B505">
        <v>36</v>
      </c>
      <c r="C505" t="s">
        <v>5</v>
      </c>
      <c r="D505" t="s">
        <v>40</v>
      </c>
      <c r="E505" t="s">
        <v>7</v>
      </c>
      <c r="F505">
        <v>22</v>
      </c>
      <c r="G505" t="s">
        <v>8</v>
      </c>
      <c r="H505">
        <v>50</v>
      </c>
      <c r="I505">
        <v>3</v>
      </c>
      <c r="J505">
        <v>3</v>
      </c>
      <c r="K505" t="s">
        <v>47</v>
      </c>
      <c r="L505" t="s">
        <v>22</v>
      </c>
      <c r="M505" t="s">
        <v>11</v>
      </c>
      <c r="N505" t="s">
        <v>12</v>
      </c>
      <c r="O505">
        <v>3</v>
      </c>
      <c r="P505" t="s">
        <v>24</v>
      </c>
      <c r="Q505">
        <v>5</v>
      </c>
      <c r="R505" t="s">
        <v>49</v>
      </c>
      <c r="S505" t="s">
        <v>42</v>
      </c>
      <c r="T505" t="s">
        <v>16</v>
      </c>
    </row>
    <row r="506" spans="1:20" x14ac:dyDescent="0.3">
      <c r="A506" t="s">
        <v>555</v>
      </c>
      <c r="B506">
        <v>50</v>
      </c>
      <c r="C506" t="s">
        <v>34</v>
      </c>
      <c r="D506" t="s">
        <v>27</v>
      </c>
      <c r="E506" t="s">
        <v>64</v>
      </c>
      <c r="F506">
        <v>29</v>
      </c>
      <c r="G506" t="s">
        <v>21</v>
      </c>
      <c r="H506">
        <v>40</v>
      </c>
      <c r="I506">
        <v>5</v>
      </c>
      <c r="J506">
        <v>3</v>
      </c>
      <c r="K506" t="s">
        <v>47</v>
      </c>
      <c r="L506" t="s">
        <v>10</v>
      </c>
      <c r="M506" t="s">
        <v>11</v>
      </c>
      <c r="N506" t="s">
        <v>29</v>
      </c>
      <c r="O506">
        <v>1</v>
      </c>
      <c r="P506" t="s">
        <v>48</v>
      </c>
      <c r="Q506">
        <v>4</v>
      </c>
      <c r="R506" t="s">
        <v>49</v>
      </c>
      <c r="S506" t="s">
        <v>42</v>
      </c>
      <c r="T506" t="s">
        <v>44</v>
      </c>
    </row>
    <row r="507" spans="1:20" x14ac:dyDescent="0.3">
      <c r="A507" t="s">
        <v>556</v>
      </c>
      <c r="B507">
        <v>41</v>
      </c>
      <c r="C507" t="s">
        <v>34</v>
      </c>
      <c r="D507" t="s">
        <v>27</v>
      </c>
      <c r="E507" t="s">
        <v>28</v>
      </c>
      <c r="F507">
        <v>14</v>
      </c>
      <c r="G507" t="s">
        <v>21</v>
      </c>
      <c r="H507">
        <v>56</v>
      </c>
      <c r="I507">
        <v>8</v>
      </c>
      <c r="J507">
        <v>4</v>
      </c>
      <c r="K507" t="s">
        <v>9</v>
      </c>
      <c r="L507" t="s">
        <v>22</v>
      </c>
      <c r="M507" t="s">
        <v>11</v>
      </c>
      <c r="N507" t="s">
        <v>29</v>
      </c>
      <c r="O507">
        <v>2</v>
      </c>
      <c r="P507" t="s">
        <v>24</v>
      </c>
      <c r="Q507">
        <v>4</v>
      </c>
      <c r="R507" t="s">
        <v>49</v>
      </c>
      <c r="S507" t="s">
        <v>42</v>
      </c>
      <c r="T507" t="s">
        <v>25</v>
      </c>
    </row>
    <row r="508" spans="1:20" x14ac:dyDescent="0.3">
      <c r="A508" t="s">
        <v>557</v>
      </c>
      <c r="B508">
        <v>27</v>
      </c>
      <c r="C508" t="s">
        <v>18</v>
      </c>
      <c r="D508" t="s">
        <v>40</v>
      </c>
      <c r="E508" t="s">
        <v>7</v>
      </c>
      <c r="F508">
        <v>17</v>
      </c>
      <c r="G508" t="s">
        <v>21</v>
      </c>
      <c r="H508">
        <v>29</v>
      </c>
      <c r="I508">
        <v>15</v>
      </c>
      <c r="J508">
        <v>1</v>
      </c>
      <c r="K508" t="s">
        <v>47</v>
      </c>
      <c r="L508" t="s">
        <v>68</v>
      </c>
      <c r="M508" t="s">
        <v>38</v>
      </c>
      <c r="N508" t="s">
        <v>12</v>
      </c>
      <c r="O508">
        <v>5</v>
      </c>
      <c r="P508" t="s">
        <v>24</v>
      </c>
      <c r="Q508">
        <v>5</v>
      </c>
      <c r="R508" t="s">
        <v>30</v>
      </c>
      <c r="S508" t="s">
        <v>31</v>
      </c>
      <c r="T508" t="s">
        <v>32</v>
      </c>
    </row>
    <row r="509" spans="1:20" x14ac:dyDescent="0.3">
      <c r="A509" t="s">
        <v>558</v>
      </c>
      <c r="B509">
        <v>40</v>
      </c>
      <c r="C509" t="s">
        <v>5</v>
      </c>
      <c r="D509" t="s">
        <v>61</v>
      </c>
      <c r="E509" t="s">
        <v>41</v>
      </c>
      <c r="F509">
        <v>18</v>
      </c>
      <c r="G509" t="s">
        <v>21</v>
      </c>
      <c r="H509">
        <v>27</v>
      </c>
      <c r="I509">
        <v>1</v>
      </c>
      <c r="J509">
        <v>1</v>
      </c>
      <c r="K509" t="s">
        <v>9</v>
      </c>
      <c r="L509" t="s">
        <v>10</v>
      </c>
      <c r="M509" t="s">
        <v>11</v>
      </c>
      <c r="N509" t="s">
        <v>23</v>
      </c>
      <c r="O509">
        <v>2</v>
      </c>
      <c r="P509" t="s">
        <v>13</v>
      </c>
      <c r="Q509">
        <v>2</v>
      </c>
      <c r="R509" t="s">
        <v>30</v>
      </c>
      <c r="S509" t="s">
        <v>42</v>
      </c>
      <c r="T509" t="s">
        <v>16</v>
      </c>
    </row>
    <row r="510" spans="1:20" x14ac:dyDescent="0.3">
      <c r="A510" t="s">
        <v>559</v>
      </c>
      <c r="B510">
        <v>33</v>
      </c>
      <c r="C510" t="s">
        <v>34</v>
      </c>
      <c r="D510" t="s">
        <v>6</v>
      </c>
      <c r="E510" t="s">
        <v>28</v>
      </c>
      <c r="F510">
        <v>27</v>
      </c>
      <c r="G510" t="s">
        <v>36</v>
      </c>
      <c r="H510">
        <v>55</v>
      </c>
      <c r="I510">
        <v>11</v>
      </c>
      <c r="J510">
        <v>1</v>
      </c>
      <c r="K510" t="s">
        <v>9</v>
      </c>
      <c r="L510" t="s">
        <v>22</v>
      </c>
      <c r="M510" t="s">
        <v>38</v>
      </c>
      <c r="N510" t="s">
        <v>29</v>
      </c>
      <c r="O510">
        <v>2</v>
      </c>
      <c r="P510" t="s">
        <v>48</v>
      </c>
      <c r="Q510">
        <v>5</v>
      </c>
      <c r="R510" t="s">
        <v>49</v>
      </c>
      <c r="S510" t="s">
        <v>15</v>
      </c>
      <c r="T510" t="s">
        <v>58</v>
      </c>
    </row>
    <row r="511" spans="1:20" x14ac:dyDescent="0.3">
      <c r="A511" t="s">
        <v>560</v>
      </c>
      <c r="B511">
        <v>45</v>
      </c>
      <c r="C511" t="s">
        <v>46</v>
      </c>
      <c r="D511" t="s">
        <v>40</v>
      </c>
      <c r="E511" t="s">
        <v>35</v>
      </c>
      <c r="F511">
        <v>10</v>
      </c>
      <c r="G511" t="s">
        <v>21</v>
      </c>
      <c r="H511">
        <v>28</v>
      </c>
      <c r="I511">
        <v>14</v>
      </c>
      <c r="J511">
        <v>2</v>
      </c>
      <c r="K511" t="s">
        <v>9</v>
      </c>
      <c r="L511" t="s">
        <v>68</v>
      </c>
      <c r="M511" t="s">
        <v>11</v>
      </c>
      <c r="N511" t="s">
        <v>23</v>
      </c>
      <c r="O511">
        <v>4</v>
      </c>
      <c r="P511" t="s">
        <v>48</v>
      </c>
      <c r="Q511">
        <v>1</v>
      </c>
      <c r="R511" t="s">
        <v>14</v>
      </c>
      <c r="S511" t="s">
        <v>31</v>
      </c>
      <c r="T511" t="s">
        <v>55</v>
      </c>
    </row>
    <row r="512" spans="1:20" x14ac:dyDescent="0.3">
      <c r="A512" t="s">
        <v>561</v>
      </c>
      <c r="B512">
        <v>39</v>
      </c>
      <c r="C512" t="s">
        <v>46</v>
      </c>
      <c r="D512" t="s">
        <v>6</v>
      </c>
      <c r="E512" t="s">
        <v>51</v>
      </c>
      <c r="F512">
        <v>5</v>
      </c>
      <c r="G512" t="s">
        <v>21</v>
      </c>
      <c r="H512">
        <v>59</v>
      </c>
      <c r="I512">
        <v>12</v>
      </c>
      <c r="J512">
        <v>4</v>
      </c>
      <c r="K512" t="s">
        <v>47</v>
      </c>
      <c r="L512" t="s">
        <v>22</v>
      </c>
      <c r="M512" t="s">
        <v>38</v>
      </c>
      <c r="N512" t="s">
        <v>12</v>
      </c>
      <c r="O512">
        <v>3</v>
      </c>
      <c r="P512" t="s">
        <v>24</v>
      </c>
      <c r="Q512">
        <v>4</v>
      </c>
      <c r="R512" t="s">
        <v>14</v>
      </c>
      <c r="S512" t="s">
        <v>31</v>
      </c>
      <c r="T512" t="s">
        <v>55</v>
      </c>
    </row>
    <row r="513" spans="1:20" x14ac:dyDescent="0.3">
      <c r="A513" t="s">
        <v>562</v>
      </c>
      <c r="B513">
        <v>34</v>
      </c>
      <c r="C513" t="s">
        <v>34</v>
      </c>
      <c r="D513" t="s">
        <v>61</v>
      </c>
      <c r="E513" t="s">
        <v>28</v>
      </c>
      <c r="F513">
        <v>23</v>
      </c>
      <c r="G513" t="s">
        <v>8</v>
      </c>
      <c r="H513">
        <v>40</v>
      </c>
      <c r="I513">
        <v>1</v>
      </c>
      <c r="J513">
        <v>2</v>
      </c>
      <c r="K513" t="s">
        <v>37</v>
      </c>
      <c r="L513" t="s">
        <v>22</v>
      </c>
      <c r="M513" t="s">
        <v>38</v>
      </c>
      <c r="N513" t="s">
        <v>12</v>
      </c>
      <c r="O513">
        <v>4</v>
      </c>
      <c r="P513" t="s">
        <v>24</v>
      </c>
      <c r="Q513">
        <v>5</v>
      </c>
      <c r="R513" t="s">
        <v>49</v>
      </c>
      <c r="S513" t="s">
        <v>42</v>
      </c>
      <c r="T513" t="s">
        <v>25</v>
      </c>
    </row>
    <row r="514" spans="1:20" x14ac:dyDescent="0.3">
      <c r="A514" t="s">
        <v>563</v>
      </c>
      <c r="B514">
        <v>40</v>
      </c>
      <c r="C514" t="s">
        <v>18</v>
      </c>
      <c r="D514" t="s">
        <v>57</v>
      </c>
      <c r="E514" t="s">
        <v>20</v>
      </c>
      <c r="F514">
        <v>27</v>
      </c>
      <c r="G514" t="s">
        <v>36</v>
      </c>
      <c r="H514">
        <v>38</v>
      </c>
      <c r="I514">
        <v>13</v>
      </c>
      <c r="J514">
        <v>3</v>
      </c>
      <c r="K514" t="s">
        <v>47</v>
      </c>
      <c r="L514" t="s">
        <v>68</v>
      </c>
      <c r="M514" t="s">
        <v>38</v>
      </c>
      <c r="N514" t="s">
        <v>23</v>
      </c>
      <c r="O514">
        <v>4</v>
      </c>
      <c r="P514" t="s">
        <v>48</v>
      </c>
      <c r="Q514">
        <v>5</v>
      </c>
      <c r="R514" t="s">
        <v>49</v>
      </c>
      <c r="S514" t="s">
        <v>42</v>
      </c>
      <c r="T514" t="s">
        <v>55</v>
      </c>
    </row>
    <row r="515" spans="1:20" x14ac:dyDescent="0.3">
      <c r="A515" t="s">
        <v>564</v>
      </c>
      <c r="B515">
        <v>49</v>
      </c>
      <c r="C515" t="s">
        <v>18</v>
      </c>
      <c r="D515" t="s">
        <v>19</v>
      </c>
      <c r="E515" t="s">
        <v>28</v>
      </c>
      <c r="F515">
        <v>6</v>
      </c>
      <c r="G515" t="s">
        <v>21</v>
      </c>
      <c r="H515">
        <v>37</v>
      </c>
      <c r="I515">
        <v>13</v>
      </c>
      <c r="J515">
        <v>4</v>
      </c>
      <c r="K515" t="s">
        <v>9</v>
      </c>
      <c r="L515" t="s">
        <v>30</v>
      </c>
      <c r="M515" t="s">
        <v>38</v>
      </c>
      <c r="N515" t="s">
        <v>23</v>
      </c>
      <c r="O515">
        <v>1</v>
      </c>
      <c r="P515" t="s">
        <v>13</v>
      </c>
      <c r="Q515">
        <v>3</v>
      </c>
      <c r="R515" t="s">
        <v>30</v>
      </c>
      <c r="S515" t="s">
        <v>15</v>
      </c>
      <c r="T515" t="s">
        <v>32</v>
      </c>
    </row>
    <row r="516" spans="1:20" x14ac:dyDescent="0.3">
      <c r="A516" t="s">
        <v>565</v>
      </c>
      <c r="B516">
        <v>35</v>
      </c>
      <c r="C516" t="s">
        <v>18</v>
      </c>
      <c r="D516" t="s">
        <v>63</v>
      </c>
      <c r="E516" t="s">
        <v>20</v>
      </c>
      <c r="F516">
        <v>32</v>
      </c>
      <c r="G516" t="s">
        <v>21</v>
      </c>
      <c r="H516">
        <v>36</v>
      </c>
      <c r="I516">
        <v>0</v>
      </c>
      <c r="J516">
        <v>1</v>
      </c>
      <c r="K516" t="s">
        <v>9</v>
      </c>
      <c r="L516" t="s">
        <v>10</v>
      </c>
      <c r="M516" t="s">
        <v>38</v>
      </c>
      <c r="N516" t="s">
        <v>12</v>
      </c>
      <c r="O516">
        <v>4</v>
      </c>
      <c r="P516" t="s">
        <v>13</v>
      </c>
      <c r="Q516">
        <v>5</v>
      </c>
      <c r="R516" t="s">
        <v>30</v>
      </c>
      <c r="S516" t="s">
        <v>42</v>
      </c>
      <c r="T516" t="s">
        <v>58</v>
      </c>
    </row>
    <row r="517" spans="1:20" x14ac:dyDescent="0.3">
      <c r="A517" t="s">
        <v>566</v>
      </c>
      <c r="B517">
        <v>43</v>
      </c>
      <c r="C517" t="s">
        <v>5</v>
      </c>
      <c r="D517" t="s">
        <v>61</v>
      </c>
      <c r="E517" t="s">
        <v>35</v>
      </c>
      <c r="F517">
        <v>20</v>
      </c>
      <c r="G517" t="s">
        <v>21</v>
      </c>
      <c r="H517">
        <v>55</v>
      </c>
      <c r="I517">
        <v>11</v>
      </c>
      <c r="J517">
        <v>1</v>
      </c>
      <c r="K517" t="s">
        <v>47</v>
      </c>
      <c r="L517" t="s">
        <v>22</v>
      </c>
      <c r="M517" t="s">
        <v>11</v>
      </c>
      <c r="N517" t="s">
        <v>23</v>
      </c>
      <c r="O517">
        <v>1</v>
      </c>
      <c r="P517" t="s">
        <v>48</v>
      </c>
      <c r="Q517">
        <v>5</v>
      </c>
      <c r="R517" t="s">
        <v>30</v>
      </c>
      <c r="S517" t="s">
        <v>31</v>
      </c>
      <c r="T517" t="s">
        <v>25</v>
      </c>
    </row>
    <row r="518" spans="1:20" x14ac:dyDescent="0.3">
      <c r="A518" t="s">
        <v>567</v>
      </c>
      <c r="B518">
        <v>59</v>
      </c>
      <c r="C518" t="s">
        <v>18</v>
      </c>
      <c r="D518" t="s">
        <v>6</v>
      </c>
      <c r="E518" t="s">
        <v>20</v>
      </c>
      <c r="F518">
        <v>32</v>
      </c>
      <c r="G518" t="s">
        <v>21</v>
      </c>
      <c r="H518">
        <v>47</v>
      </c>
      <c r="I518">
        <v>10</v>
      </c>
      <c r="J518">
        <v>2</v>
      </c>
      <c r="K518" t="s">
        <v>47</v>
      </c>
      <c r="L518" t="s">
        <v>10</v>
      </c>
      <c r="M518" t="s">
        <v>38</v>
      </c>
      <c r="N518" t="s">
        <v>23</v>
      </c>
      <c r="O518">
        <v>3</v>
      </c>
      <c r="P518" t="s">
        <v>48</v>
      </c>
      <c r="Q518">
        <v>3</v>
      </c>
      <c r="R518" t="s">
        <v>49</v>
      </c>
      <c r="S518" t="s">
        <v>15</v>
      </c>
      <c r="T518" t="s">
        <v>16</v>
      </c>
    </row>
    <row r="519" spans="1:20" x14ac:dyDescent="0.3">
      <c r="A519" t="s">
        <v>568</v>
      </c>
      <c r="B519">
        <v>60</v>
      </c>
      <c r="C519" t="s">
        <v>46</v>
      </c>
      <c r="D519" t="s">
        <v>19</v>
      </c>
      <c r="E519" t="s">
        <v>7</v>
      </c>
      <c r="F519">
        <v>8</v>
      </c>
      <c r="G519" t="s">
        <v>36</v>
      </c>
      <c r="H519">
        <v>51</v>
      </c>
      <c r="I519">
        <v>14</v>
      </c>
      <c r="J519">
        <v>4</v>
      </c>
      <c r="K519" t="s">
        <v>9</v>
      </c>
      <c r="L519" t="s">
        <v>10</v>
      </c>
      <c r="M519" t="s">
        <v>11</v>
      </c>
      <c r="N519" t="s">
        <v>29</v>
      </c>
      <c r="O519">
        <v>4</v>
      </c>
      <c r="P519" t="s">
        <v>48</v>
      </c>
      <c r="Q519">
        <v>5</v>
      </c>
      <c r="R519" t="s">
        <v>14</v>
      </c>
      <c r="S519" t="s">
        <v>15</v>
      </c>
      <c r="T519" t="s">
        <v>25</v>
      </c>
    </row>
    <row r="520" spans="1:20" x14ac:dyDescent="0.3">
      <c r="A520" t="s">
        <v>569</v>
      </c>
      <c r="B520">
        <v>42</v>
      </c>
      <c r="C520" t="s">
        <v>18</v>
      </c>
      <c r="D520" t="s">
        <v>63</v>
      </c>
      <c r="E520" t="s">
        <v>64</v>
      </c>
      <c r="F520">
        <v>29</v>
      </c>
      <c r="G520" t="s">
        <v>8</v>
      </c>
      <c r="H520">
        <v>42</v>
      </c>
      <c r="I520">
        <v>14</v>
      </c>
      <c r="J520">
        <v>5</v>
      </c>
      <c r="K520" t="s">
        <v>47</v>
      </c>
      <c r="L520" t="s">
        <v>30</v>
      </c>
      <c r="M520" t="s">
        <v>38</v>
      </c>
      <c r="N520" t="s">
        <v>29</v>
      </c>
      <c r="O520">
        <v>3</v>
      </c>
      <c r="P520" t="s">
        <v>24</v>
      </c>
      <c r="Q520">
        <v>4</v>
      </c>
      <c r="R520" t="s">
        <v>14</v>
      </c>
      <c r="S520" t="s">
        <v>31</v>
      </c>
      <c r="T520" t="s">
        <v>55</v>
      </c>
    </row>
    <row r="521" spans="1:20" x14ac:dyDescent="0.3">
      <c r="A521" t="s">
        <v>570</v>
      </c>
      <c r="B521">
        <v>42</v>
      </c>
      <c r="C521" t="s">
        <v>46</v>
      </c>
      <c r="D521" t="s">
        <v>61</v>
      </c>
      <c r="E521" t="s">
        <v>41</v>
      </c>
      <c r="F521">
        <v>22</v>
      </c>
      <c r="G521" t="s">
        <v>8</v>
      </c>
      <c r="H521">
        <v>45</v>
      </c>
      <c r="I521">
        <v>6</v>
      </c>
      <c r="J521">
        <v>3</v>
      </c>
      <c r="K521" t="s">
        <v>37</v>
      </c>
      <c r="L521" t="s">
        <v>22</v>
      </c>
      <c r="M521" t="s">
        <v>38</v>
      </c>
      <c r="N521" t="s">
        <v>12</v>
      </c>
      <c r="O521">
        <v>4</v>
      </c>
      <c r="P521" t="s">
        <v>48</v>
      </c>
      <c r="Q521">
        <v>4</v>
      </c>
      <c r="R521" t="s">
        <v>49</v>
      </c>
      <c r="S521" t="s">
        <v>42</v>
      </c>
      <c r="T521" t="s">
        <v>25</v>
      </c>
    </row>
    <row r="522" spans="1:20" x14ac:dyDescent="0.3">
      <c r="A522" t="s">
        <v>571</v>
      </c>
      <c r="B522">
        <v>37</v>
      </c>
      <c r="C522" t="s">
        <v>34</v>
      </c>
      <c r="D522" t="s">
        <v>6</v>
      </c>
      <c r="E522" t="s">
        <v>35</v>
      </c>
      <c r="F522">
        <v>8</v>
      </c>
      <c r="G522" t="s">
        <v>8</v>
      </c>
      <c r="H522">
        <v>46</v>
      </c>
      <c r="I522">
        <v>4</v>
      </c>
      <c r="J522">
        <v>5</v>
      </c>
      <c r="K522" t="s">
        <v>47</v>
      </c>
      <c r="L522" t="s">
        <v>68</v>
      </c>
      <c r="M522" t="s">
        <v>38</v>
      </c>
      <c r="N522" t="s">
        <v>12</v>
      </c>
      <c r="O522">
        <v>5</v>
      </c>
      <c r="P522" t="s">
        <v>13</v>
      </c>
      <c r="Q522">
        <v>3</v>
      </c>
      <c r="R522" t="s">
        <v>49</v>
      </c>
      <c r="S522" t="s">
        <v>31</v>
      </c>
      <c r="T522" t="s">
        <v>44</v>
      </c>
    </row>
    <row r="523" spans="1:20" x14ac:dyDescent="0.3">
      <c r="A523" t="s">
        <v>572</v>
      </c>
      <c r="B523">
        <v>60</v>
      </c>
      <c r="C523" t="s">
        <v>18</v>
      </c>
      <c r="D523" t="s">
        <v>19</v>
      </c>
      <c r="E523" t="s">
        <v>35</v>
      </c>
      <c r="F523">
        <v>33</v>
      </c>
      <c r="G523" t="s">
        <v>8</v>
      </c>
      <c r="H523">
        <v>60</v>
      </c>
      <c r="I523">
        <v>0</v>
      </c>
      <c r="J523">
        <v>1</v>
      </c>
      <c r="K523" t="s">
        <v>9</v>
      </c>
      <c r="L523" t="s">
        <v>68</v>
      </c>
      <c r="M523" t="s">
        <v>38</v>
      </c>
      <c r="N523" t="s">
        <v>23</v>
      </c>
      <c r="O523">
        <v>3</v>
      </c>
      <c r="P523" t="s">
        <v>48</v>
      </c>
      <c r="Q523">
        <v>4</v>
      </c>
      <c r="R523" t="s">
        <v>49</v>
      </c>
      <c r="S523" t="s">
        <v>42</v>
      </c>
      <c r="T523" t="s">
        <v>55</v>
      </c>
    </row>
    <row r="524" spans="1:20" x14ac:dyDescent="0.3">
      <c r="A524" t="s">
        <v>573</v>
      </c>
      <c r="B524">
        <v>33</v>
      </c>
      <c r="C524" t="s">
        <v>5</v>
      </c>
      <c r="D524" t="s">
        <v>27</v>
      </c>
      <c r="E524" t="s">
        <v>64</v>
      </c>
      <c r="F524">
        <v>6</v>
      </c>
      <c r="G524" t="s">
        <v>36</v>
      </c>
      <c r="H524">
        <v>45</v>
      </c>
      <c r="I524">
        <v>2</v>
      </c>
      <c r="J524">
        <v>3</v>
      </c>
      <c r="K524" t="s">
        <v>9</v>
      </c>
      <c r="L524" t="s">
        <v>22</v>
      </c>
      <c r="M524" t="s">
        <v>11</v>
      </c>
      <c r="N524" t="s">
        <v>23</v>
      </c>
      <c r="O524">
        <v>4</v>
      </c>
      <c r="P524" t="s">
        <v>13</v>
      </c>
      <c r="Q524">
        <v>5</v>
      </c>
      <c r="R524" t="s">
        <v>49</v>
      </c>
      <c r="S524" t="s">
        <v>15</v>
      </c>
      <c r="T524" t="s">
        <v>16</v>
      </c>
    </row>
    <row r="525" spans="1:20" x14ac:dyDescent="0.3">
      <c r="A525" t="s">
        <v>574</v>
      </c>
      <c r="B525">
        <v>60</v>
      </c>
      <c r="C525" t="s">
        <v>34</v>
      </c>
      <c r="D525" t="s">
        <v>63</v>
      </c>
      <c r="E525" t="s">
        <v>41</v>
      </c>
      <c r="F525">
        <v>6</v>
      </c>
      <c r="G525" t="s">
        <v>8</v>
      </c>
      <c r="H525">
        <v>33</v>
      </c>
      <c r="I525">
        <v>11</v>
      </c>
      <c r="J525">
        <v>2</v>
      </c>
      <c r="K525" t="s">
        <v>9</v>
      </c>
      <c r="L525" t="s">
        <v>22</v>
      </c>
      <c r="M525" t="s">
        <v>38</v>
      </c>
      <c r="N525" t="s">
        <v>12</v>
      </c>
      <c r="O525">
        <v>4</v>
      </c>
      <c r="P525" t="s">
        <v>24</v>
      </c>
      <c r="Q525">
        <v>3</v>
      </c>
      <c r="R525" t="s">
        <v>14</v>
      </c>
      <c r="S525" t="s">
        <v>31</v>
      </c>
      <c r="T525" t="s">
        <v>55</v>
      </c>
    </row>
    <row r="526" spans="1:20" x14ac:dyDescent="0.3">
      <c r="A526" t="s">
        <v>575</v>
      </c>
      <c r="B526">
        <v>58</v>
      </c>
      <c r="C526" t="s">
        <v>18</v>
      </c>
      <c r="D526" t="s">
        <v>61</v>
      </c>
      <c r="E526" t="s">
        <v>64</v>
      </c>
      <c r="F526">
        <v>9</v>
      </c>
      <c r="G526" t="s">
        <v>36</v>
      </c>
      <c r="H526">
        <v>44</v>
      </c>
      <c r="I526">
        <v>2</v>
      </c>
      <c r="J526">
        <v>2</v>
      </c>
      <c r="K526" t="s">
        <v>9</v>
      </c>
      <c r="L526" t="s">
        <v>10</v>
      </c>
      <c r="M526" t="s">
        <v>11</v>
      </c>
      <c r="N526" t="s">
        <v>23</v>
      </c>
      <c r="O526">
        <v>3</v>
      </c>
      <c r="P526" t="s">
        <v>13</v>
      </c>
      <c r="Q526">
        <v>4</v>
      </c>
      <c r="R526" t="s">
        <v>30</v>
      </c>
      <c r="S526" t="s">
        <v>42</v>
      </c>
      <c r="T526" t="s">
        <v>55</v>
      </c>
    </row>
    <row r="527" spans="1:20" x14ac:dyDescent="0.3">
      <c r="A527" t="s">
        <v>576</v>
      </c>
      <c r="B527">
        <v>25</v>
      </c>
      <c r="C527" t="s">
        <v>34</v>
      </c>
      <c r="D527" t="s">
        <v>27</v>
      </c>
      <c r="E527" t="s">
        <v>35</v>
      </c>
      <c r="F527">
        <v>10</v>
      </c>
      <c r="G527" t="s">
        <v>21</v>
      </c>
      <c r="H527">
        <v>24</v>
      </c>
      <c r="I527">
        <v>0</v>
      </c>
      <c r="J527">
        <v>2</v>
      </c>
      <c r="K527" t="s">
        <v>47</v>
      </c>
      <c r="L527" t="s">
        <v>68</v>
      </c>
      <c r="M527" t="s">
        <v>38</v>
      </c>
      <c r="N527" t="s">
        <v>29</v>
      </c>
      <c r="O527">
        <v>1</v>
      </c>
      <c r="P527" t="s">
        <v>13</v>
      </c>
      <c r="Q527">
        <v>1</v>
      </c>
      <c r="R527" t="s">
        <v>14</v>
      </c>
      <c r="S527" t="s">
        <v>31</v>
      </c>
      <c r="T527" t="s">
        <v>44</v>
      </c>
    </row>
    <row r="528" spans="1:20" x14ac:dyDescent="0.3">
      <c r="A528" t="s">
        <v>577</v>
      </c>
      <c r="B528">
        <v>30</v>
      </c>
      <c r="C528" t="s">
        <v>46</v>
      </c>
      <c r="D528" t="s">
        <v>63</v>
      </c>
      <c r="E528" t="s">
        <v>41</v>
      </c>
      <c r="F528">
        <v>26</v>
      </c>
      <c r="G528" t="s">
        <v>8</v>
      </c>
      <c r="H528">
        <v>28</v>
      </c>
      <c r="I528">
        <v>4</v>
      </c>
      <c r="J528">
        <v>3</v>
      </c>
      <c r="K528" t="s">
        <v>37</v>
      </c>
      <c r="L528" t="s">
        <v>22</v>
      </c>
      <c r="M528" t="s">
        <v>38</v>
      </c>
      <c r="N528" t="s">
        <v>23</v>
      </c>
      <c r="O528">
        <v>1</v>
      </c>
      <c r="P528" t="s">
        <v>13</v>
      </c>
      <c r="Q528">
        <v>5</v>
      </c>
      <c r="R528" t="s">
        <v>14</v>
      </c>
      <c r="S528" t="s">
        <v>15</v>
      </c>
      <c r="T528" t="s">
        <v>32</v>
      </c>
    </row>
    <row r="529" spans="1:20" x14ac:dyDescent="0.3">
      <c r="A529" t="s">
        <v>578</v>
      </c>
      <c r="B529">
        <v>28</v>
      </c>
      <c r="C529" t="s">
        <v>18</v>
      </c>
      <c r="D529" t="s">
        <v>27</v>
      </c>
      <c r="E529" t="s">
        <v>7</v>
      </c>
      <c r="F529">
        <v>14</v>
      </c>
      <c r="G529" t="s">
        <v>8</v>
      </c>
      <c r="H529">
        <v>56</v>
      </c>
      <c r="I529">
        <v>1</v>
      </c>
      <c r="J529">
        <v>3</v>
      </c>
      <c r="K529" t="s">
        <v>9</v>
      </c>
      <c r="L529" t="s">
        <v>10</v>
      </c>
      <c r="M529" t="s">
        <v>11</v>
      </c>
      <c r="N529" t="s">
        <v>23</v>
      </c>
      <c r="O529">
        <v>3</v>
      </c>
      <c r="P529" t="s">
        <v>13</v>
      </c>
      <c r="Q529">
        <v>3</v>
      </c>
      <c r="R529" t="s">
        <v>14</v>
      </c>
      <c r="S529" t="s">
        <v>15</v>
      </c>
      <c r="T529" t="s">
        <v>58</v>
      </c>
    </row>
    <row r="530" spans="1:20" x14ac:dyDescent="0.3">
      <c r="A530" t="s">
        <v>579</v>
      </c>
      <c r="B530">
        <v>28</v>
      </c>
      <c r="C530" t="s">
        <v>5</v>
      </c>
      <c r="D530" t="s">
        <v>63</v>
      </c>
      <c r="E530" t="s">
        <v>20</v>
      </c>
      <c r="F530">
        <v>5</v>
      </c>
      <c r="G530" t="s">
        <v>36</v>
      </c>
      <c r="H530">
        <v>22</v>
      </c>
      <c r="I530">
        <v>5</v>
      </c>
      <c r="J530">
        <v>2</v>
      </c>
      <c r="K530" t="s">
        <v>9</v>
      </c>
      <c r="L530" t="s">
        <v>22</v>
      </c>
      <c r="M530" t="s">
        <v>38</v>
      </c>
      <c r="N530" t="s">
        <v>29</v>
      </c>
      <c r="O530">
        <v>4</v>
      </c>
      <c r="P530" t="s">
        <v>24</v>
      </c>
      <c r="Q530">
        <v>1</v>
      </c>
      <c r="R530" t="s">
        <v>49</v>
      </c>
      <c r="S530" t="s">
        <v>31</v>
      </c>
      <c r="T530" t="s">
        <v>32</v>
      </c>
    </row>
    <row r="531" spans="1:20" x14ac:dyDescent="0.3">
      <c r="A531" t="s">
        <v>580</v>
      </c>
      <c r="B531">
        <v>23</v>
      </c>
      <c r="C531" t="s">
        <v>46</v>
      </c>
      <c r="D531" t="s">
        <v>57</v>
      </c>
      <c r="E531" t="s">
        <v>64</v>
      </c>
      <c r="F531">
        <v>15</v>
      </c>
      <c r="G531" t="s">
        <v>36</v>
      </c>
      <c r="H531">
        <v>34</v>
      </c>
      <c r="I531">
        <v>4</v>
      </c>
      <c r="J531">
        <v>3</v>
      </c>
      <c r="K531" t="s">
        <v>37</v>
      </c>
      <c r="L531" t="s">
        <v>30</v>
      </c>
      <c r="M531" t="s">
        <v>11</v>
      </c>
      <c r="N531" t="s">
        <v>23</v>
      </c>
      <c r="O531">
        <v>1</v>
      </c>
      <c r="P531" t="s">
        <v>24</v>
      </c>
      <c r="Q531">
        <v>5</v>
      </c>
      <c r="R531" t="s">
        <v>14</v>
      </c>
      <c r="S531" t="s">
        <v>42</v>
      </c>
      <c r="T531" t="s">
        <v>16</v>
      </c>
    </row>
    <row r="532" spans="1:20" x14ac:dyDescent="0.3">
      <c r="A532" t="s">
        <v>581</v>
      </c>
      <c r="B532">
        <v>36</v>
      </c>
      <c r="C532" t="s">
        <v>18</v>
      </c>
      <c r="D532" t="s">
        <v>27</v>
      </c>
      <c r="E532" t="s">
        <v>64</v>
      </c>
      <c r="F532">
        <v>14</v>
      </c>
      <c r="G532" t="s">
        <v>36</v>
      </c>
      <c r="H532">
        <v>34</v>
      </c>
      <c r="I532">
        <v>1</v>
      </c>
      <c r="J532">
        <v>3</v>
      </c>
      <c r="K532" t="s">
        <v>37</v>
      </c>
      <c r="L532" t="s">
        <v>22</v>
      </c>
      <c r="M532" t="s">
        <v>11</v>
      </c>
      <c r="N532" t="s">
        <v>29</v>
      </c>
      <c r="O532">
        <v>4</v>
      </c>
      <c r="P532" t="s">
        <v>13</v>
      </c>
      <c r="Q532">
        <v>3</v>
      </c>
      <c r="R532" t="s">
        <v>49</v>
      </c>
      <c r="S532" t="s">
        <v>15</v>
      </c>
      <c r="T532" t="s">
        <v>55</v>
      </c>
    </row>
    <row r="533" spans="1:20" x14ac:dyDescent="0.3">
      <c r="A533" t="s">
        <v>582</v>
      </c>
      <c r="B533">
        <v>50</v>
      </c>
      <c r="C533" t="s">
        <v>34</v>
      </c>
      <c r="D533" t="s">
        <v>61</v>
      </c>
      <c r="E533" t="s">
        <v>64</v>
      </c>
      <c r="F533">
        <v>16</v>
      </c>
      <c r="G533" t="s">
        <v>8</v>
      </c>
      <c r="H533">
        <v>55</v>
      </c>
      <c r="I533">
        <v>8</v>
      </c>
      <c r="J533">
        <v>1</v>
      </c>
      <c r="K533" t="s">
        <v>37</v>
      </c>
      <c r="L533" t="s">
        <v>22</v>
      </c>
      <c r="M533" t="s">
        <v>38</v>
      </c>
      <c r="N533" t="s">
        <v>12</v>
      </c>
      <c r="O533">
        <v>1</v>
      </c>
      <c r="P533" t="s">
        <v>13</v>
      </c>
      <c r="Q533">
        <v>5</v>
      </c>
      <c r="R533" t="s">
        <v>49</v>
      </c>
      <c r="S533" t="s">
        <v>31</v>
      </c>
      <c r="T533" t="s">
        <v>44</v>
      </c>
    </row>
    <row r="534" spans="1:20" x14ac:dyDescent="0.3">
      <c r="A534" t="s">
        <v>583</v>
      </c>
      <c r="B534">
        <v>57</v>
      </c>
      <c r="C534" t="s">
        <v>5</v>
      </c>
      <c r="D534" t="s">
        <v>61</v>
      </c>
      <c r="E534" t="s">
        <v>20</v>
      </c>
      <c r="F534">
        <v>35</v>
      </c>
      <c r="G534" t="s">
        <v>36</v>
      </c>
      <c r="H534">
        <v>20</v>
      </c>
      <c r="I534">
        <v>15</v>
      </c>
      <c r="J534">
        <v>3</v>
      </c>
      <c r="K534" t="s">
        <v>9</v>
      </c>
      <c r="L534" t="s">
        <v>30</v>
      </c>
      <c r="M534" t="s">
        <v>11</v>
      </c>
      <c r="N534" t="s">
        <v>29</v>
      </c>
      <c r="O534">
        <v>1</v>
      </c>
      <c r="P534" t="s">
        <v>24</v>
      </c>
      <c r="Q534">
        <v>5</v>
      </c>
      <c r="R534" t="s">
        <v>30</v>
      </c>
      <c r="S534" t="s">
        <v>31</v>
      </c>
      <c r="T534" t="s">
        <v>44</v>
      </c>
    </row>
    <row r="535" spans="1:20" x14ac:dyDescent="0.3">
      <c r="A535" t="s">
        <v>584</v>
      </c>
      <c r="B535">
        <v>44</v>
      </c>
      <c r="C535" t="s">
        <v>34</v>
      </c>
      <c r="D535" t="s">
        <v>40</v>
      </c>
      <c r="E535" t="s">
        <v>7</v>
      </c>
      <c r="F535">
        <v>25</v>
      </c>
      <c r="G535" t="s">
        <v>36</v>
      </c>
      <c r="H535">
        <v>53</v>
      </c>
      <c r="I535">
        <v>7</v>
      </c>
      <c r="J535">
        <v>3</v>
      </c>
      <c r="K535" t="s">
        <v>47</v>
      </c>
      <c r="L535" t="s">
        <v>10</v>
      </c>
      <c r="M535" t="s">
        <v>11</v>
      </c>
      <c r="N535" t="s">
        <v>23</v>
      </c>
      <c r="O535">
        <v>4</v>
      </c>
      <c r="P535" t="s">
        <v>13</v>
      </c>
      <c r="Q535">
        <v>1</v>
      </c>
      <c r="R535" t="s">
        <v>30</v>
      </c>
      <c r="S535" t="s">
        <v>42</v>
      </c>
      <c r="T535" t="s">
        <v>58</v>
      </c>
    </row>
    <row r="536" spans="1:20" x14ac:dyDescent="0.3">
      <c r="A536" t="s">
        <v>585</v>
      </c>
      <c r="B536">
        <v>24</v>
      </c>
      <c r="C536" t="s">
        <v>5</v>
      </c>
      <c r="D536" t="s">
        <v>57</v>
      </c>
      <c r="E536" t="s">
        <v>7</v>
      </c>
      <c r="F536">
        <v>2</v>
      </c>
      <c r="G536" t="s">
        <v>8</v>
      </c>
      <c r="H536">
        <v>31</v>
      </c>
      <c r="I536">
        <v>3</v>
      </c>
      <c r="J536">
        <v>5</v>
      </c>
      <c r="K536" t="s">
        <v>37</v>
      </c>
      <c r="L536" t="s">
        <v>30</v>
      </c>
      <c r="M536" t="s">
        <v>38</v>
      </c>
      <c r="N536" t="s">
        <v>12</v>
      </c>
      <c r="O536">
        <v>3</v>
      </c>
      <c r="P536" t="s">
        <v>13</v>
      </c>
      <c r="Q536">
        <v>5</v>
      </c>
      <c r="R536" t="s">
        <v>49</v>
      </c>
      <c r="S536" t="s">
        <v>42</v>
      </c>
      <c r="T536" t="s">
        <v>58</v>
      </c>
    </row>
    <row r="537" spans="1:20" x14ac:dyDescent="0.3">
      <c r="A537" t="s">
        <v>586</v>
      </c>
      <c r="B537">
        <v>39</v>
      </c>
      <c r="C537" t="s">
        <v>46</v>
      </c>
      <c r="D537" t="s">
        <v>27</v>
      </c>
      <c r="E537" t="s">
        <v>28</v>
      </c>
      <c r="F537">
        <v>32</v>
      </c>
      <c r="G537" t="s">
        <v>8</v>
      </c>
      <c r="H537">
        <v>51</v>
      </c>
      <c r="I537">
        <v>10</v>
      </c>
      <c r="J537">
        <v>1</v>
      </c>
      <c r="K537" t="s">
        <v>37</v>
      </c>
      <c r="L537" t="s">
        <v>10</v>
      </c>
      <c r="M537" t="s">
        <v>38</v>
      </c>
      <c r="N537" t="s">
        <v>23</v>
      </c>
      <c r="O537">
        <v>4</v>
      </c>
      <c r="P537" t="s">
        <v>48</v>
      </c>
      <c r="Q537">
        <v>4</v>
      </c>
      <c r="R537" t="s">
        <v>14</v>
      </c>
      <c r="S537" t="s">
        <v>31</v>
      </c>
      <c r="T537" t="s">
        <v>44</v>
      </c>
    </row>
    <row r="538" spans="1:20" x14ac:dyDescent="0.3">
      <c r="A538" t="s">
        <v>587</v>
      </c>
      <c r="B538">
        <v>57</v>
      </c>
      <c r="C538" t="s">
        <v>34</v>
      </c>
      <c r="D538" t="s">
        <v>57</v>
      </c>
      <c r="E538" t="s">
        <v>20</v>
      </c>
      <c r="F538">
        <v>28</v>
      </c>
      <c r="G538" t="s">
        <v>8</v>
      </c>
      <c r="H538">
        <v>33</v>
      </c>
      <c r="I538">
        <v>3</v>
      </c>
      <c r="J538">
        <v>5</v>
      </c>
      <c r="K538" t="s">
        <v>9</v>
      </c>
      <c r="L538" t="s">
        <v>10</v>
      </c>
      <c r="M538" t="s">
        <v>38</v>
      </c>
      <c r="N538" t="s">
        <v>29</v>
      </c>
      <c r="O538">
        <v>1</v>
      </c>
      <c r="P538" t="s">
        <v>48</v>
      </c>
      <c r="Q538">
        <v>1</v>
      </c>
      <c r="R538" t="s">
        <v>49</v>
      </c>
      <c r="S538" t="s">
        <v>42</v>
      </c>
      <c r="T538" t="s">
        <v>16</v>
      </c>
    </row>
    <row r="539" spans="1:20" x14ac:dyDescent="0.3">
      <c r="A539" t="s">
        <v>588</v>
      </c>
      <c r="B539">
        <v>45</v>
      </c>
      <c r="C539" t="s">
        <v>46</v>
      </c>
      <c r="D539" t="s">
        <v>6</v>
      </c>
      <c r="E539" t="s">
        <v>64</v>
      </c>
      <c r="F539">
        <v>12</v>
      </c>
      <c r="G539" t="s">
        <v>8</v>
      </c>
      <c r="H539">
        <v>46</v>
      </c>
      <c r="I539">
        <v>0</v>
      </c>
      <c r="J539">
        <v>3</v>
      </c>
      <c r="K539" t="s">
        <v>9</v>
      </c>
      <c r="L539" t="s">
        <v>30</v>
      </c>
      <c r="M539" t="s">
        <v>38</v>
      </c>
      <c r="N539" t="s">
        <v>29</v>
      </c>
      <c r="O539">
        <v>2</v>
      </c>
      <c r="P539" t="s">
        <v>13</v>
      </c>
      <c r="Q539">
        <v>3</v>
      </c>
      <c r="R539" t="s">
        <v>49</v>
      </c>
      <c r="S539" t="s">
        <v>31</v>
      </c>
      <c r="T539" t="s">
        <v>32</v>
      </c>
    </row>
    <row r="540" spans="1:20" x14ac:dyDescent="0.3">
      <c r="A540" t="s">
        <v>589</v>
      </c>
      <c r="B540">
        <v>35</v>
      </c>
      <c r="C540" t="s">
        <v>18</v>
      </c>
      <c r="D540" t="s">
        <v>57</v>
      </c>
      <c r="E540" t="s">
        <v>64</v>
      </c>
      <c r="F540">
        <v>14</v>
      </c>
      <c r="G540" t="s">
        <v>36</v>
      </c>
      <c r="H540">
        <v>32</v>
      </c>
      <c r="I540">
        <v>4</v>
      </c>
      <c r="J540">
        <v>3</v>
      </c>
      <c r="K540" t="s">
        <v>47</v>
      </c>
      <c r="L540" t="s">
        <v>22</v>
      </c>
      <c r="M540" t="s">
        <v>11</v>
      </c>
      <c r="N540" t="s">
        <v>29</v>
      </c>
      <c r="O540">
        <v>4</v>
      </c>
      <c r="P540" t="s">
        <v>24</v>
      </c>
      <c r="Q540">
        <v>3</v>
      </c>
      <c r="R540" t="s">
        <v>30</v>
      </c>
      <c r="S540" t="s">
        <v>15</v>
      </c>
      <c r="T540" t="s">
        <v>32</v>
      </c>
    </row>
    <row r="541" spans="1:20" x14ac:dyDescent="0.3">
      <c r="A541" t="s">
        <v>590</v>
      </c>
      <c r="B541">
        <v>59</v>
      </c>
      <c r="C541" t="s">
        <v>46</v>
      </c>
      <c r="D541" t="s">
        <v>63</v>
      </c>
      <c r="E541" t="s">
        <v>7</v>
      </c>
      <c r="F541">
        <v>27</v>
      </c>
      <c r="G541" t="s">
        <v>21</v>
      </c>
      <c r="H541">
        <v>25</v>
      </c>
      <c r="I541">
        <v>11</v>
      </c>
      <c r="J541">
        <v>4</v>
      </c>
      <c r="K541" t="s">
        <v>37</v>
      </c>
      <c r="L541" t="s">
        <v>10</v>
      </c>
      <c r="M541" t="s">
        <v>11</v>
      </c>
      <c r="N541" t="s">
        <v>29</v>
      </c>
      <c r="O541">
        <v>1</v>
      </c>
      <c r="P541" t="s">
        <v>48</v>
      </c>
      <c r="Q541">
        <v>1</v>
      </c>
      <c r="R541" t="s">
        <v>49</v>
      </c>
      <c r="S541" t="s">
        <v>42</v>
      </c>
      <c r="T541" t="s">
        <v>32</v>
      </c>
    </row>
    <row r="542" spans="1:20" x14ac:dyDescent="0.3">
      <c r="A542" t="s">
        <v>591</v>
      </c>
      <c r="B542">
        <v>58</v>
      </c>
      <c r="C542" t="s">
        <v>46</v>
      </c>
      <c r="D542" t="s">
        <v>57</v>
      </c>
      <c r="E542" t="s">
        <v>64</v>
      </c>
      <c r="F542">
        <v>1</v>
      </c>
      <c r="G542" t="s">
        <v>8</v>
      </c>
      <c r="H542">
        <v>43</v>
      </c>
      <c r="I542">
        <v>14</v>
      </c>
      <c r="J542">
        <v>2</v>
      </c>
      <c r="K542" t="s">
        <v>37</v>
      </c>
      <c r="L542" t="s">
        <v>68</v>
      </c>
      <c r="M542" t="s">
        <v>11</v>
      </c>
      <c r="N542" t="s">
        <v>29</v>
      </c>
      <c r="O542">
        <v>4</v>
      </c>
      <c r="P542" t="s">
        <v>48</v>
      </c>
      <c r="Q542">
        <v>4</v>
      </c>
      <c r="R542" t="s">
        <v>49</v>
      </c>
      <c r="S542" t="s">
        <v>31</v>
      </c>
      <c r="T542" t="s">
        <v>55</v>
      </c>
    </row>
    <row r="543" spans="1:20" x14ac:dyDescent="0.3">
      <c r="A543" t="s">
        <v>592</v>
      </c>
      <c r="B543">
        <v>48</v>
      </c>
      <c r="C543" t="s">
        <v>34</v>
      </c>
      <c r="D543" t="s">
        <v>19</v>
      </c>
      <c r="E543" t="s">
        <v>28</v>
      </c>
      <c r="F543">
        <v>30</v>
      </c>
      <c r="G543" t="s">
        <v>21</v>
      </c>
      <c r="H543">
        <v>42</v>
      </c>
      <c r="I543">
        <v>1</v>
      </c>
      <c r="J543">
        <v>4</v>
      </c>
      <c r="K543" t="s">
        <v>9</v>
      </c>
      <c r="L543" t="s">
        <v>10</v>
      </c>
      <c r="M543" t="s">
        <v>11</v>
      </c>
      <c r="N543" t="s">
        <v>23</v>
      </c>
      <c r="O543">
        <v>5</v>
      </c>
      <c r="P543" t="s">
        <v>13</v>
      </c>
      <c r="Q543">
        <v>3</v>
      </c>
      <c r="R543" t="s">
        <v>14</v>
      </c>
      <c r="S543" t="s">
        <v>42</v>
      </c>
      <c r="T543" t="s">
        <v>55</v>
      </c>
    </row>
    <row r="544" spans="1:20" x14ac:dyDescent="0.3">
      <c r="A544" t="s">
        <v>593</v>
      </c>
      <c r="B544">
        <v>55</v>
      </c>
      <c r="C544" t="s">
        <v>46</v>
      </c>
      <c r="D544" t="s">
        <v>19</v>
      </c>
      <c r="E544" t="s">
        <v>7</v>
      </c>
      <c r="F544">
        <v>8</v>
      </c>
      <c r="G544" t="s">
        <v>21</v>
      </c>
      <c r="H544">
        <v>49</v>
      </c>
      <c r="I544">
        <v>10</v>
      </c>
      <c r="J544">
        <v>5</v>
      </c>
      <c r="K544" t="s">
        <v>9</v>
      </c>
      <c r="L544" t="s">
        <v>10</v>
      </c>
      <c r="M544" t="s">
        <v>11</v>
      </c>
      <c r="N544" t="s">
        <v>29</v>
      </c>
      <c r="O544">
        <v>2</v>
      </c>
      <c r="P544" t="s">
        <v>24</v>
      </c>
      <c r="Q544">
        <v>5</v>
      </c>
      <c r="R544" t="s">
        <v>14</v>
      </c>
      <c r="S544" t="s">
        <v>15</v>
      </c>
      <c r="T544" t="s">
        <v>44</v>
      </c>
    </row>
    <row r="545" spans="1:20" x14ac:dyDescent="0.3">
      <c r="A545" t="s">
        <v>594</v>
      </c>
      <c r="B545">
        <v>60</v>
      </c>
      <c r="C545" t="s">
        <v>34</v>
      </c>
      <c r="D545" t="s">
        <v>61</v>
      </c>
      <c r="E545" t="s">
        <v>20</v>
      </c>
      <c r="F545">
        <v>11</v>
      </c>
      <c r="G545" t="s">
        <v>8</v>
      </c>
      <c r="H545">
        <v>50</v>
      </c>
      <c r="I545">
        <v>2</v>
      </c>
      <c r="J545">
        <v>3</v>
      </c>
      <c r="K545" t="s">
        <v>9</v>
      </c>
      <c r="L545" t="s">
        <v>30</v>
      </c>
      <c r="M545" t="s">
        <v>11</v>
      </c>
      <c r="N545" t="s">
        <v>12</v>
      </c>
      <c r="O545">
        <v>2</v>
      </c>
      <c r="P545" t="s">
        <v>13</v>
      </c>
      <c r="Q545">
        <v>5</v>
      </c>
      <c r="R545" t="s">
        <v>30</v>
      </c>
      <c r="S545" t="s">
        <v>42</v>
      </c>
      <c r="T545" t="s">
        <v>16</v>
      </c>
    </row>
    <row r="546" spans="1:20" x14ac:dyDescent="0.3">
      <c r="A546" t="s">
        <v>595</v>
      </c>
      <c r="B546">
        <v>60</v>
      </c>
      <c r="C546" t="s">
        <v>46</v>
      </c>
      <c r="D546" t="s">
        <v>27</v>
      </c>
      <c r="E546" t="s">
        <v>35</v>
      </c>
      <c r="F546">
        <v>20</v>
      </c>
      <c r="G546" t="s">
        <v>36</v>
      </c>
      <c r="H546">
        <v>44</v>
      </c>
      <c r="I546">
        <v>6</v>
      </c>
      <c r="J546">
        <v>1</v>
      </c>
      <c r="K546" t="s">
        <v>47</v>
      </c>
      <c r="L546" t="s">
        <v>30</v>
      </c>
      <c r="M546" t="s">
        <v>38</v>
      </c>
      <c r="N546" t="s">
        <v>12</v>
      </c>
      <c r="O546">
        <v>3</v>
      </c>
      <c r="P546" t="s">
        <v>13</v>
      </c>
      <c r="Q546">
        <v>3</v>
      </c>
      <c r="R546" t="s">
        <v>49</v>
      </c>
      <c r="S546" t="s">
        <v>31</v>
      </c>
      <c r="T546" t="s">
        <v>16</v>
      </c>
    </row>
    <row r="547" spans="1:20" x14ac:dyDescent="0.3">
      <c r="A547" t="s">
        <v>596</v>
      </c>
      <c r="B547">
        <v>23</v>
      </c>
      <c r="C547" t="s">
        <v>5</v>
      </c>
      <c r="D547" t="s">
        <v>6</v>
      </c>
      <c r="E547" t="s">
        <v>20</v>
      </c>
      <c r="F547">
        <v>23</v>
      </c>
      <c r="G547" t="s">
        <v>21</v>
      </c>
      <c r="H547">
        <v>32</v>
      </c>
      <c r="I547">
        <v>6</v>
      </c>
      <c r="J547">
        <v>4</v>
      </c>
      <c r="K547" t="s">
        <v>47</v>
      </c>
      <c r="L547" t="s">
        <v>22</v>
      </c>
      <c r="M547" t="s">
        <v>38</v>
      </c>
      <c r="N547" t="s">
        <v>29</v>
      </c>
      <c r="O547">
        <v>5</v>
      </c>
      <c r="P547" t="s">
        <v>13</v>
      </c>
      <c r="Q547">
        <v>2</v>
      </c>
      <c r="R547" t="s">
        <v>14</v>
      </c>
      <c r="S547" t="s">
        <v>15</v>
      </c>
      <c r="T547" t="s">
        <v>44</v>
      </c>
    </row>
    <row r="548" spans="1:20" x14ac:dyDescent="0.3">
      <c r="A548" t="s">
        <v>597</v>
      </c>
      <c r="B548">
        <v>28</v>
      </c>
      <c r="C548" t="s">
        <v>34</v>
      </c>
      <c r="D548" t="s">
        <v>61</v>
      </c>
      <c r="E548" t="s">
        <v>28</v>
      </c>
      <c r="F548">
        <v>32</v>
      </c>
      <c r="G548" t="s">
        <v>8</v>
      </c>
      <c r="H548">
        <v>51</v>
      </c>
      <c r="I548">
        <v>3</v>
      </c>
      <c r="J548">
        <v>3</v>
      </c>
      <c r="K548" t="s">
        <v>9</v>
      </c>
      <c r="L548" t="s">
        <v>68</v>
      </c>
      <c r="M548" t="s">
        <v>38</v>
      </c>
      <c r="N548" t="s">
        <v>29</v>
      </c>
      <c r="O548">
        <v>3</v>
      </c>
      <c r="P548" t="s">
        <v>24</v>
      </c>
      <c r="Q548">
        <v>5</v>
      </c>
      <c r="R548" t="s">
        <v>30</v>
      </c>
      <c r="S548" t="s">
        <v>31</v>
      </c>
      <c r="T548" t="s">
        <v>32</v>
      </c>
    </row>
    <row r="549" spans="1:20" x14ac:dyDescent="0.3">
      <c r="A549" t="s">
        <v>598</v>
      </c>
      <c r="B549">
        <v>49</v>
      </c>
      <c r="C549" t="s">
        <v>18</v>
      </c>
      <c r="D549" t="s">
        <v>57</v>
      </c>
      <c r="E549" t="s">
        <v>20</v>
      </c>
      <c r="F549">
        <v>5</v>
      </c>
      <c r="G549" t="s">
        <v>8</v>
      </c>
      <c r="H549">
        <v>51</v>
      </c>
      <c r="I549">
        <v>6</v>
      </c>
      <c r="J549">
        <v>3</v>
      </c>
      <c r="K549" t="s">
        <v>9</v>
      </c>
      <c r="L549" t="s">
        <v>10</v>
      </c>
      <c r="M549" t="s">
        <v>38</v>
      </c>
      <c r="N549" t="s">
        <v>29</v>
      </c>
      <c r="O549">
        <v>4</v>
      </c>
      <c r="P549" t="s">
        <v>13</v>
      </c>
      <c r="Q549">
        <v>5</v>
      </c>
      <c r="R549" t="s">
        <v>14</v>
      </c>
      <c r="S549" t="s">
        <v>42</v>
      </c>
      <c r="T549" t="s">
        <v>55</v>
      </c>
    </row>
    <row r="550" spans="1:20" x14ac:dyDescent="0.3">
      <c r="A550" t="s">
        <v>599</v>
      </c>
      <c r="B550">
        <v>45</v>
      </c>
      <c r="C550" t="s">
        <v>34</v>
      </c>
      <c r="D550" t="s">
        <v>61</v>
      </c>
      <c r="E550" t="s">
        <v>64</v>
      </c>
      <c r="F550">
        <v>18</v>
      </c>
      <c r="G550" t="s">
        <v>21</v>
      </c>
      <c r="H550">
        <v>55</v>
      </c>
      <c r="I550">
        <v>8</v>
      </c>
      <c r="J550">
        <v>4</v>
      </c>
      <c r="K550" t="s">
        <v>9</v>
      </c>
      <c r="L550" t="s">
        <v>68</v>
      </c>
      <c r="M550" t="s">
        <v>38</v>
      </c>
      <c r="N550" t="s">
        <v>29</v>
      </c>
      <c r="O550">
        <v>2</v>
      </c>
      <c r="P550" t="s">
        <v>13</v>
      </c>
      <c r="Q550">
        <v>4</v>
      </c>
      <c r="R550" t="s">
        <v>30</v>
      </c>
      <c r="S550" t="s">
        <v>42</v>
      </c>
      <c r="T550" t="s">
        <v>16</v>
      </c>
    </row>
    <row r="551" spans="1:20" x14ac:dyDescent="0.3">
      <c r="A551" t="s">
        <v>600</v>
      </c>
      <c r="B551">
        <v>22</v>
      </c>
      <c r="C551" t="s">
        <v>34</v>
      </c>
      <c r="D551" t="s">
        <v>63</v>
      </c>
      <c r="E551" t="s">
        <v>64</v>
      </c>
      <c r="F551">
        <v>35</v>
      </c>
      <c r="G551" t="s">
        <v>36</v>
      </c>
      <c r="H551">
        <v>26</v>
      </c>
      <c r="I551">
        <v>12</v>
      </c>
      <c r="J551">
        <v>3</v>
      </c>
      <c r="K551" t="s">
        <v>37</v>
      </c>
      <c r="L551" t="s">
        <v>68</v>
      </c>
      <c r="M551" t="s">
        <v>38</v>
      </c>
      <c r="N551" t="s">
        <v>12</v>
      </c>
      <c r="O551">
        <v>5</v>
      </c>
      <c r="P551" t="s">
        <v>48</v>
      </c>
      <c r="Q551">
        <v>3</v>
      </c>
      <c r="R551" t="s">
        <v>49</v>
      </c>
      <c r="S551" t="s">
        <v>31</v>
      </c>
      <c r="T551" t="s">
        <v>44</v>
      </c>
    </row>
    <row r="552" spans="1:20" x14ac:dyDescent="0.3">
      <c r="A552" t="s">
        <v>601</v>
      </c>
      <c r="B552">
        <v>24</v>
      </c>
      <c r="C552" t="s">
        <v>18</v>
      </c>
      <c r="D552" t="s">
        <v>61</v>
      </c>
      <c r="E552" t="s">
        <v>51</v>
      </c>
      <c r="F552">
        <v>20</v>
      </c>
      <c r="G552" t="s">
        <v>36</v>
      </c>
      <c r="H552">
        <v>58</v>
      </c>
      <c r="I552">
        <v>12</v>
      </c>
      <c r="J552">
        <v>2</v>
      </c>
      <c r="K552" t="s">
        <v>37</v>
      </c>
      <c r="L552" t="s">
        <v>22</v>
      </c>
      <c r="M552" t="s">
        <v>38</v>
      </c>
      <c r="N552" t="s">
        <v>29</v>
      </c>
      <c r="O552">
        <v>4</v>
      </c>
      <c r="P552" t="s">
        <v>13</v>
      </c>
      <c r="Q552">
        <v>1</v>
      </c>
      <c r="R552" t="s">
        <v>49</v>
      </c>
      <c r="S552" t="s">
        <v>15</v>
      </c>
      <c r="T552" t="s">
        <v>55</v>
      </c>
    </row>
    <row r="553" spans="1:20" x14ac:dyDescent="0.3">
      <c r="A553" t="s">
        <v>602</v>
      </c>
      <c r="B553">
        <v>39</v>
      </c>
      <c r="C553" t="s">
        <v>34</v>
      </c>
      <c r="D553" t="s">
        <v>40</v>
      </c>
      <c r="E553" t="s">
        <v>7</v>
      </c>
      <c r="F553">
        <v>28</v>
      </c>
      <c r="G553" t="s">
        <v>8</v>
      </c>
      <c r="H553">
        <v>44</v>
      </c>
      <c r="I553">
        <v>6</v>
      </c>
      <c r="J553">
        <v>3</v>
      </c>
      <c r="K553" t="s">
        <v>37</v>
      </c>
      <c r="L553" t="s">
        <v>10</v>
      </c>
      <c r="M553" t="s">
        <v>11</v>
      </c>
      <c r="N553" t="s">
        <v>12</v>
      </c>
      <c r="O553">
        <v>5</v>
      </c>
      <c r="P553" t="s">
        <v>24</v>
      </c>
      <c r="Q553">
        <v>1</v>
      </c>
      <c r="R553" t="s">
        <v>14</v>
      </c>
      <c r="S553" t="s">
        <v>31</v>
      </c>
      <c r="T553" t="s">
        <v>55</v>
      </c>
    </row>
    <row r="554" spans="1:20" x14ac:dyDescent="0.3">
      <c r="A554" t="s">
        <v>603</v>
      </c>
      <c r="B554">
        <v>27</v>
      </c>
      <c r="C554" t="s">
        <v>5</v>
      </c>
      <c r="D554" t="s">
        <v>6</v>
      </c>
      <c r="E554" t="s">
        <v>51</v>
      </c>
      <c r="F554">
        <v>29</v>
      </c>
      <c r="G554" t="s">
        <v>36</v>
      </c>
      <c r="H554">
        <v>39</v>
      </c>
      <c r="I554">
        <v>11</v>
      </c>
      <c r="J554">
        <v>4</v>
      </c>
      <c r="K554" t="s">
        <v>37</v>
      </c>
      <c r="L554" t="s">
        <v>10</v>
      </c>
      <c r="M554" t="s">
        <v>38</v>
      </c>
      <c r="N554" t="s">
        <v>12</v>
      </c>
      <c r="O554">
        <v>2</v>
      </c>
      <c r="P554" t="s">
        <v>24</v>
      </c>
      <c r="Q554">
        <v>1</v>
      </c>
      <c r="R554" t="s">
        <v>49</v>
      </c>
      <c r="S554" t="s">
        <v>31</v>
      </c>
      <c r="T554" t="s">
        <v>44</v>
      </c>
    </row>
    <row r="555" spans="1:20" x14ac:dyDescent="0.3">
      <c r="A555" t="s">
        <v>604</v>
      </c>
      <c r="B555">
        <v>38</v>
      </c>
      <c r="C555" t="s">
        <v>34</v>
      </c>
      <c r="D555" t="s">
        <v>63</v>
      </c>
      <c r="E555" t="s">
        <v>20</v>
      </c>
      <c r="F555">
        <v>26</v>
      </c>
      <c r="G555" t="s">
        <v>8</v>
      </c>
      <c r="H555">
        <v>39</v>
      </c>
      <c r="I555">
        <v>0</v>
      </c>
      <c r="J555">
        <v>4</v>
      </c>
      <c r="K555" t="s">
        <v>37</v>
      </c>
      <c r="L555" t="s">
        <v>22</v>
      </c>
      <c r="M555" t="s">
        <v>11</v>
      </c>
      <c r="N555" t="s">
        <v>23</v>
      </c>
      <c r="O555">
        <v>1</v>
      </c>
      <c r="P555" t="s">
        <v>48</v>
      </c>
      <c r="Q555">
        <v>3</v>
      </c>
      <c r="R555" t="s">
        <v>14</v>
      </c>
      <c r="S555" t="s">
        <v>15</v>
      </c>
      <c r="T555" t="s">
        <v>32</v>
      </c>
    </row>
    <row r="556" spans="1:20" x14ac:dyDescent="0.3">
      <c r="A556" t="s">
        <v>605</v>
      </c>
      <c r="B556">
        <v>50</v>
      </c>
      <c r="C556" t="s">
        <v>18</v>
      </c>
      <c r="D556" t="s">
        <v>63</v>
      </c>
      <c r="E556" t="s">
        <v>7</v>
      </c>
      <c r="F556">
        <v>18</v>
      </c>
      <c r="G556" t="s">
        <v>21</v>
      </c>
      <c r="H556">
        <v>45</v>
      </c>
      <c r="I556">
        <v>1</v>
      </c>
      <c r="J556">
        <v>5</v>
      </c>
      <c r="K556" t="s">
        <v>47</v>
      </c>
      <c r="L556" t="s">
        <v>30</v>
      </c>
      <c r="M556" t="s">
        <v>38</v>
      </c>
      <c r="N556" t="s">
        <v>12</v>
      </c>
      <c r="O556">
        <v>5</v>
      </c>
      <c r="P556" t="s">
        <v>13</v>
      </c>
      <c r="Q556">
        <v>2</v>
      </c>
      <c r="R556" t="s">
        <v>14</v>
      </c>
      <c r="S556" t="s">
        <v>15</v>
      </c>
      <c r="T556" t="s">
        <v>58</v>
      </c>
    </row>
    <row r="557" spans="1:20" x14ac:dyDescent="0.3">
      <c r="A557" t="s">
        <v>606</v>
      </c>
      <c r="B557">
        <v>46</v>
      </c>
      <c r="C557" t="s">
        <v>5</v>
      </c>
      <c r="D557" t="s">
        <v>6</v>
      </c>
      <c r="E557" t="s">
        <v>20</v>
      </c>
      <c r="F557">
        <v>4</v>
      </c>
      <c r="G557" t="s">
        <v>21</v>
      </c>
      <c r="H557">
        <v>57</v>
      </c>
      <c r="I557">
        <v>13</v>
      </c>
      <c r="J557">
        <v>4</v>
      </c>
      <c r="K557" t="s">
        <v>37</v>
      </c>
      <c r="L557" t="s">
        <v>10</v>
      </c>
      <c r="M557" t="s">
        <v>11</v>
      </c>
      <c r="N557" t="s">
        <v>12</v>
      </c>
      <c r="O557">
        <v>1</v>
      </c>
      <c r="P557" t="s">
        <v>24</v>
      </c>
      <c r="Q557">
        <v>5</v>
      </c>
      <c r="R557" t="s">
        <v>49</v>
      </c>
      <c r="S557" t="s">
        <v>31</v>
      </c>
      <c r="T557" t="s">
        <v>32</v>
      </c>
    </row>
    <row r="558" spans="1:20" x14ac:dyDescent="0.3">
      <c r="A558" t="s">
        <v>607</v>
      </c>
      <c r="B558">
        <v>46</v>
      </c>
      <c r="C558" t="s">
        <v>46</v>
      </c>
      <c r="D558" t="s">
        <v>61</v>
      </c>
      <c r="E558" t="s">
        <v>28</v>
      </c>
      <c r="F558">
        <v>4</v>
      </c>
      <c r="G558" t="s">
        <v>36</v>
      </c>
      <c r="H558">
        <v>48</v>
      </c>
      <c r="I558">
        <v>4</v>
      </c>
      <c r="J558">
        <v>1</v>
      </c>
      <c r="K558" t="s">
        <v>47</v>
      </c>
      <c r="L558" t="s">
        <v>22</v>
      </c>
      <c r="M558" t="s">
        <v>38</v>
      </c>
      <c r="N558" t="s">
        <v>23</v>
      </c>
      <c r="O558">
        <v>1</v>
      </c>
      <c r="P558" t="s">
        <v>48</v>
      </c>
      <c r="Q558">
        <v>3</v>
      </c>
      <c r="R558" t="s">
        <v>30</v>
      </c>
      <c r="S558" t="s">
        <v>15</v>
      </c>
      <c r="T558" t="s">
        <v>25</v>
      </c>
    </row>
    <row r="559" spans="1:20" x14ac:dyDescent="0.3">
      <c r="A559" t="s">
        <v>608</v>
      </c>
      <c r="B559">
        <v>28</v>
      </c>
      <c r="C559" t="s">
        <v>46</v>
      </c>
      <c r="D559" t="s">
        <v>40</v>
      </c>
      <c r="E559" t="s">
        <v>51</v>
      </c>
      <c r="F559">
        <v>10</v>
      </c>
      <c r="G559" t="s">
        <v>8</v>
      </c>
      <c r="H559">
        <v>30</v>
      </c>
      <c r="I559">
        <v>2</v>
      </c>
      <c r="J559">
        <v>3</v>
      </c>
      <c r="K559" t="s">
        <v>47</v>
      </c>
      <c r="L559" t="s">
        <v>22</v>
      </c>
      <c r="M559" t="s">
        <v>38</v>
      </c>
      <c r="N559" t="s">
        <v>12</v>
      </c>
      <c r="O559">
        <v>5</v>
      </c>
      <c r="P559" t="s">
        <v>13</v>
      </c>
      <c r="Q559">
        <v>3</v>
      </c>
      <c r="R559" t="s">
        <v>30</v>
      </c>
      <c r="S559" t="s">
        <v>31</v>
      </c>
      <c r="T559" t="s">
        <v>16</v>
      </c>
    </row>
    <row r="560" spans="1:20" x14ac:dyDescent="0.3">
      <c r="A560" t="s">
        <v>609</v>
      </c>
      <c r="B560">
        <v>53</v>
      </c>
      <c r="C560" t="s">
        <v>46</v>
      </c>
      <c r="D560" t="s">
        <v>6</v>
      </c>
      <c r="E560" t="s">
        <v>51</v>
      </c>
      <c r="F560">
        <v>2</v>
      </c>
      <c r="G560" t="s">
        <v>21</v>
      </c>
      <c r="H560">
        <v>27</v>
      </c>
      <c r="I560">
        <v>11</v>
      </c>
      <c r="J560">
        <v>3</v>
      </c>
      <c r="K560" t="s">
        <v>9</v>
      </c>
      <c r="L560" t="s">
        <v>68</v>
      </c>
      <c r="M560" t="s">
        <v>11</v>
      </c>
      <c r="N560" t="s">
        <v>29</v>
      </c>
      <c r="O560">
        <v>4</v>
      </c>
      <c r="P560" t="s">
        <v>24</v>
      </c>
      <c r="Q560">
        <v>4</v>
      </c>
      <c r="R560" t="s">
        <v>14</v>
      </c>
      <c r="S560" t="s">
        <v>31</v>
      </c>
      <c r="T560" t="s">
        <v>55</v>
      </c>
    </row>
    <row r="561" spans="1:20" x14ac:dyDescent="0.3">
      <c r="A561" t="s">
        <v>610</v>
      </c>
      <c r="B561">
        <v>34</v>
      </c>
      <c r="C561" t="s">
        <v>18</v>
      </c>
      <c r="D561" t="s">
        <v>27</v>
      </c>
      <c r="E561" t="s">
        <v>28</v>
      </c>
      <c r="F561">
        <v>2</v>
      </c>
      <c r="G561" t="s">
        <v>8</v>
      </c>
      <c r="H561">
        <v>25</v>
      </c>
      <c r="I561">
        <v>9</v>
      </c>
      <c r="J561">
        <v>5</v>
      </c>
      <c r="K561" t="s">
        <v>9</v>
      </c>
      <c r="L561" t="s">
        <v>10</v>
      </c>
      <c r="M561" t="s">
        <v>38</v>
      </c>
      <c r="N561" t="s">
        <v>12</v>
      </c>
      <c r="O561">
        <v>2</v>
      </c>
      <c r="P561" t="s">
        <v>48</v>
      </c>
      <c r="Q561">
        <v>1</v>
      </c>
      <c r="R561" t="s">
        <v>14</v>
      </c>
      <c r="S561" t="s">
        <v>42</v>
      </c>
      <c r="T561" t="s">
        <v>32</v>
      </c>
    </row>
    <row r="562" spans="1:20" x14ac:dyDescent="0.3">
      <c r="A562" t="s">
        <v>611</v>
      </c>
      <c r="B562">
        <v>35</v>
      </c>
      <c r="C562" t="s">
        <v>18</v>
      </c>
      <c r="D562" t="s">
        <v>63</v>
      </c>
      <c r="E562" t="s">
        <v>35</v>
      </c>
      <c r="F562">
        <v>8</v>
      </c>
      <c r="G562" t="s">
        <v>8</v>
      </c>
      <c r="H562">
        <v>25</v>
      </c>
      <c r="I562">
        <v>14</v>
      </c>
      <c r="J562">
        <v>5</v>
      </c>
      <c r="K562" t="s">
        <v>37</v>
      </c>
      <c r="L562" t="s">
        <v>22</v>
      </c>
      <c r="M562" t="s">
        <v>38</v>
      </c>
      <c r="N562" t="s">
        <v>29</v>
      </c>
      <c r="O562">
        <v>3</v>
      </c>
      <c r="P562" t="s">
        <v>13</v>
      </c>
      <c r="Q562">
        <v>4</v>
      </c>
      <c r="R562" t="s">
        <v>49</v>
      </c>
      <c r="S562" t="s">
        <v>31</v>
      </c>
      <c r="T562" t="s">
        <v>25</v>
      </c>
    </row>
    <row r="563" spans="1:20" x14ac:dyDescent="0.3">
      <c r="A563" t="s">
        <v>612</v>
      </c>
      <c r="B563">
        <v>48</v>
      </c>
      <c r="C563" t="s">
        <v>46</v>
      </c>
      <c r="D563" t="s">
        <v>6</v>
      </c>
      <c r="E563" t="s">
        <v>64</v>
      </c>
      <c r="F563">
        <v>34</v>
      </c>
      <c r="G563" t="s">
        <v>36</v>
      </c>
      <c r="H563">
        <v>39</v>
      </c>
      <c r="I563">
        <v>9</v>
      </c>
      <c r="J563">
        <v>2</v>
      </c>
      <c r="K563" t="s">
        <v>9</v>
      </c>
      <c r="L563" t="s">
        <v>22</v>
      </c>
      <c r="M563" t="s">
        <v>38</v>
      </c>
      <c r="N563" t="s">
        <v>12</v>
      </c>
      <c r="O563">
        <v>2</v>
      </c>
      <c r="P563" t="s">
        <v>24</v>
      </c>
      <c r="Q563">
        <v>4</v>
      </c>
      <c r="R563" t="s">
        <v>14</v>
      </c>
      <c r="S563" t="s">
        <v>15</v>
      </c>
      <c r="T563" t="s">
        <v>32</v>
      </c>
    </row>
    <row r="564" spans="1:20" x14ac:dyDescent="0.3">
      <c r="A564" t="s">
        <v>613</v>
      </c>
      <c r="B564">
        <v>25</v>
      </c>
      <c r="C564" t="s">
        <v>34</v>
      </c>
      <c r="D564" t="s">
        <v>40</v>
      </c>
      <c r="E564" t="s">
        <v>51</v>
      </c>
      <c r="F564">
        <v>31</v>
      </c>
      <c r="G564" t="s">
        <v>8</v>
      </c>
      <c r="H564">
        <v>31</v>
      </c>
      <c r="I564">
        <v>6</v>
      </c>
      <c r="J564">
        <v>5</v>
      </c>
      <c r="K564" t="s">
        <v>47</v>
      </c>
      <c r="L564" t="s">
        <v>10</v>
      </c>
      <c r="M564" t="s">
        <v>11</v>
      </c>
      <c r="N564" t="s">
        <v>23</v>
      </c>
      <c r="O564">
        <v>5</v>
      </c>
      <c r="P564" t="s">
        <v>13</v>
      </c>
      <c r="Q564">
        <v>5</v>
      </c>
      <c r="R564" t="s">
        <v>14</v>
      </c>
      <c r="S564" t="s">
        <v>15</v>
      </c>
      <c r="T564" t="s">
        <v>25</v>
      </c>
    </row>
    <row r="565" spans="1:20" x14ac:dyDescent="0.3">
      <c r="A565" t="s">
        <v>614</v>
      </c>
      <c r="B565">
        <v>54</v>
      </c>
      <c r="C565" t="s">
        <v>46</v>
      </c>
      <c r="D565" t="s">
        <v>27</v>
      </c>
      <c r="E565" t="s">
        <v>28</v>
      </c>
      <c r="F565">
        <v>8</v>
      </c>
      <c r="G565" t="s">
        <v>21</v>
      </c>
      <c r="H565">
        <v>23</v>
      </c>
      <c r="I565">
        <v>6</v>
      </c>
      <c r="J565">
        <v>2</v>
      </c>
      <c r="K565" t="s">
        <v>37</v>
      </c>
      <c r="L565" t="s">
        <v>22</v>
      </c>
      <c r="M565" t="s">
        <v>38</v>
      </c>
      <c r="N565" t="s">
        <v>12</v>
      </c>
      <c r="O565">
        <v>4</v>
      </c>
      <c r="P565" t="s">
        <v>48</v>
      </c>
      <c r="Q565">
        <v>1</v>
      </c>
      <c r="R565" t="s">
        <v>14</v>
      </c>
      <c r="S565" t="s">
        <v>31</v>
      </c>
      <c r="T565" t="s">
        <v>44</v>
      </c>
    </row>
    <row r="566" spans="1:20" x14ac:dyDescent="0.3">
      <c r="A566" t="s">
        <v>615</v>
      </c>
      <c r="B566">
        <v>37</v>
      </c>
      <c r="C566" t="s">
        <v>34</v>
      </c>
      <c r="D566" t="s">
        <v>40</v>
      </c>
      <c r="E566" t="s">
        <v>20</v>
      </c>
      <c r="F566">
        <v>25</v>
      </c>
      <c r="G566" t="s">
        <v>8</v>
      </c>
      <c r="H566">
        <v>39</v>
      </c>
      <c r="I566">
        <v>9</v>
      </c>
      <c r="J566">
        <v>4</v>
      </c>
      <c r="K566" t="s">
        <v>47</v>
      </c>
      <c r="L566" t="s">
        <v>22</v>
      </c>
      <c r="M566" t="s">
        <v>11</v>
      </c>
      <c r="N566" t="s">
        <v>29</v>
      </c>
      <c r="O566">
        <v>4</v>
      </c>
      <c r="P566" t="s">
        <v>24</v>
      </c>
      <c r="Q566">
        <v>1</v>
      </c>
      <c r="R566" t="s">
        <v>30</v>
      </c>
      <c r="S566" t="s">
        <v>31</v>
      </c>
      <c r="T566" t="s">
        <v>55</v>
      </c>
    </row>
    <row r="567" spans="1:20" x14ac:dyDescent="0.3">
      <c r="A567" t="s">
        <v>616</v>
      </c>
      <c r="B567">
        <v>33</v>
      </c>
      <c r="C567" t="s">
        <v>34</v>
      </c>
      <c r="D567" t="s">
        <v>63</v>
      </c>
      <c r="E567" t="s">
        <v>64</v>
      </c>
      <c r="F567">
        <v>18</v>
      </c>
      <c r="G567" t="s">
        <v>36</v>
      </c>
      <c r="H567">
        <v>39</v>
      </c>
      <c r="I567">
        <v>10</v>
      </c>
      <c r="J567">
        <v>2</v>
      </c>
      <c r="K567" t="s">
        <v>37</v>
      </c>
      <c r="L567" t="s">
        <v>10</v>
      </c>
      <c r="M567" t="s">
        <v>11</v>
      </c>
      <c r="N567" t="s">
        <v>12</v>
      </c>
      <c r="O567">
        <v>4</v>
      </c>
      <c r="P567" t="s">
        <v>24</v>
      </c>
      <c r="Q567">
        <v>5</v>
      </c>
      <c r="R567" t="s">
        <v>49</v>
      </c>
      <c r="S567" t="s">
        <v>15</v>
      </c>
      <c r="T567" t="s">
        <v>58</v>
      </c>
    </row>
    <row r="568" spans="1:20" x14ac:dyDescent="0.3">
      <c r="A568" t="s">
        <v>617</v>
      </c>
      <c r="B568">
        <v>24</v>
      </c>
      <c r="C568" t="s">
        <v>18</v>
      </c>
      <c r="D568" t="s">
        <v>40</v>
      </c>
      <c r="E568" t="s">
        <v>28</v>
      </c>
      <c r="F568">
        <v>3</v>
      </c>
      <c r="G568" t="s">
        <v>21</v>
      </c>
      <c r="H568">
        <v>27</v>
      </c>
      <c r="I568">
        <v>11</v>
      </c>
      <c r="J568">
        <v>1</v>
      </c>
      <c r="K568" t="s">
        <v>9</v>
      </c>
      <c r="L568" t="s">
        <v>10</v>
      </c>
      <c r="M568" t="s">
        <v>38</v>
      </c>
      <c r="N568" t="s">
        <v>29</v>
      </c>
      <c r="O568">
        <v>4</v>
      </c>
      <c r="P568" t="s">
        <v>24</v>
      </c>
      <c r="Q568">
        <v>1</v>
      </c>
      <c r="R568" t="s">
        <v>30</v>
      </c>
      <c r="S568" t="s">
        <v>31</v>
      </c>
      <c r="T568" t="s">
        <v>44</v>
      </c>
    </row>
    <row r="569" spans="1:20" x14ac:dyDescent="0.3">
      <c r="A569" t="s">
        <v>618</v>
      </c>
      <c r="B569">
        <v>52</v>
      </c>
      <c r="C569" t="s">
        <v>46</v>
      </c>
      <c r="D569" t="s">
        <v>6</v>
      </c>
      <c r="E569" t="s">
        <v>35</v>
      </c>
      <c r="F569">
        <v>35</v>
      </c>
      <c r="G569" t="s">
        <v>8</v>
      </c>
      <c r="H569">
        <v>45</v>
      </c>
      <c r="I569">
        <v>12</v>
      </c>
      <c r="J569">
        <v>5</v>
      </c>
      <c r="K569" t="s">
        <v>37</v>
      </c>
      <c r="L569" t="s">
        <v>68</v>
      </c>
      <c r="M569" t="s">
        <v>38</v>
      </c>
      <c r="N569" t="s">
        <v>12</v>
      </c>
      <c r="O569">
        <v>2</v>
      </c>
      <c r="P569" t="s">
        <v>24</v>
      </c>
      <c r="Q569">
        <v>4</v>
      </c>
      <c r="R569" t="s">
        <v>30</v>
      </c>
      <c r="S569" t="s">
        <v>42</v>
      </c>
      <c r="T569" t="s">
        <v>32</v>
      </c>
    </row>
    <row r="570" spans="1:20" x14ac:dyDescent="0.3">
      <c r="A570" t="s">
        <v>619</v>
      </c>
      <c r="B570">
        <v>22</v>
      </c>
      <c r="C570" t="s">
        <v>34</v>
      </c>
      <c r="D570" t="s">
        <v>63</v>
      </c>
      <c r="E570" t="s">
        <v>64</v>
      </c>
      <c r="F570">
        <v>26</v>
      </c>
      <c r="G570" t="s">
        <v>8</v>
      </c>
      <c r="H570">
        <v>23</v>
      </c>
      <c r="I570">
        <v>0</v>
      </c>
      <c r="J570">
        <v>5</v>
      </c>
      <c r="K570" t="s">
        <v>37</v>
      </c>
      <c r="L570" t="s">
        <v>10</v>
      </c>
      <c r="M570" t="s">
        <v>38</v>
      </c>
      <c r="N570" t="s">
        <v>23</v>
      </c>
      <c r="O570">
        <v>4</v>
      </c>
      <c r="P570" t="s">
        <v>48</v>
      </c>
      <c r="Q570">
        <v>4</v>
      </c>
      <c r="R570" t="s">
        <v>30</v>
      </c>
      <c r="S570" t="s">
        <v>15</v>
      </c>
      <c r="T570" t="s">
        <v>55</v>
      </c>
    </row>
    <row r="571" spans="1:20" x14ac:dyDescent="0.3">
      <c r="A571" t="s">
        <v>620</v>
      </c>
      <c r="B571">
        <v>48</v>
      </c>
      <c r="C571" t="s">
        <v>46</v>
      </c>
      <c r="D571" t="s">
        <v>27</v>
      </c>
      <c r="E571" t="s">
        <v>64</v>
      </c>
      <c r="F571">
        <v>25</v>
      </c>
      <c r="G571" t="s">
        <v>21</v>
      </c>
      <c r="H571">
        <v>39</v>
      </c>
      <c r="I571">
        <v>3</v>
      </c>
      <c r="J571">
        <v>1</v>
      </c>
      <c r="K571" t="s">
        <v>37</v>
      </c>
      <c r="L571" t="s">
        <v>22</v>
      </c>
      <c r="M571" t="s">
        <v>38</v>
      </c>
      <c r="N571" t="s">
        <v>23</v>
      </c>
      <c r="O571">
        <v>2</v>
      </c>
      <c r="P571" t="s">
        <v>13</v>
      </c>
      <c r="Q571">
        <v>2</v>
      </c>
      <c r="R571" t="s">
        <v>49</v>
      </c>
      <c r="S571" t="s">
        <v>15</v>
      </c>
      <c r="T571" t="s">
        <v>25</v>
      </c>
    </row>
    <row r="572" spans="1:20" x14ac:dyDescent="0.3">
      <c r="A572" t="s">
        <v>621</v>
      </c>
      <c r="B572">
        <v>48</v>
      </c>
      <c r="C572" t="s">
        <v>34</v>
      </c>
      <c r="D572" t="s">
        <v>61</v>
      </c>
      <c r="E572" t="s">
        <v>51</v>
      </c>
      <c r="F572">
        <v>4</v>
      </c>
      <c r="G572" t="s">
        <v>36</v>
      </c>
      <c r="H572">
        <v>27</v>
      </c>
      <c r="I572">
        <v>6</v>
      </c>
      <c r="J572">
        <v>2</v>
      </c>
      <c r="K572" t="s">
        <v>37</v>
      </c>
      <c r="L572" t="s">
        <v>22</v>
      </c>
      <c r="M572" t="s">
        <v>38</v>
      </c>
      <c r="N572" t="s">
        <v>29</v>
      </c>
      <c r="O572">
        <v>2</v>
      </c>
      <c r="P572" t="s">
        <v>24</v>
      </c>
      <c r="Q572">
        <v>2</v>
      </c>
      <c r="R572" t="s">
        <v>14</v>
      </c>
      <c r="S572" t="s">
        <v>42</v>
      </c>
      <c r="T572" t="s">
        <v>44</v>
      </c>
    </row>
    <row r="573" spans="1:20" x14ac:dyDescent="0.3">
      <c r="A573" t="s">
        <v>622</v>
      </c>
      <c r="B573">
        <v>47</v>
      </c>
      <c r="C573" t="s">
        <v>18</v>
      </c>
      <c r="D573" t="s">
        <v>40</v>
      </c>
      <c r="E573" t="s">
        <v>7</v>
      </c>
      <c r="F573">
        <v>17</v>
      </c>
      <c r="G573" t="s">
        <v>21</v>
      </c>
      <c r="H573">
        <v>27</v>
      </c>
      <c r="I573">
        <v>8</v>
      </c>
      <c r="J573">
        <v>3</v>
      </c>
      <c r="K573" t="s">
        <v>9</v>
      </c>
      <c r="L573" t="s">
        <v>22</v>
      </c>
      <c r="M573" t="s">
        <v>11</v>
      </c>
      <c r="N573" t="s">
        <v>12</v>
      </c>
      <c r="O573">
        <v>2</v>
      </c>
      <c r="P573" t="s">
        <v>24</v>
      </c>
      <c r="Q573">
        <v>3</v>
      </c>
      <c r="R573" t="s">
        <v>49</v>
      </c>
      <c r="S573" t="s">
        <v>15</v>
      </c>
      <c r="T573" t="s">
        <v>58</v>
      </c>
    </row>
    <row r="574" spans="1:20" x14ac:dyDescent="0.3">
      <c r="A574" t="s">
        <v>623</v>
      </c>
      <c r="B574">
        <v>51</v>
      </c>
      <c r="C574" t="s">
        <v>34</v>
      </c>
      <c r="D574" t="s">
        <v>27</v>
      </c>
      <c r="E574" t="s">
        <v>28</v>
      </c>
      <c r="F574">
        <v>11</v>
      </c>
      <c r="G574" t="s">
        <v>36</v>
      </c>
      <c r="H574">
        <v>33</v>
      </c>
      <c r="I574">
        <v>5</v>
      </c>
      <c r="J574">
        <v>1</v>
      </c>
      <c r="K574" t="s">
        <v>9</v>
      </c>
      <c r="L574" t="s">
        <v>22</v>
      </c>
      <c r="M574" t="s">
        <v>38</v>
      </c>
      <c r="N574" t="s">
        <v>12</v>
      </c>
      <c r="O574">
        <v>2</v>
      </c>
      <c r="P574" t="s">
        <v>13</v>
      </c>
      <c r="Q574">
        <v>4</v>
      </c>
      <c r="R574" t="s">
        <v>30</v>
      </c>
      <c r="S574" t="s">
        <v>15</v>
      </c>
      <c r="T574" t="s">
        <v>44</v>
      </c>
    </row>
    <row r="575" spans="1:20" x14ac:dyDescent="0.3">
      <c r="A575" t="s">
        <v>624</v>
      </c>
      <c r="B575">
        <v>52</v>
      </c>
      <c r="C575" t="s">
        <v>34</v>
      </c>
      <c r="D575" t="s">
        <v>57</v>
      </c>
      <c r="E575" t="s">
        <v>7</v>
      </c>
      <c r="F575">
        <v>19</v>
      </c>
      <c r="G575" t="s">
        <v>8</v>
      </c>
      <c r="H575">
        <v>44</v>
      </c>
      <c r="I575">
        <v>8</v>
      </c>
      <c r="J575">
        <v>2</v>
      </c>
      <c r="K575" t="s">
        <v>9</v>
      </c>
      <c r="L575" t="s">
        <v>68</v>
      </c>
      <c r="M575" t="s">
        <v>11</v>
      </c>
      <c r="N575" t="s">
        <v>12</v>
      </c>
      <c r="O575">
        <v>4</v>
      </c>
      <c r="P575" t="s">
        <v>48</v>
      </c>
      <c r="Q575">
        <v>1</v>
      </c>
      <c r="R575" t="s">
        <v>30</v>
      </c>
      <c r="S575" t="s">
        <v>31</v>
      </c>
      <c r="T575" t="s">
        <v>32</v>
      </c>
    </row>
    <row r="576" spans="1:20" x14ac:dyDescent="0.3">
      <c r="A576" t="s">
        <v>625</v>
      </c>
      <c r="B576">
        <v>41</v>
      </c>
      <c r="C576" t="s">
        <v>18</v>
      </c>
      <c r="D576" t="s">
        <v>27</v>
      </c>
      <c r="E576" t="s">
        <v>41</v>
      </c>
      <c r="F576">
        <v>8</v>
      </c>
      <c r="G576" t="s">
        <v>21</v>
      </c>
      <c r="H576">
        <v>45</v>
      </c>
      <c r="I576">
        <v>0</v>
      </c>
      <c r="J576">
        <v>4</v>
      </c>
      <c r="K576" t="s">
        <v>9</v>
      </c>
      <c r="L576" t="s">
        <v>22</v>
      </c>
      <c r="M576" t="s">
        <v>38</v>
      </c>
      <c r="N576" t="s">
        <v>23</v>
      </c>
      <c r="O576">
        <v>4</v>
      </c>
      <c r="P576" t="s">
        <v>24</v>
      </c>
      <c r="Q576">
        <v>3</v>
      </c>
      <c r="R576" t="s">
        <v>30</v>
      </c>
      <c r="S576" t="s">
        <v>15</v>
      </c>
      <c r="T576" t="s">
        <v>55</v>
      </c>
    </row>
    <row r="577" spans="1:20" x14ac:dyDescent="0.3">
      <c r="A577" t="s">
        <v>626</v>
      </c>
      <c r="B577">
        <v>28</v>
      </c>
      <c r="C577" t="s">
        <v>34</v>
      </c>
      <c r="D577" t="s">
        <v>63</v>
      </c>
      <c r="E577" t="s">
        <v>64</v>
      </c>
      <c r="F577">
        <v>23</v>
      </c>
      <c r="G577" t="s">
        <v>8</v>
      </c>
      <c r="H577">
        <v>46</v>
      </c>
      <c r="I577">
        <v>6</v>
      </c>
      <c r="J577">
        <v>2</v>
      </c>
      <c r="K577" t="s">
        <v>9</v>
      </c>
      <c r="L577" t="s">
        <v>22</v>
      </c>
      <c r="M577" t="s">
        <v>38</v>
      </c>
      <c r="N577" t="s">
        <v>12</v>
      </c>
      <c r="O577">
        <v>4</v>
      </c>
      <c r="P577" t="s">
        <v>24</v>
      </c>
      <c r="Q577">
        <v>4</v>
      </c>
      <c r="R577" t="s">
        <v>30</v>
      </c>
      <c r="S577" t="s">
        <v>42</v>
      </c>
      <c r="T577" t="s">
        <v>55</v>
      </c>
    </row>
    <row r="578" spans="1:20" x14ac:dyDescent="0.3">
      <c r="A578" t="s">
        <v>627</v>
      </c>
      <c r="B578">
        <v>44</v>
      </c>
      <c r="C578" t="s">
        <v>46</v>
      </c>
      <c r="D578" t="s">
        <v>61</v>
      </c>
      <c r="E578" t="s">
        <v>64</v>
      </c>
      <c r="F578">
        <v>2</v>
      </c>
      <c r="G578" t="s">
        <v>8</v>
      </c>
      <c r="H578">
        <v>40</v>
      </c>
      <c r="I578">
        <v>0</v>
      </c>
      <c r="J578">
        <v>3</v>
      </c>
      <c r="K578" t="s">
        <v>37</v>
      </c>
      <c r="L578" t="s">
        <v>30</v>
      </c>
      <c r="M578" t="s">
        <v>38</v>
      </c>
      <c r="N578" t="s">
        <v>23</v>
      </c>
      <c r="O578">
        <v>1</v>
      </c>
      <c r="P578" t="s">
        <v>13</v>
      </c>
      <c r="Q578">
        <v>5</v>
      </c>
      <c r="R578" t="s">
        <v>30</v>
      </c>
      <c r="S578" t="s">
        <v>15</v>
      </c>
      <c r="T578" t="s">
        <v>44</v>
      </c>
    </row>
    <row r="579" spans="1:20" x14ac:dyDescent="0.3">
      <c r="A579" t="s">
        <v>628</v>
      </c>
      <c r="B579">
        <v>50</v>
      </c>
      <c r="C579" t="s">
        <v>5</v>
      </c>
      <c r="D579" t="s">
        <v>40</v>
      </c>
      <c r="E579" t="s">
        <v>35</v>
      </c>
      <c r="F579">
        <v>12</v>
      </c>
      <c r="G579" t="s">
        <v>21</v>
      </c>
      <c r="H579">
        <v>25</v>
      </c>
      <c r="I579">
        <v>10</v>
      </c>
      <c r="J579">
        <v>4</v>
      </c>
      <c r="K579" t="s">
        <v>37</v>
      </c>
      <c r="L579" t="s">
        <v>22</v>
      </c>
      <c r="M579" t="s">
        <v>11</v>
      </c>
      <c r="N579" t="s">
        <v>23</v>
      </c>
      <c r="O579">
        <v>2</v>
      </c>
      <c r="P579" t="s">
        <v>24</v>
      </c>
      <c r="Q579">
        <v>4</v>
      </c>
      <c r="R579" t="s">
        <v>14</v>
      </c>
      <c r="S579" t="s">
        <v>42</v>
      </c>
      <c r="T579" t="s">
        <v>16</v>
      </c>
    </row>
    <row r="580" spans="1:20" x14ac:dyDescent="0.3">
      <c r="A580" t="s">
        <v>629</v>
      </c>
      <c r="B580">
        <v>43</v>
      </c>
      <c r="C580" t="s">
        <v>46</v>
      </c>
      <c r="D580" t="s">
        <v>63</v>
      </c>
      <c r="E580" t="s">
        <v>7</v>
      </c>
      <c r="F580">
        <v>35</v>
      </c>
      <c r="G580" t="s">
        <v>8</v>
      </c>
      <c r="H580">
        <v>29</v>
      </c>
      <c r="I580">
        <v>4</v>
      </c>
      <c r="J580">
        <v>3</v>
      </c>
      <c r="K580" t="s">
        <v>47</v>
      </c>
      <c r="L580" t="s">
        <v>22</v>
      </c>
      <c r="M580" t="s">
        <v>11</v>
      </c>
      <c r="N580" t="s">
        <v>23</v>
      </c>
      <c r="O580">
        <v>4</v>
      </c>
      <c r="P580" t="s">
        <v>13</v>
      </c>
      <c r="Q580">
        <v>1</v>
      </c>
      <c r="R580" t="s">
        <v>30</v>
      </c>
      <c r="S580" t="s">
        <v>31</v>
      </c>
      <c r="T580" t="s">
        <v>16</v>
      </c>
    </row>
    <row r="581" spans="1:20" x14ac:dyDescent="0.3">
      <c r="A581" t="s">
        <v>630</v>
      </c>
      <c r="B581">
        <v>43</v>
      </c>
      <c r="C581" t="s">
        <v>34</v>
      </c>
      <c r="D581" t="s">
        <v>6</v>
      </c>
      <c r="E581" t="s">
        <v>20</v>
      </c>
      <c r="F581">
        <v>18</v>
      </c>
      <c r="G581" t="s">
        <v>21</v>
      </c>
      <c r="H581">
        <v>22</v>
      </c>
      <c r="I581">
        <v>13</v>
      </c>
      <c r="J581">
        <v>4</v>
      </c>
      <c r="K581" t="s">
        <v>47</v>
      </c>
      <c r="L581" t="s">
        <v>22</v>
      </c>
      <c r="M581" t="s">
        <v>11</v>
      </c>
      <c r="N581" t="s">
        <v>12</v>
      </c>
      <c r="O581">
        <v>4</v>
      </c>
      <c r="P581" t="s">
        <v>48</v>
      </c>
      <c r="Q581">
        <v>4</v>
      </c>
      <c r="R581" t="s">
        <v>14</v>
      </c>
      <c r="S581" t="s">
        <v>31</v>
      </c>
      <c r="T581" t="s">
        <v>32</v>
      </c>
    </row>
    <row r="582" spans="1:20" x14ac:dyDescent="0.3">
      <c r="A582" t="s">
        <v>631</v>
      </c>
      <c r="B582">
        <v>29</v>
      </c>
      <c r="C582" t="s">
        <v>46</v>
      </c>
      <c r="D582" t="s">
        <v>57</v>
      </c>
      <c r="E582" t="s">
        <v>51</v>
      </c>
      <c r="F582">
        <v>15</v>
      </c>
      <c r="G582" t="s">
        <v>36</v>
      </c>
      <c r="H582">
        <v>27</v>
      </c>
      <c r="I582">
        <v>3</v>
      </c>
      <c r="J582">
        <v>5</v>
      </c>
      <c r="K582" t="s">
        <v>37</v>
      </c>
      <c r="L582" t="s">
        <v>22</v>
      </c>
      <c r="M582" t="s">
        <v>38</v>
      </c>
      <c r="N582" t="s">
        <v>29</v>
      </c>
      <c r="O582">
        <v>5</v>
      </c>
      <c r="P582" t="s">
        <v>24</v>
      </c>
      <c r="Q582">
        <v>5</v>
      </c>
      <c r="R582" t="s">
        <v>49</v>
      </c>
      <c r="S582" t="s">
        <v>42</v>
      </c>
      <c r="T582" t="s">
        <v>55</v>
      </c>
    </row>
    <row r="583" spans="1:20" x14ac:dyDescent="0.3">
      <c r="A583" t="s">
        <v>632</v>
      </c>
      <c r="B583">
        <v>30</v>
      </c>
      <c r="C583" t="s">
        <v>46</v>
      </c>
      <c r="D583" t="s">
        <v>57</v>
      </c>
      <c r="E583" t="s">
        <v>51</v>
      </c>
      <c r="F583">
        <v>23</v>
      </c>
      <c r="G583" t="s">
        <v>8</v>
      </c>
      <c r="H583">
        <v>59</v>
      </c>
      <c r="I583">
        <v>2</v>
      </c>
      <c r="J583">
        <v>5</v>
      </c>
      <c r="K583" t="s">
        <v>9</v>
      </c>
      <c r="L583" t="s">
        <v>68</v>
      </c>
      <c r="M583" t="s">
        <v>38</v>
      </c>
      <c r="N583" t="s">
        <v>12</v>
      </c>
      <c r="O583">
        <v>4</v>
      </c>
      <c r="P583" t="s">
        <v>13</v>
      </c>
      <c r="Q583">
        <v>3</v>
      </c>
      <c r="R583" t="s">
        <v>49</v>
      </c>
      <c r="S583" t="s">
        <v>42</v>
      </c>
      <c r="T583" t="s">
        <v>16</v>
      </c>
    </row>
    <row r="584" spans="1:20" x14ac:dyDescent="0.3">
      <c r="A584" t="s">
        <v>633</v>
      </c>
      <c r="B584">
        <v>50</v>
      </c>
      <c r="C584" t="s">
        <v>46</v>
      </c>
      <c r="D584" t="s">
        <v>6</v>
      </c>
      <c r="E584" t="s">
        <v>35</v>
      </c>
      <c r="F584">
        <v>26</v>
      </c>
      <c r="G584" t="s">
        <v>21</v>
      </c>
      <c r="H584">
        <v>57</v>
      </c>
      <c r="I584">
        <v>10</v>
      </c>
      <c r="J584">
        <v>1</v>
      </c>
      <c r="K584" t="s">
        <v>9</v>
      </c>
      <c r="L584" t="s">
        <v>22</v>
      </c>
      <c r="M584" t="s">
        <v>38</v>
      </c>
      <c r="N584" t="s">
        <v>12</v>
      </c>
      <c r="O584">
        <v>2</v>
      </c>
      <c r="P584" t="s">
        <v>13</v>
      </c>
      <c r="Q584">
        <v>4</v>
      </c>
      <c r="R584" t="s">
        <v>14</v>
      </c>
      <c r="S584" t="s">
        <v>42</v>
      </c>
      <c r="T584" t="s">
        <v>55</v>
      </c>
    </row>
    <row r="585" spans="1:20" x14ac:dyDescent="0.3">
      <c r="A585" t="s">
        <v>634</v>
      </c>
      <c r="B585">
        <v>60</v>
      </c>
      <c r="C585" t="s">
        <v>34</v>
      </c>
      <c r="D585" t="s">
        <v>6</v>
      </c>
      <c r="E585" t="s">
        <v>64</v>
      </c>
      <c r="F585">
        <v>2</v>
      </c>
      <c r="G585" t="s">
        <v>8</v>
      </c>
      <c r="H585">
        <v>34</v>
      </c>
      <c r="I585">
        <v>0</v>
      </c>
      <c r="J585">
        <v>1</v>
      </c>
      <c r="K585" t="s">
        <v>9</v>
      </c>
      <c r="L585" t="s">
        <v>10</v>
      </c>
      <c r="M585" t="s">
        <v>11</v>
      </c>
      <c r="N585" t="s">
        <v>12</v>
      </c>
      <c r="O585">
        <v>4</v>
      </c>
      <c r="P585" t="s">
        <v>48</v>
      </c>
      <c r="Q585">
        <v>1</v>
      </c>
      <c r="R585" t="s">
        <v>30</v>
      </c>
      <c r="S585" t="s">
        <v>31</v>
      </c>
      <c r="T585" t="s">
        <v>44</v>
      </c>
    </row>
    <row r="586" spans="1:20" x14ac:dyDescent="0.3">
      <c r="A586" t="s">
        <v>635</v>
      </c>
      <c r="B586">
        <v>31</v>
      </c>
      <c r="C586" t="s">
        <v>46</v>
      </c>
      <c r="D586" t="s">
        <v>19</v>
      </c>
      <c r="E586" t="s">
        <v>64</v>
      </c>
      <c r="F586">
        <v>6</v>
      </c>
      <c r="G586" t="s">
        <v>8</v>
      </c>
      <c r="H586">
        <v>20</v>
      </c>
      <c r="I586">
        <v>2</v>
      </c>
      <c r="J586">
        <v>1</v>
      </c>
      <c r="K586" t="s">
        <v>47</v>
      </c>
      <c r="L586" t="s">
        <v>10</v>
      </c>
      <c r="M586" t="s">
        <v>11</v>
      </c>
      <c r="N586" t="s">
        <v>29</v>
      </c>
      <c r="O586">
        <v>5</v>
      </c>
      <c r="P586" t="s">
        <v>48</v>
      </c>
      <c r="Q586">
        <v>4</v>
      </c>
      <c r="R586" t="s">
        <v>30</v>
      </c>
      <c r="S586" t="s">
        <v>31</v>
      </c>
      <c r="T586" t="s">
        <v>32</v>
      </c>
    </row>
    <row r="587" spans="1:20" x14ac:dyDescent="0.3">
      <c r="A587" t="s">
        <v>636</v>
      </c>
      <c r="B587">
        <v>43</v>
      </c>
      <c r="C587" t="s">
        <v>18</v>
      </c>
      <c r="D587" t="s">
        <v>40</v>
      </c>
      <c r="E587" t="s">
        <v>28</v>
      </c>
      <c r="F587">
        <v>13</v>
      </c>
      <c r="G587" t="s">
        <v>36</v>
      </c>
      <c r="H587">
        <v>20</v>
      </c>
      <c r="I587">
        <v>5</v>
      </c>
      <c r="J587">
        <v>3</v>
      </c>
      <c r="K587" t="s">
        <v>47</v>
      </c>
      <c r="L587" t="s">
        <v>68</v>
      </c>
      <c r="M587" t="s">
        <v>11</v>
      </c>
      <c r="N587" t="s">
        <v>29</v>
      </c>
      <c r="O587">
        <v>3</v>
      </c>
      <c r="P587" t="s">
        <v>48</v>
      </c>
      <c r="Q587">
        <v>1</v>
      </c>
      <c r="R587" t="s">
        <v>49</v>
      </c>
      <c r="S587" t="s">
        <v>15</v>
      </c>
      <c r="T587" t="s">
        <v>16</v>
      </c>
    </row>
    <row r="588" spans="1:20" x14ac:dyDescent="0.3">
      <c r="A588" t="s">
        <v>637</v>
      </c>
      <c r="B588">
        <v>58</v>
      </c>
      <c r="C588" t="s">
        <v>18</v>
      </c>
      <c r="D588" t="s">
        <v>40</v>
      </c>
      <c r="E588" t="s">
        <v>28</v>
      </c>
      <c r="F588">
        <v>18</v>
      </c>
      <c r="G588" t="s">
        <v>21</v>
      </c>
      <c r="H588">
        <v>57</v>
      </c>
      <c r="I588">
        <v>14</v>
      </c>
      <c r="J588">
        <v>5</v>
      </c>
      <c r="K588" t="s">
        <v>47</v>
      </c>
      <c r="L588" t="s">
        <v>30</v>
      </c>
      <c r="M588" t="s">
        <v>38</v>
      </c>
      <c r="N588" t="s">
        <v>23</v>
      </c>
      <c r="O588">
        <v>4</v>
      </c>
      <c r="P588" t="s">
        <v>13</v>
      </c>
      <c r="Q588">
        <v>2</v>
      </c>
      <c r="R588" t="s">
        <v>49</v>
      </c>
      <c r="S588" t="s">
        <v>31</v>
      </c>
      <c r="T588" t="s">
        <v>58</v>
      </c>
    </row>
    <row r="589" spans="1:20" x14ac:dyDescent="0.3">
      <c r="A589" t="s">
        <v>638</v>
      </c>
      <c r="B589">
        <v>56</v>
      </c>
      <c r="C589" t="s">
        <v>46</v>
      </c>
      <c r="D589" t="s">
        <v>27</v>
      </c>
      <c r="E589" t="s">
        <v>28</v>
      </c>
      <c r="F589">
        <v>27</v>
      </c>
      <c r="G589" t="s">
        <v>8</v>
      </c>
      <c r="H589">
        <v>53</v>
      </c>
      <c r="I589">
        <v>2</v>
      </c>
      <c r="J589">
        <v>3</v>
      </c>
      <c r="K589" t="s">
        <v>47</v>
      </c>
      <c r="L589" t="s">
        <v>22</v>
      </c>
      <c r="M589" t="s">
        <v>11</v>
      </c>
      <c r="N589" t="s">
        <v>23</v>
      </c>
      <c r="O589">
        <v>1</v>
      </c>
      <c r="P589" t="s">
        <v>24</v>
      </c>
      <c r="Q589">
        <v>2</v>
      </c>
      <c r="R589" t="s">
        <v>49</v>
      </c>
      <c r="S589" t="s">
        <v>42</v>
      </c>
      <c r="T589" t="s">
        <v>44</v>
      </c>
    </row>
    <row r="590" spans="1:20" x14ac:dyDescent="0.3">
      <c r="A590" t="s">
        <v>639</v>
      </c>
      <c r="B590">
        <v>40</v>
      </c>
      <c r="C590" t="s">
        <v>5</v>
      </c>
      <c r="D590" t="s">
        <v>61</v>
      </c>
      <c r="E590" t="s">
        <v>35</v>
      </c>
      <c r="F590">
        <v>21</v>
      </c>
      <c r="G590" t="s">
        <v>21</v>
      </c>
      <c r="H590">
        <v>24</v>
      </c>
      <c r="I590">
        <v>8</v>
      </c>
      <c r="J590">
        <v>5</v>
      </c>
      <c r="K590" t="s">
        <v>9</v>
      </c>
      <c r="L590" t="s">
        <v>68</v>
      </c>
      <c r="M590" t="s">
        <v>11</v>
      </c>
      <c r="N590" t="s">
        <v>12</v>
      </c>
      <c r="O590">
        <v>4</v>
      </c>
      <c r="P590" t="s">
        <v>24</v>
      </c>
      <c r="Q590">
        <v>5</v>
      </c>
      <c r="R590" t="s">
        <v>14</v>
      </c>
      <c r="S590" t="s">
        <v>15</v>
      </c>
      <c r="T590" t="s">
        <v>44</v>
      </c>
    </row>
    <row r="591" spans="1:20" x14ac:dyDescent="0.3">
      <c r="A591" t="s">
        <v>640</v>
      </c>
      <c r="B591">
        <v>57</v>
      </c>
      <c r="C591" t="s">
        <v>18</v>
      </c>
      <c r="D591" t="s">
        <v>61</v>
      </c>
      <c r="E591" t="s">
        <v>7</v>
      </c>
      <c r="F591">
        <v>17</v>
      </c>
      <c r="G591" t="s">
        <v>8</v>
      </c>
      <c r="H591">
        <v>40</v>
      </c>
      <c r="I591">
        <v>15</v>
      </c>
      <c r="J591">
        <v>4</v>
      </c>
      <c r="K591" t="s">
        <v>47</v>
      </c>
      <c r="L591" t="s">
        <v>10</v>
      </c>
      <c r="M591" t="s">
        <v>11</v>
      </c>
      <c r="N591" t="s">
        <v>12</v>
      </c>
      <c r="O591">
        <v>1</v>
      </c>
      <c r="P591" t="s">
        <v>24</v>
      </c>
      <c r="Q591">
        <v>2</v>
      </c>
      <c r="R591" t="s">
        <v>14</v>
      </c>
      <c r="S591" t="s">
        <v>42</v>
      </c>
      <c r="T591" t="s">
        <v>25</v>
      </c>
    </row>
    <row r="592" spans="1:20" x14ac:dyDescent="0.3">
      <c r="A592" t="s">
        <v>641</v>
      </c>
      <c r="B592">
        <v>31</v>
      </c>
      <c r="C592" t="s">
        <v>34</v>
      </c>
      <c r="D592" t="s">
        <v>63</v>
      </c>
      <c r="E592" t="s">
        <v>7</v>
      </c>
      <c r="F592">
        <v>6</v>
      </c>
      <c r="G592" t="s">
        <v>8</v>
      </c>
      <c r="H592">
        <v>49</v>
      </c>
      <c r="I592">
        <v>11</v>
      </c>
      <c r="J592">
        <v>5</v>
      </c>
      <c r="K592" t="s">
        <v>47</v>
      </c>
      <c r="L592" t="s">
        <v>10</v>
      </c>
      <c r="M592" t="s">
        <v>11</v>
      </c>
      <c r="N592" t="s">
        <v>12</v>
      </c>
      <c r="O592">
        <v>4</v>
      </c>
      <c r="P592" t="s">
        <v>13</v>
      </c>
      <c r="Q592">
        <v>4</v>
      </c>
      <c r="R592" t="s">
        <v>49</v>
      </c>
      <c r="S592" t="s">
        <v>42</v>
      </c>
      <c r="T592" t="s">
        <v>32</v>
      </c>
    </row>
    <row r="593" spans="1:20" x14ac:dyDescent="0.3">
      <c r="A593" t="s">
        <v>642</v>
      </c>
      <c r="B593">
        <v>35</v>
      </c>
      <c r="C593" t="s">
        <v>18</v>
      </c>
      <c r="D593" t="s">
        <v>57</v>
      </c>
      <c r="E593" t="s">
        <v>64</v>
      </c>
      <c r="F593">
        <v>8</v>
      </c>
      <c r="G593" t="s">
        <v>21</v>
      </c>
      <c r="H593">
        <v>44</v>
      </c>
      <c r="I593">
        <v>14</v>
      </c>
      <c r="J593">
        <v>3</v>
      </c>
      <c r="K593" t="s">
        <v>9</v>
      </c>
      <c r="L593" t="s">
        <v>30</v>
      </c>
      <c r="M593" t="s">
        <v>38</v>
      </c>
      <c r="N593" t="s">
        <v>23</v>
      </c>
      <c r="O593">
        <v>1</v>
      </c>
      <c r="P593" t="s">
        <v>48</v>
      </c>
      <c r="Q593">
        <v>5</v>
      </c>
      <c r="R593" t="s">
        <v>14</v>
      </c>
      <c r="S593" t="s">
        <v>42</v>
      </c>
      <c r="T593" t="s">
        <v>44</v>
      </c>
    </row>
    <row r="594" spans="1:20" x14ac:dyDescent="0.3">
      <c r="A594" t="s">
        <v>643</v>
      </c>
      <c r="B594">
        <v>32</v>
      </c>
      <c r="C594" t="s">
        <v>46</v>
      </c>
      <c r="D594" t="s">
        <v>40</v>
      </c>
      <c r="E594" t="s">
        <v>20</v>
      </c>
      <c r="F594">
        <v>10</v>
      </c>
      <c r="G594" t="s">
        <v>21</v>
      </c>
      <c r="H594">
        <v>53</v>
      </c>
      <c r="I594">
        <v>13</v>
      </c>
      <c r="J594">
        <v>2</v>
      </c>
      <c r="K594" t="s">
        <v>9</v>
      </c>
      <c r="L594" t="s">
        <v>22</v>
      </c>
      <c r="M594" t="s">
        <v>38</v>
      </c>
      <c r="N594" t="s">
        <v>29</v>
      </c>
      <c r="O594">
        <v>3</v>
      </c>
      <c r="P594" t="s">
        <v>13</v>
      </c>
      <c r="Q594">
        <v>3</v>
      </c>
      <c r="R594" t="s">
        <v>49</v>
      </c>
      <c r="S594" t="s">
        <v>15</v>
      </c>
      <c r="T594" t="s">
        <v>58</v>
      </c>
    </row>
    <row r="595" spans="1:20" x14ac:dyDescent="0.3">
      <c r="A595" t="s">
        <v>644</v>
      </c>
      <c r="B595">
        <v>31</v>
      </c>
      <c r="C595" t="s">
        <v>46</v>
      </c>
      <c r="D595" t="s">
        <v>63</v>
      </c>
      <c r="E595" t="s">
        <v>7</v>
      </c>
      <c r="F595">
        <v>30</v>
      </c>
      <c r="G595" t="s">
        <v>21</v>
      </c>
      <c r="H595">
        <v>28</v>
      </c>
      <c r="I595">
        <v>0</v>
      </c>
      <c r="J595">
        <v>5</v>
      </c>
      <c r="K595" t="s">
        <v>37</v>
      </c>
      <c r="L595" t="s">
        <v>22</v>
      </c>
      <c r="M595" t="s">
        <v>38</v>
      </c>
      <c r="N595" t="s">
        <v>12</v>
      </c>
      <c r="O595">
        <v>3</v>
      </c>
      <c r="P595" t="s">
        <v>48</v>
      </c>
      <c r="Q595">
        <v>3</v>
      </c>
      <c r="R595" t="s">
        <v>30</v>
      </c>
      <c r="S595" t="s">
        <v>15</v>
      </c>
      <c r="T595" t="s">
        <v>55</v>
      </c>
    </row>
    <row r="596" spans="1:20" x14ac:dyDescent="0.3">
      <c r="A596" t="s">
        <v>645</v>
      </c>
      <c r="B596">
        <v>53</v>
      </c>
      <c r="C596" t="s">
        <v>46</v>
      </c>
      <c r="D596" t="s">
        <v>40</v>
      </c>
      <c r="E596" t="s">
        <v>51</v>
      </c>
      <c r="F596">
        <v>3</v>
      </c>
      <c r="G596" t="s">
        <v>8</v>
      </c>
      <c r="H596">
        <v>53</v>
      </c>
      <c r="I596">
        <v>7</v>
      </c>
      <c r="J596">
        <v>1</v>
      </c>
      <c r="K596" t="s">
        <v>37</v>
      </c>
      <c r="L596" t="s">
        <v>68</v>
      </c>
      <c r="M596" t="s">
        <v>11</v>
      </c>
      <c r="N596" t="s">
        <v>29</v>
      </c>
      <c r="O596">
        <v>4</v>
      </c>
      <c r="P596" t="s">
        <v>13</v>
      </c>
      <c r="Q596">
        <v>3</v>
      </c>
      <c r="R596" t="s">
        <v>49</v>
      </c>
      <c r="S596" t="s">
        <v>31</v>
      </c>
      <c r="T596" t="s">
        <v>16</v>
      </c>
    </row>
    <row r="597" spans="1:20" x14ac:dyDescent="0.3">
      <c r="A597" t="s">
        <v>646</v>
      </c>
      <c r="B597">
        <v>42</v>
      </c>
      <c r="C597" t="s">
        <v>46</v>
      </c>
      <c r="D597" t="s">
        <v>61</v>
      </c>
      <c r="E597" t="s">
        <v>41</v>
      </c>
      <c r="F597">
        <v>22</v>
      </c>
      <c r="G597" t="s">
        <v>8</v>
      </c>
      <c r="H597">
        <v>54</v>
      </c>
      <c r="I597">
        <v>9</v>
      </c>
      <c r="J597">
        <v>2</v>
      </c>
      <c r="K597" t="s">
        <v>9</v>
      </c>
      <c r="L597" t="s">
        <v>10</v>
      </c>
      <c r="M597" t="s">
        <v>38</v>
      </c>
      <c r="N597" t="s">
        <v>29</v>
      </c>
      <c r="O597">
        <v>1</v>
      </c>
      <c r="P597" t="s">
        <v>13</v>
      </c>
      <c r="Q597">
        <v>1</v>
      </c>
      <c r="R597" t="s">
        <v>30</v>
      </c>
      <c r="S597" t="s">
        <v>15</v>
      </c>
      <c r="T597" t="s">
        <v>55</v>
      </c>
    </row>
    <row r="598" spans="1:20" x14ac:dyDescent="0.3">
      <c r="A598" t="s">
        <v>647</v>
      </c>
      <c r="B598">
        <v>35</v>
      </c>
      <c r="C598" t="s">
        <v>34</v>
      </c>
      <c r="D598" t="s">
        <v>61</v>
      </c>
      <c r="E598" t="s">
        <v>20</v>
      </c>
      <c r="F598">
        <v>35</v>
      </c>
      <c r="G598" t="s">
        <v>21</v>
      </c>
      <c r="H598">
        <v>23</v>
      </c>
      <c r="I598">
        <v>10</v>
      </c>
      <c r="J598">
        <v>5</v>
      </c>
      <c r="K598" t="s">
        <v>47</v>
      </c>
      <c r="L598" t="s">
        <v>22</v>
      </c>
      <c r="M598" t="s">
        <v>11</v>
      </c>
      <c r="N598" t="s">
        <v>12</v>
      </c>
      <c r="O598">
        <v>1</v>
      </c>
      <c r="P598" t="s">
        <v>13</v>
      </c>
      <c r="Q598">
        <v>5</v>
      </c>
      <c r="R598" t="s">
        <v>14</v>
      </c>
      <c r="S598" t="s">
        <v>15</v>
      </c>
      <c r="T598" t="s">
        <v>16</v>
      </c>
    </row>
    <row r="599" spans="1:20" x14ac:dyDescent="0.3">
      <c r="A599" t="s">
        <v>648</v>
      </c>
      <c r="B599">
        <v>58</v>
      </c>
      <c r="C599" t="s">
        <v>18</v>
      </c>
      <c r="D599" t="s">
        <v>6</v>
      </c>
      <c r="E599" t="s">
        <v>35</v>
      </c>
      <c r="F599">
        <v>19</v>
      </c>
      <c r="G599" t="s">
        <v>21</v>
      </c>
      <c r="H599">
        <v>45</v>
      </c>
      <c r="I599">
        <v>12</v>
      </c>
      <c r="J599">
        <v>4</v>
      </c>
      <c r="K599" t="s">
        <v>37</v>
      </c>
      <c r="L599" t="s">
        <v>10</v>
      </c>
      <c r="M599" t="s">
        <v>11</v>
      </c>
      <c r="N599" t="s">
        <v>23</v>
      </c>
      <c r="O599">
        <v>5</v>
      </c>
      <c r="P599" t="s">
        <v>13</v>
      </c>
      <c r="Q599">
        <v>4</v>
      </c>
      <c r="R599" t="s">
        <v>49</v>
      </c>
      <c r="S599" t="s">
        <v>31</v>
      </c>
      <c r="T599" t="s">
        <v>44</v>
      </c>
    </row>
    <row r="600" spans="1:20" x14ac:dyDescent="0.3">
      <c r="A600" t="s">
        <v>649</v>
      </c>
      <c r="B600">
        <v>26</v>
      </c>
      <c r="C600" t="s">
        <v>18</v>
      </c>
      <c r="D600" t="s">
        <v>57</v>
      </c>
      <c r="E600" t="s">
        <v>35</v>
      </c>
      <c r="F600">
        <v>12</v>
      </c>
      <c r="G600" t="s">
        <v>21</v>
      </c>
      <c r="H600">
        <v>59</v>
      </c>
      <c r="I600">
        <v>5</v>
      </c>
      <c r="J600">
        <v>5</v>
      </c>
      <c r="K600" t="s">
        <v>9</v>
      </c>
      <c r="L600" t="s">
        <v>10</v>
      </c>
      <c r="M600" t="s">
        <v>38</v>
      </c>
      <c r="N600" t="s">
        <v>12</v>
      </c>
      <c r="O600">
        <v>2</v>
      </c>
      <c r="P600" t="s">
        <v>48</v>
      </c>
      <c r="Q600">
        <v>3</v>
      </c>
      <c r="R600" t="s">
        <v>49</v>
      </c>
      <c r="S600" t="s">
        <v>15</v>
      </c>
      <c r="T600" t="s">
        <v>44</v>
      </c>
    </row>
    <row r="601" spans="1:20" x14ac:dyDescent="0.3">
      <c r="A601" t="s">
        <v>650</v>
      </c>
      <c r="B601">
        <v>45</v>
      </c>
      <c r="C601" t="s">
        <v>5</v>
      </c>
      <c r="D601" t="s">
        <v>27</v>
      </c>
      <c r="E601" t="s">
        <v>64</v>
      </c>
      <c r="F601">
        <v>31</v>
      </c>
      <c r="G601" t="s">
        <v>8</v>
      </c>
      <c r="H601">
        <v>20</v>
      </c>
      <c r="I601">
        <v>1</v>
      </c>
      <c r="J601">
        <v>1</v>
      </c>
      <c r="K601" t="s">
        <v>47</v>
      </c>
      <c r="L601" t="s">
        <v>30</v>
      </c>
      <c r="M601" t="s">
        <v>38</v>
      </c>
      <c r="N601" t="s">
        <v>12</v>
      </c>
      <c r="O601">
        <v>4</v>
      </c>
      <c r="P601" t="s">
        <v>48</v>
      </c>
      <c r="Q601">
        <v>5</v>
      </c>
      <c r="R601" t="s">
        <v>14</v>
      </c>
      <c r="S601" t="s">
        <v>31</v>
      </c>
      <c r="T601" t="s">
        <v>55</v>
      </c>
    </row>
    <row r="602" spans="1:20" x14ac:dyDescent="0.3">
      <c r="A602" t="s">
        <v>651</v>
      </c>
      <c r="B602">
        <v>36</v>
      </c>
      <c r="C602" t="s">
        <v>34</v>
      </c>
      <c r="D602" t="s">
        <v>61</v>
      </c>
      <c r="E602" t="s">
        <v>20</v>
      </c>
      <c r="F602">
        <v>22</v>
      </c>
      <c r="G602" t="s">
        <v>8</v>
      </c>
      <c r="H602">
        <v>26</v>
      </c>
      <c r="I602">
        <v>11</v>
      </c>
      <c r="J602">
        <v>1</v>
      </c>
      <c r="K602" t="s">
        <v>47</v>
      </c>
      <c r="L602" t="s">
        <v>30</v>
      </c>
      <c r="M602" t="s">
        <v>38</v>
      </c>
      <c r="N602" t="s">
        <v>12</v>
      </c>
      <c r="O602">
        <v>3</v>
      </c>
      <c r="P602" t="s">
        <v>48</v>
      </c>
      <c r="Q602">
        <v>1</v>
      </c>
      <c r="R602" t="s">
        <v>49</v>
      </c>
      <c r="S602" t="s">
        <v>15</v>
      </c>
      <c r="T602" t="s">
        <v>58</v>
      </c>
    </row>
    <row r="603" spans="1:20" x14ac:dyDescent="0.3">
      <c r="A603" t="s">
        <v>652</v>
      </c>
      <c r="B603">
        <v>25</v>
      </c>
      <c r="C603" t="s">
        <v>5</v>
      </c>
      <c r="D603" t="s">
        <v>57</v>
      </c>
      <c r="E603" t="s">
        <v>64</v>
      </c>
      <c r="F603">
        <v>34</v>
      </c>
      <c r="G603" t="s">
        <v>36</v>
      </c>
      <c r="H603">
        <v>47</v>
      </c>
      <c r="I603">
        <v>6</v>
      </c>
      <c r="J603">
        <v>3</v>
      </c>
      <c r="K603" t="s">
        <v>37</v>
      </c>
      <c r="L603" t="s">
        <v>30</v>
      </c>
      <c r="M603" t="s">
        <v>11</v>
      </c>
      <c r="N603" t="s">
        <v>12</v>
      </c>
      <c r="O603">
        <v>4</v>
      </c>
      <c r="P603" t="s">
        <v>48</v>
      </c>
      <c r="Q603">
        <v>1</v>
      </c>
      <c r="R603" t="s">
        <v>30</v>
      </c>
      <c r="S603" t="s">
        <v>31</v>
      </c>
      <c r="T603" t="s">
        <v>25</v>
      </c>
    </row>
    <row r="604" spans="1:20" x14ac:dyDescent="0.3">
      <c r="A604" t="s">
        <v>653</v>
      </c>
      <c r="B604">
        <v>55</v>
      </c>
      <c r="C604" t="s">
        <v>46</v>
      </c>
      <c r="D604" t="s">
        <v>63</v>
      </c>
      <c r="E604" t="s">
        <v>7</v>
      </c>
      <c r="F604">
        <v>11</v>
      </c>
      <c r="G604" t="s">
        <v>36</v>
      </c>
      <c r="H604">
        <v>37</v>
      </c>
      <c r="I604">
        <v>3</v>
      </c>
      <c r="J604">
        <v>1</v>
      </c>
      <c r="K604" t="s">
        <v>9</v>
      </c>
      <c r="L604" t="s">
        <v>10</v>
      </c>
      <c r="M604" t="s">
        <v>11</v>
      </c>
      <c r="N604" t="s">
        <v>12</v>
      </c>
      <c r="O604">
        <v>1</v>
      </c>
      <c r="P604" t="s">
        <v>24</v>
      </c>
      <c r="Q604">
        <v>1</v>
      </c>
      <c r="R604" t="s">
        <v>14</v>
      </c>
      <c r="S604" t="s">
        <v>31</v>
      </c>
      <c r="T604" t="s">
        <v>25</v>
      </c>
    </row>
    <row r="605" spans="1:20" x14ac:dyDescent="0.3">
      <c r="A605" t="s">
        <v>654</v>
      </c>
      <c r="B605">
        <v>47</v>
      </c>
      <c r="C605" t="s">
        <v>18</v>
      </c>
      <c r="D605" t="s">
        <v>19</v>
      </c>
      <c r="E605" t="s">
        <v>64</v>
      </c>
      <c r="F605">
        <v>1</v>
      </c>
      <c r="G605" t="s">
        <v>8</v>
      </c>
      <c r="H605">
        <v>25</v>
      </c>
      <c r="I605">
        <v>10</v>
      </c>
      <c r="J605">
        <v>3</v>
      </c>
      <c r="K605" t="s">
        <v>37</v>
      </c>
      <c r="L605" t="s">
        <v>10</v>
      </c>
      <c r="M605" t="s">
        <v>38</v>
      </c>
      <c r="N605" t="s">
        <v>12</v>
      </c>
      <c r="O605">
        <v>3</v>
      </c>
      <c r="P605" t="s">
        <v>24</v>
      </c>
      <c r="Q605">
        <v>3</v>
      </c>
      <c r="R605" t="s">
        <v>14</v>
      </c>
      <c r="S605" t="s">
        <v>42</v>
      </c>
      <c r="T605" t="s">
        <v>25</v>
      </c>
    </row>
    <row r="606" spans="1:20" x14ac:dyDescent="0.3">
      <c r="A606" t="s">
        <v>655</v>
      </c>
      <c r="B606">
        <v>46</v>
      </c>
      <c r="C606" t="s">
        <v>18</v>
      </c>
      <c r="D606" t="s">
        <v>40</v>
      </c>
      <c r="E606" t="s">
        <v>64</v>
      </c>
      <c r="F606">
        <v>35</v>
      </c>
      <c r="G606" t="s">
        <v>8</v>
      </c>
      <c r="H606">
        <v>38</v>
      </c>
      <c r="I606">
        <v>11</v>
      </c>
      <c r="J606">
        <v>4</v>
      </c>
      <c r="K606" t="s">
        <v>37</v>
      </c>
      <c r="L606" t="s">
        <v>30</v>
      </c>
      <c r="M606" t="s">
        <v>11</v>
      </c>
      <c r="N606" t="s">
        <v>12</v>
      </c>
      <c r="O606">
        <v>2</v>
      </c>
      <c r="P606" t="s">
        <v>24</v>
      </c>
      <c r="Q606">
        <v>3</v>
      </c>
      <c r="R606" t="s">
        <v>14</v>
      </c>
      <c r="S606" t="s">
        <v>42</v>
      </c>
      <c r="T606" t="s">
        <v>25</v>
      </c>
    </row>
    <row r="607" spans="1:20" x14ac:dyDescent="0.3">
      <c r="A607" t="s">
        <v>656</v>
      </c>
      <c r="B607">
        <v>39</v>
      </c>
      <c r="C607" t="s">
        <v>46</v>
      </c>
      <c r="D607" t="s">
        <v>40</v>
      </c>
      <c r="E607" t="s">
        <v>28</v>
      </c>
      <c r="F607">
        <v>9</v>
      </c>
      <c r="G607" t="s">
        <v>21</v>
      </c>
      <c r="H607">
        <v>23</v>
      </c>
      <c r="I607">
        <v>0</v>
      </c>
      <c r="J607">
        <v>1</v>
      </c>
      <c r="K607" t="s">
        <v>37</v>
      </c>
      <c r="L607" t="s">
        <v>10</v>
      </c>
      <c r="M607" t="s">
        <v>38</v>
      </c>
      <c r="N607" t="s">
        <v>29</v>
      </c>
      <c r="O607">
        <v>5</v>
      </c>
      <c r="P607" t="s">
        <v>13</v>
      </c>
      <c r="Q607">
        <v>4</v>
      </c>
      <c r="R607" t="s">
        <v>49</v>
      </c>
      <c r="S607" t="s">
        <v>42</v>
      </c>
      <c r="T607" t="s">
        <v>58</v>
      </c>
    </row>
    <row r="608" spans="1:20" x14ac:dyDescent="0.3">
      <c r="A608" t="s">
        <v>657</v>
      </c>
      <c r="B608">
        <v>27</v>
      </c>
      <c r="C608" t="s">
        <v>34</v>
      </c>
      <c r="D608" t="s">
        <v>61</v>
      </c>
      <c r="E608" t="s">
        <v>64</v>
      </c>
      <c r="F608">
        <v>21</v>
      </c>
      <c r="G608" t="s">
        <v>8</v>
      </c>
      <c r="H608">
        <v>49</v>
      </c>
      <c r="I608">
        <v>13</v>
      </c>
      <c r="J608">
        <v>5</v>
      </c>
      <c r="K608" t="s">
        <v>47</v>
      </c>
      <c r="L608" t="s">
        <v>22</v>
      </c>
      <c r="M608" t="s">
        <v>38</v>
      </c>
      <c r="N608" t="s">
        <v>12</v>
      </c>
      <c r="O608">
        <v>3</v>
      </c>
      <c r="P608" t="s">
        <v>24</v>
      </c>
      <c r="Q608">
        <v>4</v>
      </c>
      <c r="R608" t="s">
        <v>30</v>
      </c>
      <c r="S608" t="s">
        <v>42</v>
      </c>
      <c r="T608" t="s">
        <v>44</v>
      </c>
    </row>
    <row r="609" spans="1:20" x14ac:dyDescent="0.3">
      <c r="A609" t="s">
        <v>658</v>
      </c>
      <c r="B609">
        <v>35</v>
      </c>
      <c r="C609" t="s">
        <v>46</v>
      </c>
      <c r="D609" t="s">
        <v>40</v>
      </c>
      <c r="E609" t="s">
        <v>7</v>
      </c>
      <c r="F609">
        <v>13</v>
      </c>
      <c r="G609" t="s">
        <v>36</v>
      </c>
      <c r="H609">
        <v>44</v>
      </c>
      <c r="I609">
        <v>6</v>
      </c>
      <c r="J609">
        <v>3</v>
      </c>
      <c r="K609" t="s">
        <v>37</v>
      </c>
      <c r="L609" t="s">
        <v>10</v>
      </c>
      <c r="M609" t="s">
        <v>11</v>
      </c>
      <c r="N609" t="s">
        <v>23</v>
      </c>
      <c r="O609">
        <v>2</v>
      </c>
      <c r="P609" t="s">
        <v>48</v>
      </c>
      <c r="Q609">
        <v>2</v>
      </c>
      <c r="R609" t="s">
        <v>30</v>
      </c>
      <c r="S609" t="s">
        <v>42</v>
      </c>
      <c r="T609" t="s">
        <v>32</v>
      </c>
    </row>
    <row r="610" spans="1:20" x14ac:dyDescent="0.3">
      <c r="A610" t="s">
        <v>659</v>
      </c>
      <c r="B610">
        <v>60</v>
      </c>
      <c r="C610" t="s">
        <v>18</v>
      </c>
      <c r="D610" t="s">
        <v>57</v>
      </c>
      <c r="E610" t="s">
        <v>28</v>
      </c>
      <c r="F610">
        <v>10</v>
      </c>
      <c r="G610" t="s">
        <v>8</v>
      </c>
      <c r="H610">
        <v>34</v>
      </c>
      <c r="I610">
        <v>13</v>
      </c>
      <c r="J610">
        <v>3</v>
      </c>
      <c r="K610" t="s">
        <v>37</v>
      </c>
      <c r="L610" t="s">
        <v>30</v>
      </c>
      <c r="M610" t="s">
        <v>38</v>
      </c>
      <c r="N610" t="s">
        <v>23</v>
      </c>
      <c r="O610">
        <v>2</v>
      </c>
      <c r="P610" t="s">
        <v>13</v>
      </c>
      <c r="Q610">
        <v>1</v>
      </c>
      <c r="R610" t="s">
        <v>14</v>
      </c>
      <c r="S610" t="s">
        <v>15</v>
      </c>
      <c r="T610" t="s">
        <v>32</v>
      </c>
    </row>
    <row r="611" spans="1:20" x14ac:dyDescent="0.3">
      <c r="A611" t="s">
        <v>660</v>
      </c>
      <c r="B611">
        <v>33</v>
      </c>
      <c r="C611" t="s">
        <v>18</v>
      </c>
      <c r="D611" t="s">
        <v>27</v>
      </c>
      <c r="E611" t="s">
        <v>35</v>
      </c>
      <c r="F611">
        <v>13</v>
      </c>
      <c r="G611" t="s">
        <v>8</v>
      </c>
      <c r="H611">
        <v>36</v>
      </c>
      <c r="I611">
        <v>2</v>
      </c>
      <c r="J611">
        <v>5</v>
      </c>
      <c r="K611" t="s">
        <v>9</v>
      </c>
      <c r="L611" t="s">
        <v>68</v>
      </c>
      <c r="M611" t="s">
        <v>38</v>
      </c>
      <c r="N611" t="s">
        <v>29</v>
      </c>
      <c r="O611">
        <v>2</v>
      </c>
      <c r="P611" t="s">
        <v>24</v>
      </c>
      <c r="Q611">
        <v>5</v>
      </c>
      <c r="R611" t="s">
        <v>14</v>
      </c>
      <c r="S611" t="s">
        <v>15</v>
      </c>
      <c r="T611" t="s">
        <v>32</v>
      </c>
    </row>
    <row r="612" spans="1:20" x14ac:dyDescent="0.3">
      <c r="A612" t="s">
        <v>661</v>
      </c>
      <c r="B612">
        <v>45</v>
      </c>
      <c r="C612" t="s">
        <v>46</v>
      </c>
      <c r="D612" t="s">
        <v>57</v>
      </c>
      <c r="E612" t="s">
        <v>7</v>
      </c>
      <c r="F612">
        <v>30</v>
      </c>
      <c r="G612" t="s">
        <v>8</v>
      </c>
      <c r="H612">
        <v>44</v>
      </c>
      <c r="I612">
        <v>15</v>
      </c>
      <c r="J612">
        <v>4</v>
      </c>
      <c r="K612" t="s">
        <v>37</v>
      </c>
      <c r="L612" t="s">
        <v>68</v>
      </c>
      <c r="M612" t="s">
        <v>38</v>
      </c>
      <c r="N612" t="s">
        <v>12</v>
      </c>
      <c r="O612">
        <v>2</v>
      </c>
      <c r="P612" t="s">
        <v>13</v>
      </c>
      <c r="Q612">
        <v>3</v>
      </c>
      <c r="R612" t="s">
        <v>14</v>
      </c>
      <c r="S612" t="s">
        <v>31</v>
      </c>
      <c r="T612" t="s">
        <v>44</v>
      </c>
    </row>
    <row r="613" spans="1:20" x14ac:dyDescent="0.3">
      <c r="A613" t="s">
        <v>662</v>
      </c>
      <c r="B613">
        <v>26</v>
      </c>
      <c r="C613" t="s">
        <v>34</v>
      </c>
      <c r="D613" t="s">
        <v>6</v>
      </c>
      <c r="E613" t="s">
        <v>20</v>
      </c>
      <c r="F613">
        <v>6</v>
      </c>
      <c r="G613" t="s">
        <v>8</v>
      </c>
      <c r="H613">
        <v>27</v>
      </c>
      <c r="I613">
        <v>10</v>
      </c>
      <c r="J613">
        <v>3</v>
      </c>
      <c r="K613" t="s">
        <v>9</v>
      </c>
      <c r="L613" t="s">
        <v>10</v>
      </c>
      <c r="M613" t="s">
        <v>11</v>
      </c>
      <c r="N613" t="s">
        <v>12</v>
      </c>
      <c r="O613">
        <v>4</v>
      </c>
      <c r="P613" t="s">
        <v>48</v>
      </c>
      <c r="Q613">
        <v>1</v>
      </c>
      <c r="R613" t="s">
        <v>49</v>
      </c>
      <c r="S613" t="s">
        <v>31</v>
      </c>
      <c r="T613" t="s">
        <v>25</v>
      </c>
    </row>
    <row r="614" spans="1:20" x14ac:dyDescent="0.3">
      <c r="A614" t="s">
        <v>663</v>
      </c>
      <c r="B614">
        <v>25</v>
      </c>
      <c r="C614" t="s">
        <v>34</v>
      </c>
      <c r="D614" t="s">
        <v>57</v>
      </c>
      <c r="E614" t="s">
        <v>41</v>
      </c>
      <c r="F614">
        <v>35</v>
      </c>
      <c r="G614" t="s">
        <v>21</v>
      </c>
      <c r="H614">
        <v>54</v>
      </c>
      <c r="I614">
        <v>15</v>
      </c>
      <c r="J614">
        <v>4</v>
      </c>
      <c r="K614" t="s">
        <v>9</v>
      </c>
      <c r="L614" t="s">
        <v>10</v>
      </c>
      <c r="M614" t="s">
        <v>11</v>
      </c>
      <c r="N614" t="s">
        <v>12</v>
      </c>
      <c r="O614">
        <v>3</v>
      </c>
      <c r="P614" t="s">
        <v>24</v>
      </c>
      <c r="Q614">
        <v>3</v>
      </c>
      <c r="R614" t="s">
        <v>30</v>
      </c>
      <c r="S614" t="s">
        <v>42</v>
      </c>
      <c r="T614" t="s">
        <v>25</v>
      </c>
    </row>
    <row r="615" spans="1:20" x14ac:dyDescent="0.3">
      <c r="A615" t="s">
        <v>664</v>
      </c>
      <c r="B615">
        <v>57</v>
      </c>
      <c r="C615" t="s">
        <v>18</v>
      </c>
      <c r="D615" t="s">
        <v>40</v>
      </c>
      <c r="E615" t="s">
        <v>35</v>
      </c>
      <c r="F615">
        <v>8</v>
      </c>
      <c r="G615" t="s">
        <v>8</v>
      </c>
      <c r="H615">
        <v>46</v>
      </c>
      <c r="I615">
        <v>9</v>
      </c>
      <c r="J615">
        <v>2</v>
      </c>
      <c r="K615" t="s">
        <v>37</v>
      </c>
      <c r="L615" t="s">
        <v>22</v>
      </c>
      <c r="M615" t="s">
        <v>38</v>
      </c>
      <c r="N615" t="s">
        <v>29</v>
      </c>
      <c r="O615">
        <v>2</v>
      </c>
      <c r="P615" t="s">
        <v>13</v>
      </c>
      <c r="Q615">
        <v>4</v>
      </c>
      <c r="R615" t="s">
        <v>30</v>
      </c>
      <c r="S615" t="s">
        <v>31</v>
      </c>
      <c r="T615" t="s">
        <v>55</v>
      </c>
    </row>
    <row r="616" spans="1:20" x14ac:dyDescent="0.3">
      <c r="A616" t="s">
        <v>665</v>
      </c>
      <c r="B616">
        <v>38</v>
      </c>
      <c r="C616" t="s">
        <v>46</v>
      </c>
      <c r="D616" t="s">
        <v>40</v>
      </c>
      <c r="E616" t="s">
        <v>35</v>
      </c>
      <c r="F616">
        <v>20</v>
      </c>
      <c r="G616" t="s">
        <v>21</v>
      </c>
      <c r="H616">
        <v>60</v>
      </c>
      <c r="I616">
        <v>11</v>
      </c>
      <c r="J616">
        <v>4</v>
      </c>
      <c r="K616" t="s">
        <v>9</v>
      </c>
      <c r="L616" t="s">
        <v>10</v>
      </c>
      <c r="M616" t="s">
        <v>11</v>
      </c>
      <c r="N616" t="s">
        <v>29</v>
      </c>
      <c r="O616">
        <v>3</v>
      </c>
      <c r="P616" t="s">
        <v>13</v>
      </c>
      <c r="Q616">
        <v>3</v>
      </c>
      <c r="R616" t="s">
        <v>49</v>
      </c>
      <c r="S616" t="s">
        <v>15</v>
      </c>
      <c r="T616" t="s">
        <v>25</v>
      </c>
    </row>
    <row r="617" spans="1:20" x14ac:dyDescent="0.3">
      <c r="A617" t="s">
        <v>666</v>
      </c>
      <c r="B617">
        <v>50</v>
      </c>
      <c r="C617" t="s">
        <v>5</v>
      </c>
      <c r="D617" t="s">
        <v>40</v>
      </c>
      <c r="E617" t="s">
        <v>64</v>
      </c>
      <c r="F617">
        <v>30</v>
      </c>
      <c r="G617" t="s">
        <v>8</v>
      </c>
      <c r="H617">
        <v>27</v>
      </c>
      <c r="I617">
        <v>15</v>
      </c>
      <c r="J617">
        <v>3</v>
      </c>
      <c r="K617" t="s">
        <v>9</v>
      </c>
      <c r="L617" t="s">
        <v>30</v>
      </c>
      <c r="M617" t="s">
        <v>11</v>
      </c>
      <c r="N617" t="s">
        <v>29</v>
      </c>
      <c r="O617">
        <v>5</v>
      </c>
      <c r="P617" t="s">
        <v>13</v>
      </c>
      <c r="Q617">
        <v>4</v>
      </c>
      <c r="R617" t="s">
        <v>30</v>
      </c>
      <c r="S617" t="s">
        <v>31</v>
      </c>
      <c r="T617" t="s">
        <v>16</v>
      </c>
    </row>
    <row r="618" spans="1:20" x14ac:dyDescent="0.3">
      <c r="A618" t="s">
        <v>667</v>
      </c>
      <c r="B618">
        <v>38</v>
      </c>
      <c r="C618" t="s">
        <v>34</v>
      </c>
      <c r="D618" t="s">
        <v>57</v>
      </c>
      <c r="E618" t="s">
        <v>7</v>
      </c>
      <c r="F618">
        <v>34</v>
      </c>
      <c r="G618" t="s">
        <v>36</v>
      </c>
      <c r="H618">
        <v>45</v>
      </c>
      <c r="I618">
        <v>7</v>
      </c>
      <c r="J618">
        <v>1</v>
      </c>
      <c r="K618" t="s">
        <v>9</v>
      </c>
      <c r="L618" t="s">
        <v>68</v>
      </c>
      <c r="M618" t="s">
        <v>11</v>
      </c>
      <c r="N618" t="s">
        <v>29</v>
      </c>
      <c r="O618">
        <v>5</v>
      </c>
      <c r="P618" t="s">
        <v>24</v>
      </c>
      <c r="Q618">
        <v>2</v>
      </c>
      <c r="R618" t="s">
        <v>30</v>
      </c>
      <c r="S618" t="s">
        <v>31</v>
      </c>
      <c r="T618" t="s">
        <v>25</v>
      </c>
    </row>
    <row r="619" spans="1:20" x14ac:dyDescent="0.3">
      <c r="A619" t="s">
        <v>668</v>
      </c>
      <c r="B619">
        <v>56</v>
      </c>
      <c r="C619" t="s">
        <v>34</v>
      </c>
      <c r="D619" t="s">
        <v>40</v>
      </c>
      <c r="E619" t="s">
        <v>28</v>
      </c>
      <c r="F619">
        <v>10</v>
      </c>
      <c r="G619" t="s">
        <v>21</v>
      </c>
      <c r="H619">
        <v>36</v>
      </c>
      <c r="I619">
        <v>13</v>
      </c>
      <c r="J619">
        <v>4</v>
      </c>
      <c r="K619" t="s">
        <v>37</v>
      </c>
      <c r="L619" t="s">
        <v>68</v>
      </c>
      <c r="M619" t="s">
        <v>11</v>
      </c>
      <c r="N619" t="s">
        <v>12</v>
      </c>
      <c r="O619">
        <v>4</v>
      </c>
      <c r="P619" t="s">
        <v>13</v>
      </c>
      <c r="Q619">
        <v>4</v>
      </c>
      <c r="R619" t="s">
        <v>14</v>
      </c>
      <c r="S619" t="s">
        <v>42</v>
      </c>
      <c r="T619" t="s">
        <v>55</v>
      </c>
    </row>
    <row r="620" spans="1:20" x14ac:dyDescent="0.3">
      <c r="A620" t="s">
        <v>669</v>
      </c>
      <c r="B620">
        <v>54</v>
      </c>
      <c r="C620" t="s">
        <v>5</v>
      </c>
      <c r="D620" t="s">
        <v>27</v>
      </c>
      <c r="E620" t="s">
        <v>64</v>
      </c>
      <c r="F620">
        <v>26</v>
      </c>
      <c r="G620" t="s">
        <v>36</v>
      </c>
      <c r="H620">
        <v>42</v>
      </c>
      <c r="I620">
        <v>14</v>
      </c>
      <c r="J620">
        <v>2</v>
      </c>
      <c r="K620" t="s">
        <v>47</v>
      </c>
      <c r="L620" t="s">
        <v>30</v>
      </c>
      <c r="M620" t="s">
        <v>11</v>
      </c>
      <c r="N620" t="s">
        <v>12</v>
      </c>
      <c r="O620">
        <v>1</v>
      </c>
      <c r="P620" t="s">
        <v>24</v>
      </c>
      <c r="Q620">
        <v>4</v>
      </c>
      <c r="R620" t="s">
        <v>49</v>
      </c>
      <c r="S620" t="s">
        <v>42</v>
      </c>
      <c r="T620" t="s">
        <v>44</v>
      </c>
    </row>
    <row r="621" spans="1:20" x14ac:dyDescent="0.3">
      <c r="A621" t="s">
        <v>670</v>
      </c>
      <c r="B621">
        <v>27</v>
      </c>
      <c r="C621" t="s">
        <v>46</v>
      </c>
      <c r="D621" t="s">
        <v>6</v>
      </c>
      <c r="E621" t="s">
        <v>41</v>
      </c>
      <c r="F621">
        <v>14</v>
      </c>
      <c r="G621" t="s">
        <v>36</v>
      </c>
      <c r="H621">
        <v>27</v>
      </c>
      <c r="I621">
        <v>1</v>
      </c>
      <c r="J621">
        <v>5</v>
      </c>
      <c r="K621" t="s">
        <v>37</v>
      </c>
      <c r="L621" t="s">
        <v>68</v>
      </c>
      <c r="M621" t="s">
        <v>11</v>
      </c>
      <c r="N621" t="s">
        <v>12</v>
      </c>
      <c r="O621">
        <v>4</v>
      </c>
      <c r="P621" t="s">
        <v>13</v>
      </c>
      <c r="Q621">
        <v>4</v>
      </c>
      <c r="R621" t="s">
        <v>14</v>
      </c>
      <c r="S621" t="s">
        <v>31</v>
      </c>
      <c r="T621" t="s">
        <v>32</v>
      </c>
    </row>
    <row r="622" spans="1:20" x14ac:dyDescent="0.3">
      <c r="A622" t="s">
        <v>671</v>
      </c>
      <c r="B622">
        <v>29</v>
      </c>
      <c r="C622" t="s">
        <v>5</v>
      </c>
      <c r="D622" t="s">
        <v>27</v>
      </c>
      <c r="E622" t="s">
        <v>28</v>
      </c>
      <c r="F622">
        <v>21</v>
      </c>
      <c r="G622" t="s">
        <v>8</v>
      </c>
      <c r="H622">
        <v>28</v>
      </c>
      <c r="I622">
        <v>5</v>
      </c>
      <c r="J622">
        <v>3</v>
      </c>
      <c r="K622" t="s">
        <v>37</v>
      </c>
      <c r="L622" t="s">
        <v>30</v>
      </c>
      <c r="M622" t="s">
        <v>11</v>
      </c>
      <c r="N622" t="s">
        <v>12</v>
      </c>
      <c r="O622">
        <v>3</v>
      </c>
      <c r="P622" t="s">
        <v>48</v>
      </c>
      <c r="Q622">
        <v>3</v>
      </c>
      <c r="R622" t="s">
        <v>30</v>
      </c>
      <c r="S622" t="s">
        <v>31</v>
      </c>
      <c r="T622" t="s">
        <v>58</v>
      </c>
    </row>
    <row r="623" spans="1:20" x14ac:dyDescent="0.3">
      <c r="A623" t="s">
        <v>672</v>
      </c>
      <c r="B623">
        <v>34</v>
      </c>
      <c r="C623" t="s">
        <v>5</v>
      </c>
      <c r="D623" t="s">
        <v>63</v>
      </c>
      <c r="E623" t="s">
        <v>20</v>
      </c>
      <c r="F623">
        <v>30</v>
      </c>
      <c r="G623" t="s">
        <v>21</v>
      </c>
      <c r="H623">
        <v>56</v>
      </c>
      <c r="I623">
        <v>15</v>
      </c>
      <c r="J623">
        <v>5</v>
      </c>
      <c r="K623" t="s">
        <v>47</v>
      </c>
      <c r="L623" t="s">
        <v>10</v>
      </c>
      <c r="M623" t="s">
        <v>38</v>
      </c>
      <c r="N623" t="s">
        <v>23</v>
      </c>
      <c r="O623">
        <v>1</v>
      </c>
      <c r="P623" t="s">
        <v>13</v>
      </c>
      <c r="Q623">
        <v>1</v>
      </c>
      <c r="R623" t="s">
        <v>14</v>
      </c>
      <c r="S623" t="s">
        <v>31</v>
      </c>
      <c r="T623" t="s">
        <v>55</v>
      </c>
    </row>
    <row r="624" spans="1:20" x14ac:dyDescent="0.3">
      <c r="A624" t="s">
        <v>673</v>
      </c>
      <c r="B624">
        <v>25</v>
      </c>
      <c r="C624" t="s">
        <v>46</v>
      </c>
      <c r="D624" t="s">
        <v>61</v>
      </c>
      <c r="E624" t="s">
        <v>20</v>
      </c>
      <c r="F624">
        <v>11</v>
      </c>
      <c r="G624" t="s">
        <v>8</v>
      </c>
      <c r="H624">
        <v>22</v>
      </c>
      <c r="I624">
        <v>11</v>
      </c>
      <c r="J624">
        <v>5</v>
      </c>
      <c r="K624" t="s">
        <v>9</v>
      </c>
      <c r="L624" t="s">
        <v>22</v>
      </c>
      <c r="M624" t="s">
        <v>11</v>
      </c>
      <c r="N624" t="s">
        <v>29</v>
      </c>
      <c r="O624">
        <v>5</v>
      </c>
      <c r="P624" t="s">
        <v>48</v>
      </c>
      <c r="Q624">
        <v>5</v>
      </c>
      <c r="R624" t="s">
        <v>30</v>
      </c>
      <c r="S624" t="s">
        <v>31</v>
      </c>
      <c r="T624" t="s">
        <v>44</v>
      </c>
    </row>
    <row r="625" spans="1:20" x14ac:dyDescent="0.3">
      <c r="A625" t="s">
        <v>674</v>
      </c>
      <c r="B625">
        <v>35</v>
      </c>
      <c r="C625" t="s">
        <v>34</v>
      </c>
      <c r="D625" t="s">
        <v>61</v>
      </c>
      <c r="E625" t="s">
        <v>51</v>
      </c>
      <c r="F625">
        <v>23</v>
      </c>
      <c r="G625" t="s">
        <v>8</v>
      </c>
      <c r="H625">
        <v>23</v>
      </c>
      <c r="I625">
        <v>5</v>
      </c>
      <c r="J625">
        <v>5</v>
      </c>
      <c r="K625" t="s">
        <v>37</v>
      </c>
      <c r="L625" t="s">
        <v>10</v>
      </c>
      <c r="M625" t="s">
        <v>38</v>
      </c>
      <c r="N625" t="s">
        <v>29</v>
      </c>
      <c r="O625">
        <v>4</v>
      </c>
      <c r="P625" t="s">
        <v>13</v>
      </c>
      <c r="Q625">
        <v>1</v>
      </c>
      <c r="R625" t="s">
        <v>30</v>
      </c>
      <c r="S625" t="s">
        <v>15</v>
      </c>
      <c r="T625" t="s">
        <v>44</v>
      </c>
    </row>
    <row r="626" spans="1:20" x14ac:dyDescent="0.3">
      <c r="A626" t="s">
        <v>675</v>
      </c>
      <c r="B626">
        <v>48</v>
      </c>
      <c r="C626" t="s">
        <v>18</v>
      </c>
      <c r="D626" t="s">
        <v>6</v>
      </c>
      <c r="E626" t="s">
        <v>51</v>
      </c>
      <c r="F626">
        <v>1</v>
      </c>
      <c r="G626" t="s">
        <v>21</v>
      </c>
      <c r="H626">
        <v>53</v>
      </c>
      <c r="I626">
        <v>2</v>
      </c>
      <c r="J626">
        <v>4</v>
      </c>
      <c r="K626" t="s">
        <v>37</v>
      </c>
      <c r="L626" t="s">
        <v>22</v>
      </c>
      <c r="M626" t="s">
        <v>38</v>
      </c>
      <c r="N626" t="s">
        <v>29</v>
      </c>
      <c r="O626">
        <v>3</v>
      </c>
      <c r="P626" t="s">
        <v>24</v>
      </c>
      <c r="Q626">
        <v>2</v>
      </c>
      <c r="R626" t="s">
        <v>14</v>
      </c>
      <c r="S626" t="s">
        <v>31</v>
      </c>
      <c r="T626" t="s">
        <v>16</v>
      </c>
    </row>
    <row r="627" spans="1:20" x14ac:dyDescent="0.3">
      <c r="A627" t="s">
        <v>676</v>
      </c>
      <c r="B627">
        <v>28</v>
      </c>
      <c r="C627" t="s">
        <v>18</v>
      </c>
      <c r="D627" t="s">
        <v>63</v>
      </c>
      <c r="E627" t="s">
        <v>35</v>
      </c>
      <c r="F627">
        <v>20</v>
      </c>
      <c r="G627" t="s">
        <v>21</v>
      </c>
      <c r="H627">
        <v>38</v>
      </c>
      <c r="I627">
        <v>6</v>
      </c>
      <c r="J627">
        <v>1</v>
      </c>
      <c r="K627" t="s">
        <v>47</v>
      </c>
      <c r="L627" t="s">
        <v>22</v>
      </c>
      <c r="M627" t="s">
        <v>11</v>
      </c>
      <c r="N627" t="s">
        <v>12</v>
      </c>
      <c r="O627">
        <v>3</v>
      </c>
      <c r="P627" t="s">
        <v>13</v>
      </c>
      <c r="Q627">
        <v>1</v>
      </c>
      <c r="R627" t="s">
        <v>30</v>
      </c>
      <c r="S627" t="s">
        <v>31</v>
      </c>
      <c r="T627" t="s">
        <v>55</v>
      </c>
    </row>
    <row r="628" spans="1:20" x14ac:dyDescent="0.3">
      <c r="A628" t="s">
        <v>677</v>
      </c>
      <c r="B628">
        <v>23</v>
      </c>
      <c r="C628" t="s">
        <v>5</v>
      </c>
      <c r="D628" t="s">
        <v>27</v>
      </c>
      <c r="E628" t="s">
        <v>35</v>
      </c>
      <c r="F628">
        <v>1</v>
      </c>
      <c r="G628" t="s">
        <v>36</v>
      </c>
      <c r="H628">
        <v>47</v>
      </c>
      <c r="I628">
        <v>8</v>
      </c>
      <c r="J628">
        <v>2</v>
      </c>
      <c r="K628" t="s">
        <v>9</v>
      </c>
      <c r="L628" t="s">
        <v>10</v>
      </c>
      <c r="M628" t="s">
        <v>38</v>
      </c>
      <c r="N628" t="s">
        <v>12</v>
      </c>
      <c r="O628">
        <v>3</v>
      </c>
      <c r="P628" t="s">
        <v>24</v>
      </c>
      <c r="Q628">
        <v>3</v>
      </c>
      <c r="R628" t="s">
        <v>30</v>
      </c>
      <c r="S628" t="s">
        <v>15</v>
      </c>
      <c r="T628" t="s">
        <v>25</v>
      </c>
    </row>
    <row r="629" spans="1:20" x14ac:dyDescent="0.3">
      <c r="A629" t="s">
        <v>678</v>
      </c>
      <c r="B629">
        <v>34</v>
      </c>
      <c r="C629" t="s">
        <v>5</v>
      </c>
      <c r="D629" t="s">
        <v>57</v>
      </c>
      <c r="E629" t="s">
        <v>41</v>
      </c>
      <c r="F629">
        <v>31</v>
      </c>
      <c r="G629" t="s">
        <v>21</v>
      </c>
      <c r="H629">
        <v>51</v>
      </c>
      <c r="I629">
        <v>14</v>
      </c>
      <c r="J629">
        <v>1</v>
      </c>
      <c r="K629" t="s">
        <v>47</v>
      </c>
      <c r="L629" t="s">
        <v>22</v>
      </c>
      <c r="M629" t="s">
        <v>38</v>
      </c>
      <c r="N629" t="s">
        <v>23</v>
      </c>
      <c r="O629">
        <v>1</v>
      </c>
      <c r="P629" t="s">
        <v>13</v>
      </c>
      <c r="Q629">
        <v>1</v>
      </c>
      <c r="R629" t="s">
        <v>49</v>
      </c>
      <c r="S629" t="s">
        <v>15</v>
      </c>
      <c r="T629" t="s">
        <v>58</v>
      </c>
    </row>
    <row r="630" spans="1:20" x14ac:dyDescent="0.3">
      <c r="A630" t="s">
        <v>679</v>
      </c>
      <c r="B630">
        <v>53</v>
      </c>
      <c r="C630" t="s">
        <v>46</v>
      </c>
      <c r="D630" t="s">
        <v>19</v>
      </c>
      <c r="E630" t="s">
        <v>64</v>
      </c>
      <c r="F630">
        <v>28</v>
      </c>
      <c r="G630" t="s">
        <v>8</v>
      </c>
      <c r="H630">
        <v>48</v>
      </c>
      <c r="I630">
        <v>6</v>
      </c>
      <c r="J630">
        <v>1</v>
      </c>
      <c r="K630" t="s">
        <v>37</v>
      </c>
      <c r="L630" t="s">
        <v>10</v>
      </c>
      <c r="M630" t="s">
        <v>38</v>
      </c>
      <c r="N630" t="s">
        <v>29</v>
      </c>
      <c r="O630">
        <v>1</v>
      </c>
      <c r="P630" t="s">
        <v>24</v>
      </c>
      <c r="Q630">
        <v>3</v>
      </c>
      <c r="R630" t="s">
        <v>49</v>
      </c>
      <c r="S630" t="s">
        <v>42</v>
      </c>
      <c r="T630" t="s">
        <v>55</v>
      </c>
    </row>
    <row r="631" spans="1:20" x14ac:dyDescent="0.3">
      <c r="A631" t="s">
        <v>680</v>
      </c>
      <c r="B631">
        <v>52</v>
      </c>
      <c r="C631" t="s">
        <v>46</v>
      </c>
      <c r="D631" t="s">
        <v>61</v>
      </c>
      <c r="E631" t="s">
        <v>7</v>
      </c>
      <c r="F631">
        <v>11</v>
      </c>
      <c r="G631" t="s">
        <v>8</v>
      </c>
      <c r="H631">
        <v>28</v>
      </c>
      <c r="I631">
        <v>13</v>
      </c>
      <c r="J631">
        <v>4</v>
      </c>
      <c r="K631" t="s">
        <v>47</v>
      </c>
      <c r="L631" t="s">
        <v>22</v>
      </c>
      <c r="M631" t="s">
        <v>38</v>
      </c>
      <c r="N631" t="s">
        <v>23</v>
      </c>
      <c r="O631">
        <v>5</v>
      </c>
      <c r="P631" t="s">
        <v>13</v>
      </c>
      <c r="Q631">
        <v>4</v>
      </c>
      <c r="R631" t="s">
        <v>30</v>
      </c>
      <c r="S631" t="s">
        <v>42</v>
      </c>
      <c r="T631" t="s">
        <v>32</v>
      </c>
    </row>
    <row r="632" spans="1:20" x14ac:dyDescent="0.3">
      <c r="A632" t="s">
        <v>681</v>
      </c>
      <c r="B632">
        <v>29</v>
      </c>
      <c r="C632" t="s">
        <v>34</v>
      </c>
      <c r="D632" t="s">
        <v>63</v>
      </c>
      <c r="E632" t="s">
        <v>7</v>
      </c>
      <c r="F632">
        <v>18</v>
      </c>
      <c r="G632" t="s">
        <v>36</v>
      </c>
      <c r="H632">
        <v>49</v>
      </c>
      <c r="I632">
        <v>14</v>
      </c>
      <c r="J632">
        <v>5</v>
      </c>
      <c r="K632" t="s">
        <v>47</v>
      </c>
      <c r="L632" t="s">
        <v>68</v>
      </c>
      <c r="M632" t="s">
        <v>11</v>
      </c>
      <c r="N632" t="s">
        <v>12</v>
      </c>
      <c r="O632">
        <v>2</v>
      </c>
      <c r="P632" t="s">
        <v>24</v>
      </c>
      <c r="Q632">
        <v>4</v>
      </c>
      <c r="R632" t="s">
        <v>14</v>
      </c>
      <c r="S632" t="s">
        <v>31</v>
      </c>
      <c r="T632" t="s">
        <v>25</v>
      </c>
    </row>
    <row r="633" spans="1:20" x14ac:dyDescent="0.3">
      <c r="A633" t="s">
        <v>682</v>
      </c>
      <c r="B633">
        <v>53</v>
      </c>
      <c r="C633" t="s">
        <v>18</v>
      </c>
      <c r="D633" t="s">
        <v>61</v>
      </c>
      <c r="E633" t="s">
        <v>35</v>
      </c>
      <c r="F633">
        <v>13</v>
      </c>
      <c r="G633" t="s">
        <v>8</v>
      </c>
      <c r="H633">
        <v>56</v>
      </c>
      <c r="I633">
        <v>1</v>
      </c>
      <c r="J633">
        <v>2</v>
      </c>
      <c r="K633" t="s">
        <v>9</v>
      </c>
      <c r="L633" t="s">
        <v>10</v>
      </c>
      <c r="M633" t="s">
        <v>38</v>
      </c>
      <c r="N633" t="s">
        <v>12</v>
      </c>
      <c r="O633">
        <v>1</v>
      </c>
      <c r="P633" t="s">
        <v>13</v>
      </c>
      <c r="Q633">
        <v>4</v>
      </c>
      <c r="R633" t="s">
        <v>30</v>
      </c>
      <c r="S633" t="s">
        <v>42</v>
      </c>
      <c r="T633" t="s">
        <v>32</v>
      </c>
    </row>
    <row r="634" spans="1:20" x14ac:dyDescent="0.3">
      <c r="A634" t="s">
        <v>683</v>
      </c>
      <c r="B634">
        <v>42</v>
      </c>
      <c r="C634" t="s">
        <v>34</v>
      </c>
      <c r="D634" t="s">
        <v>40</v>
      </c>
      <c r="E634" t="s">
        <v>35</v>
      </c>
      <c r="F634">
        <v>7</v>
      </c>
      <c r="G634" t="s">
        <v>21</v>
      </c>
      <c r="H634">
        <v>38</v>
      </c>
      <c r="I634">
        <v>1</v>
      </c>
      <c r="J634">
        <v>3</v>
      </c>
      <c r="K634" t="s">
        <v>37</v>
      </c>
      <c r="L634" t="s">
        <v>22</v>
      </c>
      <c r="M634" t="s">
        <v>38</v>
      </c>
      <c r="N634" t="s">
        <v>23</v>
      </c>
      <c r="O634">
        <v>4</v>
      </c>
      <c r="P634" t="s">
        <v>13</v>
      </c>
      <c r="Q634">
        <v>3</v>
      </c>
      <c r="R634" t="s">
        <v>30</v>
      </c>
      <c r="S634" t="s">
        <v>31</v>
      </c>
      <c r="T634" t="s">
        <v>32</v>
      </c>
    </row>
    <row r="635" spans="1:20" x14ac:dyDescent="0.3">
      <c r="A635" t="s">
        <v>684</v>
      </c>
      <c r="B635">
        <v>35</v>
      </c>
      <c r="C635" t="s">
        <v>34</v>
      </c>
      <c r="D635" t="s">
        <v>57</v>
      </c>
      <c r="E635" t="s">
        <v>7</v>
      </c>
      <c r="F635">
        <v>26</v>
      </c>
      <c r="G635" t="s">
        <v>36</v>
      </c>
      <c r="H635">
        <v>46</v>
      </c>
      <c r="I635">
        <v>0</v>
      </c>
      <c r="J635">
        <v>3</v>
      </c>
      <c r="K635" t="s">
        <v>47</v>
      </c>
      <c r="L635" t="s">
        <v>30</v>
      </c>
      <c r="M635" t="s">
        <v>11</v>
      </c>
      <c r="N635" t="s">
        <v>29</v>
      </c>
      <c r="O635">
        <v>1</v>
      </c>
      <c r="P635" t="s">
        <v>48</v>
      </c>
      <c r="Q635">
        <v>1</v>
      </c>
      <c r="R635" t="s">
        <v>14</v>
      </c>
      <c r="S635" t="s">
        <v>15</v>
      </c>
      <c r="T635" t="s">
        <v>55</v>
      </c>
    </row>
    <row r="636" spans="1:20" x14ac:dyDescent="0.3">
      <c r="A636" t="s">
        <v>685</v>
      </c>
      <c r="B636">
        <v>42</v>
      </c>
      <c r="C636" t="s">
        <v>5</v>
      </c>
      <c r="D636" t="s">
        <v>63</v>
      </c>
      <c r="E636" t="s">
        <v>7</v>
      </c>
      <c r="F636">
        <v>7</v>
      </c>
      <c r="G636" t="s">
        <v>8</v>
      </c>
      <c r="H636">
        <v>32</v>
      </c>
      <c r="I636">
        <v>3</v>
      </c>
      <c r="J636">
        <v>1</v>
      </c>
      <c r="K636" t="s">
        <v>37</v>
      </c>
      <c r="L636" t="s">
        <v>10</v>
      </c>
      <c r="M636" t="s">
        <v>11</v>
      </c>
      <c r="N636" t="s">
        <v>23</v>
      </c>
      <c r="O636">
        <v>4</v>
      </c>
      <c r="P636" t="s">
        <v>13</v>
      </c>
      <c r="Q636">
        <v>3</v>
      </c>
      <c r="R636" t="s">
        <v>49</v>
      </c>
      <c r="S636" t="s">
        <v>42</v>
      </c>
      <c r="T636" t="s">
        <v>25</v>
      </c>
    </row>
    <row r="637" spans="1:20" x14ac:dyDescent="0.3">
      <c r="A637" t="s">
        <v>686</v>
      </c>
      <c r="B637">
        <v>45</v>
      </c>
      <c r="C637" t="s">
        <v>34</v>
      </c>
      <c r="D637" t="s">
        <v>27</v>
      </c>
      <c r="E637" t="s">
        <v>64</v>
      </c>
      <c r="F637">
        <v>16</v>
      </c>
      <c r="G637" t="s">
        <v>36</v>
      </c>
      <c r="H637">
        <v>52</v>
      </c>
      <c r="I637">
        <v>1</v>
      </c>
      <c r="J637">
        <v>2</v>
      </c>
      <c r="K637" t="s">
        <v>37</v>
      </c>
      <c r="L637" t="s">
        <v>10</v>
      </c>
      <c r="M637" t="s">
        <v>11</v>
      </c>
      <c r="N637" t="s">
        <v>23</v>
      </c>
      <c r="O637">
        <v>1</v>
      </c>
      <c r="P637" t="s">
        <v>48</v>
      </c>
      <c r="Q637">
        <v>2</v>
      </c>
      <c r="R637" t="s">
        <v>49</v>
      </c>
      <c r="S637" t="s">
        <v>42</v>
      </c>
      <c r="T637" t="s">
        <v>58</v>
      </c>
    </row>
    <row r="638" spans="1:20" x14ac:dyDescent="0.3">
      <c r="A638" t="s">
        <v>687</v>
      </c>
      <c r="B638">
        <v>24</v>
      </c>
      <c r="C638" t="s">
        <v>34</v>
      </c>
      <c r="D638" t="s">
        <v>40</v>
      </c>
      <c r="E638" t="s">
        <v>35</v>
      </c>
      <c r="F638">
        <v>16</v>
      </c>
      <c r="G638" t="s">
        <v>8</v>
      </c>
      <c r="H638">
        <v>48</v>
      </c>
      <c r="I638">
        <v>13</v>
      </c>
      <c r="J638">
        <v>1</v>
      </c>
      <c r="K638" t="s">
        <v>47</v>
      </c>
      <c r="L638" t="s">
        <v>68</v>
      </c>
      <c r="M638" t="s">
        <v>38</v>
      </c>
      <c r="N638" t="s">
        <v>23</v>
      </c>
      <c r="O638">
        <v>2</v>
      </c>
      <c r="P638" t="s">
        <v>13</v>
      </c>
      <c r="Q638">
        <v>3</v>
      </c>
      <c r="R638" t="s">
        <v>30</v>
      </c>
      <c r="S638" t="s">
        <v>15</v>
      </c>
      <c r="T638" t="s">
        <v>25</v>
      </c>
    </row>
    <row r="639" spans="1:20" x14ac:dyDescent="0.3">
      <c r="A639" t="s">
        <v>688</v>
      </c>
      <c r="B639">
        <v>40</v>
      </c>
      <c r="C639" t="s">
        <v>18</v>
      </c>
      <c r="D639" t="s">
        <v>27</v>
      </c>
      <c r="E639" t="s">
        <v>51</v>
      </c>
      <c r="F639">
        <v>19</v>
      </c>
      <c r="G639" t="s">
        <v>21</v>
      </c>
      <c r="H639">
        <v>38</v>
      </c>
      <c r="I639">
        <v>0</v>
      </c>
      <c r="J639">
        <v>3</v>
      </c>
      <c r="K639" t="s">
        <v>37</v>
      </c>
      <c r="L639" t="s">
        <v>68</v>
      </c>
      <c r="M639" t="s">
        <v>11</v>
      </c>
      <c r="N639" t="s">
        <v>23</v>
      </c>
      <c r="O639">
        <v>5</v>
      </c>
      <c r="P639" t="s">
        <v>13</v>
      </c>
      <c r="Q639">
        <v>4</v>
      </c>
      <c r="R639" t="s">
        <v>14</v>
      </c>
      <c r="S639" t="s">
        <v>15</v>
      </c>
      <c r="T639" t="s">
        <v>16</v>
      </c>
    </row>
    <row r="640" spans="1:20" x14ac:dyDescent="0.3">
      <c r="A640" t="s">
        <v>689</v>
      </c>
      <c r="B640">
        <v>52</v>
      </c>
      <c r="C640" t="s">
        <v>5</v>
      </c>
      <c r="D640" t="s">
        <v>27</v>
      </c>
      <c r="E640" t="s">
        <v>35</v>
      </c>
      <c r="F640">
        <v>16</v>
      </c>
      <c r="G640" t="s">
        <v>8</v>
      </c>
      <c r="H640">
        <v>25</v>
      </c>
      <c r="I640">
        <v>2</v>
      </c>
      <c r="J640">
        <v>3</v>
      </c>
      <c r="K640" t="s">
        <v>37</v>
      </c>
      <c r="L640" t="s">
        <v>30</v>
      </c>
      <c r="M640" t="s">
        <v>38</v>
      </c>
      <c r="N640" t="s">
        <v>12</v>
      </c>
      <c r="O640">
        <v>3</v>
      </c>
      <c r="P640" t="s">
        <v>24</v>
      </c>
      <c r="Q640">
        <v>1</v>
      </c>
      <c r="R640" t="s">
        <v>49</v>
      </c>
      <c r="S640" t="s">
        <v>15</v>
      </c>
      <c r="T640" t="s">
        <v>58</v>
      </c>
    </row>
    <row r="641" spans="1:20" x14ac:dyDescent="0.3">
      <c r="A641" t="s">
        <v>690</v>
      </c>
      <c r="B641">
        <v>55</v>
      </c>
      <c r="C641" t="s">
        <v>34</v>
      </c>
      <c r="D641" t="s">
        <v>40</v>
      </c>
      <c r="E641" t="s">
        <v>51</v>
      </c>
      <c r="F641">
        <v>20</v>
      </c>
      <c r="G641" t="s">
        <v>8</v>
      </c>
      <c r="H641">
        <v>27</v>
      </c>
      <c r="I641">
        <v>10</v>
      </c>
      <c r="J641">
        <v>5</v>
      </c>
      <c r="K641" t="s">
        <v>47</v>
      </c>
      <c r="L641" t="s">
        <v>10</v>
      </c>
      <c r="M641" t="s">
        <v>38</v>
      </c>
      <c r="N641" t="s">
        <v>29</v>
      </c>
      <c r="O641">
        <v>2</v>
      </c>
      <c r="P641" t="s">
        <v>24</v>
      </c>
      <c r="Q641">
        <v>2</v>
      </c>
      <c r="R641" t="s">
        <v>30</v>
      </c>
      <c r="S641" t="s">
        <v>31</v>
      </c>
      <c r="T641" t="s">
        <v>32</v>
      </c>
    </row>
    <row r="642" spans="1:20" x14ac:dyDescent="0.3">
      <c r="A642" t="s">
        <v>691</v>
      </c>
      <c r="B642">
        <v>38</v>
      </c>
      <c r="C642" t="s">
        <v>5</v>
      </c>
      <c r="D642" t="s">
        <v>19</v>
      </c>
      <c r="E642" t="s">
        <v>35</v>
      </c>
      <c r="F642">
        <v>31</v>
      </c>
      <c r="G642" t="s">
        <v>8</v>
      </c>
      <c r="H642">
        <v>28</v>
      </c>
      <c r="I642">
        <v>3</v>
      </c>
      <c r="J642">
        <v>2</v>
      </c>
      <c r="K642" t="s">
        <v>37</v>
      </c>
      <c r="L642" t="s">
        <v>22</v>
      </c>
      <c r="M642" t="s">
        <v>11</v>
      </c>
      <c r="N642" t="s">
        <v>29</v>
      </c>
      <c r="O642">
        <v>1</v>
      </c>
      <c r="P642" t="s">
        <v>13</v>
      </c>
      <c r="Q642">
        <v>5</v>
      </c>
      <c r="R642" t="s">
        <v>30</v>
      </c>
      <c r="S642" t="s">
        <v>31</v>
      </c>
      <c r="T642" t="s">
        <v>32</v>
      </c>
    </row>
    <row r="643" spans="1:20" x14ac:dyDescent="0.3">
      <c r="A643" t="s">
        <v>692</v>
      </c>
      <c r="B643">
        <v>50</v>
      </c>
      <c r="C643" t="s">
        <v>34</v>
      </c>
      <c r="D643" t="s">
        <v>61</v>
      </c>
      <c r="E643" t="s">
        <v>64</v>
      </c>
      <c r="F643">
        <v>15</v>
      </c>
      <c r="G643" t="s">
        <v>36</v>
      </c>
      <c r="H643">
        <v>36</v>
      </c>
      <c r="I643">
        <v>6</v>
      </c>
      <c r="J643">
        <v>5</v>
      </c>
      <c r="K643" t="s">
        <v>47</v>
      </c>
      <c r="L643" t="s">
        <v>68</v>
      </c>
      <c r="M643" t="s">
        <v>38</v>
      </c>
      <c r="N643" t="s">
        <v>12</v>
      </c>
      <c r="O643">
        <v>2</v>
      </c>
      <c r="P643" t="s">
        <v>24</v>
      </c>
      <c r="Q643">
        <v>1</v>
      </c>
      <c r="R643" t="s">
        <v>49</v>
      </c>
      <c r="S643" t="s">
        <v>31</v>
      </c>
      <c r="T643" t="s">
        <v>32</v>
      </c>
    </row>
    <row r="644" spans="1:20" x14ac:dyDescent="0.3">
      <c r="A644" t="s">
        <v>693</v>
      </c>
      <c r="B644">
        <v>36</v>
      </c>
      <c r="C644" t="s">
        <v>34</v>
      </c>
      <c r="D644" t="s">
        <v>57</v>
      </c>
      <c r="E644" t="s">
        <v>64</v>
      </c>
      <c r="F644">
        <v>31</v>
      </c>
      <c r="G644" t="s">
        <v>36</v>
      </c>
      <c r="H644">
        <v>53</v>
      </c>
      <c r="I644">
        <v>3</v>
      </c>
      <c r="J644">
        <v>1</v>
      </c>
      <c r="K644" t="s">
        <v>9</v>
      </c>
      <c r="L644" t="s">
        <v>68</v>
      </c>
      <c r="M644" t="s">
        <v>38</v>
      </c>
      <c r="N644" t="s">
        <v>23</v>
      </c>
      <c r="O644">
        <v>4</v>
      </c>
      <c r="P644" t="s">
        <v>48</v>
      </c>
      <c r="Q644">
        <v>4</v>
      </c>
      <c r="R644" t="s">
        <v>30</v>
      </c>
      <c r="S644" t="s">
        <v>31</v>
      </c>
      <c r="T644" t="s">
        <v>55</v>
      </c>
    </row>
    <row r="645" spans="1:20" x14ac:dyDescent="0.3">
      <c r="A645" t="s">
        <v>694</v>
      </c>
      <c r="B645">
        <v>36</v>
      </c>
      <c r="C645" t="s">
        <v>18</v>
      </c>
      <c r="D645" t="s">
        <v>63</v>
      </c>
      <c r="E645" t="s">
        <v>28</v>
      </c>
      <c r="F645">
        <v>20</v>
      </c>
      <c r="G645" t="s">
        <v>36</v>
      </c>
      <c r="H645">
        <v>54</v>
      </c>
      <c r="I645">
        <v>15</v>
      </c>
      <c r="J645">
        <v>3</v>
      </c>
      <c r="K645" t="s">
        <v>9</v>
      </c>
      <c r="L645" t="s">
        <v>68</v>
      </c>
      <c r="M645" t="s">
        <v>38</v>
      </c>
      <c r="N645" t="s">
        <v>29</v>
      </c>
      <c r="O645">
        <v>4</v>
      </c>
      <c r="P645" t="s">
        <v>24</v>
      </c>
      <c r="Q645">
        <v>2</v>
      </c>
      <c r="R645" t="s">
        <v>30</v>
      </c>
      <c r="S645" t="s">
        <v>15</v>
      </c>
      <c r="T645" t="s">
        <v>16</v>
      </c>
    </row>
    <row r="646" spans="1:20" x14ac:dyDescent="0.3">
      <c r="A646" t="s">
        <v>695</v>
      </c>
      <c r="B646">
        <v>34</v>
      </c>
      <c r="C646" t="s">
        <v>34</v>
      </c>
      <c r="D646" t="s">
        <v>40</v>
      </c>
      <c r="E646" t="s">
        <v>20</v>
      </c>
      <c r="F646">
        <v>26</v>
      </c>
      <c r="G646" t="s">
        <v>8</v>
      </c>
      <c r="H646">
        <v>39</v>
      </c>
      <c r="I646">
        <v>3</v>
      </c>
      <c r="J646">
        <v>3</v>
      </c>
      <c r="K646" t="s">
        <v>9</v>
      </c>
      <c r="L646" t="s">
        <v>30</v>
      </c>
      <c r="M646" t="s">
        <v>38</v>
      </c>
      <c r="N646" t="s">
        <v>12</v>
      </c>
      <c r="O646">
        <v>3</v>
      </c>
      <c r="P646" t="s">
        <v>24</v>
      </c>
      <c r="Q646">
        <v>5</v>
      </c>
      <c r="R646" t="s">
        <v>14</v>
      </c>
      <c r="S646" t="s">
        <v>42</v>
      </c>
      <c r="T646" t="s">
        <v>55</v>
      </c>
    </row>
    <row r="647" spans="1:20" x14ac:dyDescent="0.3">
      <c r="A647" t="s">
        <v>696</v>
      </c>
      <c r="B647">
        <v>55</v>
      </c>
      <c r="C647" t="s">
        <v>34</v>
      </c>
      <c r="D647" t="s">
        <v>61</v>
      </c>
      <c r="E647" t="s">
        <v>41</v>
      </c>
      <c r="F647">
        <v>16</v>
      </c>
      <c r="G647" t="s">
        <v>36</v>
      </c>
      <c r="H647">
        <v>47</v>
      </c>
      <c r="I647">
        <v>8</v>
      </c>
      <c r="J647">
        <v>1</v>
      </c>
      <c r="K647" t="s">
        <v>9</v>
      </c>
      <c r="L647" t="s">
        <v>30</v>
      </c>
      <c r="M647" t="s">
        <v>38</v>
      </c>
      <c r="N647" t="s">
        <v>29</v>
      </c>
      <c r="O647">
        <v>3</v>
      </c>
      <c r="P647" t="s">
        <v>13</v>
      </c>
      <c r="Q647">
        <v>5</v>
      </c>
      <c r="R647" t="s">
        <v>30</v>
      </c>
      <c r="S647" t="s">
        <v>42</v>
      </c>
      <c r="T647" t="s">
        <v>44</v>
      </c>
    </row>
    <row r="648" spans="1:20" x14ac:dyDescent="0.3">
      <c r="A648" t="s">
        <v>697</v>
      </c>
      <c r="B648">
        <v>37</v>
      </c>
      <c r="C648" t="s">
        <v>46</v>
      </c>
      <c r="D648" t="s">
        <v>6</v>
      </c>
      <c r="E648" t="s">
        <v>41</v>
      </c>
      <c r="F648">
        <v>14</v>
      </c>
      <c r="G648" t="s">
        <v>8</v>
      </c>
      <c r="H648">
        <v>60</v>
      </c>
      <c r="I648">
        <v>1</v>
      </c>
      <c r="J648">
        <v>3</v>
      </c>
      <c r="K648" t="s">
        <v>37</v>
      </c>
      <c r="L648" t="s">
        <v>68</v>
      </c>
      <c r="M648" t="s">
        <v>38</v>
      </c>
      <c r="N648" t="s">
        <v>29</v>
      </c>
      <c r="O648">
        <v>4</v>
      </c>
      <c r="P648" t="s">
        <v>24</v>
      </c>
      <c r="Q648">
        <v>4</v>
      </c>
      <c r="R648" t="s">
        <v>30</v>
      </c>
      <c r="S648" t="s">
        <v>15</v>
      </c>
      <c r="T648" t="s">
        <v>32</v>
      </c>
    </row>
    <row r="649" spans="1:20" x14ac:dyDescent="0.3">
      <c r="A649" t="s">
        <v>698</v>
      </c>
      <c r="B649">
        <v>39</v>
      </c>
      <c r="C649" t="s">
        <v>18</v>
      </c>
      <c r="D649" t="s">
        <v>61</v>
      </c>
      <c r="E649" t="s">
        <v>35</v>
      </c>
      <c r="F649">
        <v>29</v>
      </c>
      <c r="G649" t="s">
        <v>36</v>
      </c>
      <c r="H649">
        <v>37</v>
      </c>
      <c r="I649">
        <v>1</v>
      </c>
      <c r="J649">
        <v>3</v>
      </c>
      <c r="K649" t="s">
        <v>47</v>
      </c>
      <c r="L649" t="s">
        <v>68</v>
      </c>
      <c r="M649" t="s">
        <v>11</v>
      </c>
      <c r="N649" t="s">
        <v>12</v>
      </c>
      <c r="O649">
        <v>3</v>
      </c>
      <c r="P649" t="s">
        <v>24</v>
      </c>
      <c r="Q649">
        <v>4</v>
      </c>
      <c r="R649" t="s">
        <v>14</v>
      </c>
      <c r="S649" t="s">
        <v>15</v>
      </c>
      <c r="T649" t="s">
        <v>32</v>
      </c>
    </row>
    <row r="650" spans="1:20" x14ac:dyDescent="0.3">
      <c r="A650" t="s">
        <v>699</v>
      </c>
      <c r="B650">
        <v>41</v>
      </c>
      <c r="C650" t="s">
        <v>18</v>
      </c>
      <c r="D650" t="s">
        <v>57</v>
      </c>
      <c r="E650" t="s">
        <v>20</v>
      </c>
      <c r="F650">
        <v>13</v>
      </c>
      <c r="G650" t="s">
        <v>21</v>
      </c>
      <c r="H650">
        <v>33</v>
      </c>
      <c r="I650">
        <v>10</v>
      </c>
      <c r="J650">
        <v>3</v>
      </c>
      <c r="K650" t="s">
        <v>47</v>
      </c>
      <c r="L650" t="s">
        <v>10</v>
      </c>
      <c r="M650" t="s">
        <v>11</v>
      </c>
      <c r="N650" t="s">
        <v>12</v>
      </c>
      <c r="O650">
        <v>4</v>
      </c>
      <c r="P650" t="s">
        <v>24</v>
      </c>
      <c r="Q650">
        <v>5</v>
      </c>
      <c r="R650" t="s">
        <v>14</v>
      </c>
      <c r="S650" t="s">
        <v>15</v>
      </c>
      <c r="T650" t="s">
        <v>25</v>
      </c>
    </row>
    <row r="651" spans="1:20" x14ac:dyDescent="0.3">
      <c r="A651" t="s">
        <v>700</v>
      </c>
      <c r="B651">
        <v>58</v>
      </c>
      <c r="C651" t="s">
        <v>34</v>
      </c>
      <c r="D651" t="s">
        <v>40</v>
      </c>
      <c r="E651" t="s">
        <v>41</v>
      </c>
      <c r="F651">
        <v>31</v>
      </c>
      <c r="G651" t="s">
        <v>36</v>
      </c>
      <c r="H651">
        <v>27</v>
      </c>
      <c r="I651">
        <v>13</v>
      </c>
      <c r="J651">
        <v>5</v>
      </c>
      <c r="K651" t="s">
        <v>47</v>
      </c>
      <c r="L651" t="s">
        <v>22</v>
      </c>
      <c r="M651" t="s">
        <v>11</v>
      </c>
      <c r="N651" t="s">
        <v>23</v>
      </c>
      <c r="O651">
        <v>4</v>
      </c>
      <c r="P651" t="s">
        <v>24</v>
      </c>
      <c r="Q651">
        <v>3</v>
      </c>
      <c r="R651" t="s">
        <v>14</v>
      </c>
      <c r="S651" t="s">
        <v>15</v>
      </c>
      <c r="T651" t="s">
        <v>25</v>
      </c>
    </row>
    <row r="652" spans="1:20" x14ac:dyDescent="0.3">
      <c r="A652" t="s">
        <v>701</v>
      </c>
      <c r="B652">
        <v>25</v>
      </c>
      <c r="C652" t="s">
        <v>18</v>
      </c>
      <c r="D652" t="s">
        <v>27</v>
      </c>
      <c r="E652" t="s">
        <v>41</v>
      </c>
      <c r="F652">
        <v>1</v>
      </c>
      <c r="G652" t="s">
        <v>21</v>
      </c>
      <c r="H652">
        <v>39</v>
      </c>
      <c r="I652">
        <v>6</v>
      </c>
      <c r="J652">
        <v>4</v>
      </c>
      <c r="K652" t="s">
        <v>47</v>
      </c>
      <c r="L652" t="s">
        <v>22</v>
      </c>
      <c r="M652" t="s">
        <v>38</v>
      </c>
      <c r="N652" t="s">
        <v>12</v>
      </c>
      <c r="O652">
        <v>2</v>
      </c>
      <c r="P652" t="s">
        <v>13</v>
      </c>
      <c r="Q652">
        <v>5</v>
      </c>
      <c r="R652" t="s">
        <v>49</v>
      </c>
      <c r="S652" t="s">
        <v>42</v>
      </c>
      <c r="T652" t="s">
        <v>58</v>
      </c>
    </row>
    <row r="653" spans="1:20" x14ac:dyDescent="0.3">
      <c r="A653" t="s">
        <v>702</v>
      </c>
      <c r="B653">
        <v>26</v>
      </c>
      <c r="C653" t="s">
        <v>34</v>
      </c>
      <c r="D653" t="s">
        <v>6</v>
      </c>
      <c r="E653" t="s">
        <v>64</v>
      </c>
      <c r="F653">
        <v>9</v>
      </c>
      <c r="G653" t="s">
        <v>36</v>
      </c>
      <c r="H653">
        <v>45</v>
      </c>
      <c r="I653">
        <v>0</v>
      </c>
      <c r="J653">
        <v>2</v>
      </c>
      <c r="K653" t="s">
        <v>9</v>
      </c>
      <c r="L653" t="s">
        <v>68</v>
      </c>
      <c r="M653" t="s">
        <v>38</v>
      </c>
      <c r="N653" t="s">
        <v>12</v>
      </c>
      <c r="O653">
        <v>4</v>
      </c>
      <c r="P653" t="s">
        <v>24</v>
      </c>
      <c r="Q653">
        <v>5</v>
      </c>
      <c r="R653" t="s">
        <v>14</v>
      </c>
      <c r="S653" t="s">
        <v>31</v>
      </c>
      <c r="T653" t="s">
        <v>55</v>
      </c>
    </row>
    <row r="654" spans="1:20" x14ac:dyDescent="0.3">
      <c r="A654" t="s">
        <v>703</v>
      </c>
      <c r="B654">
        <v>23</v>
      </c>
      <c r="C654" t="s">
        <v>34</v>
      </c>
      <c r="D654" t="s">
        <v>63</v>
      </c>
      <c r="E654" t="s">
        <v>28</v>
      </c>
      <c r="F654">
        <v>21</v>
      </c>
      <c r="G654" t="s">
        <v>21</v>
      </c>
      <c r="H654">
        <v>57</v>
      </c>
      <c r="I654">
        <v>5</v>
      </c>
      <c r="J654">
        <v>1</v>
      </c>
      <c r="K654" t="s">
        <v>47</v>
      </c>
      <c r="L654" t="s">
        <v>22</v>
      </c>
      <c r="M654" t="s">
        <v>11</v>
      </c>
      <c r="N654" t="s">
        <v>29</v>
      </c>
      <c r="O654">
        <v>4</v>
      </c>
      <c r="P654" t="s">
        <v>13</v>
      </c>
      <c r="Q654">
        <v>4</v>
      </c>
      <c r="R654" t="s">
        <v>49</v>
      </c>
      <c r="S654" t="s">
        <v>42</v>
      </c>
      <c r="T654" t="s">
        <v>32</v>
      </c>
    </row>
    <row r="655" spans="1:20" x14ac:dyDescent="0.3">
      <c r="A655" t="s">
        <v>704</v>
      </c>
      <c r="B655">
        <v>45</v>
      </c>
      <c r="C655" t="s">
        <v>34</v>
      </c>
      <c r="D655" t="s">
        <v>19</v>
      </c>
      <c r="E655" t="s">
        <v>20</v>
      </c>
      <c r="F655">
        <v>5</v>
      </c>
      <c r="G655" t="s">
        <v>21</v>
      </c>
      <c r="H655">
        <v>27</v>
      </c>
      <c r="I655">
        <v>9</v>
      </c>
      <c r="J655">
        <v>3</v>
      </c>
      <c r="K655" t="s">
        <v>37</v>
      </c>
      <c r="L655" t="s">
        <v>68</v>
      </c>
      <c r="M655" t="s">
        <v>38</v>
      </c>
      <c r="N655" t="s">
        <v>29</v>
      </c>
      <c r="O655">
        <v>2</v>
      </c>
      <c r="P655" t="s">
        <v>48</v>
      </c>
      <c r="Q655">
        <v>5</v>
      </c>
      <c r="R655" t="s">
        <v>49</v>
      </c>
      <c r="S655" t="s">
        <v>15</v>
      </c>
      <c r="T655" t="s">
        <v>16</v>
      </c>
    </row>
    <row r="656" spans="1:20" x14ac:dyDescent="0.3">
      <c r="A656" t="s">
        <v>705</v>
      </c>
      <c r="B656">
        <v>55</v>
      </c>
      <c r="C656" t="s">
        <v>34</v>
      </c>
      <c r="D656" t="s">
        <v>27</v>
      </c>
      <c r="E656" t="s">
        <v>64</v>
      </c>
      <c r="F656">
        <v>1</v>
      </c>
      <c r="G656" t="s">
        <v>8</v>
      </c>
      <c r="H656">
        <v>44</v>
      </c>
      <c r="I656">
        <v>5</v>
      </c>
      <c r="J656">
        <v>2</v>
      </c>
      <c r="K656" t="s">
        <v>37</v>
      </c>
      <c r="L656" t="s">
        <v>22</v>
      </c>
      <c r="M656" t="s">
        <v>38</v>
      </c>
      <c r="N656" t="s">
        <v>23</v>
      </c>
      <c r="O656">
        <v>2</v>
      </c>
      <c r="P656" t="s">
        <v>24</v>
      </c>
      <c r="Q656">
        <v>1</v>
      </c>
      <c r="R656" t="s">
        <v>14</v>
      </c>
      <c r="S656" t="s">
        <v>31</v>
      </c>
      <c r="T656" t="s">
        <v>25</v>
      </c>
    </row>
    <row r="657" spans="1:20" x14ac:dyDescent="0.3">
      <c r="A657" t="s">
        <v>706</v>
      </c>
      <c r="B657">
        <v>23</v>
      </c>
      <c r="C657" t="s">
        <v>34</v>
      </c>
      <c r="D657" t="s">
        <v>61</v>
      </c>
      <c r="E657" t="s">
        <v>28</v>
      </c>
      <c r="F657">
        <v>1</v>
      </c>
      <c r="G657" t="s">
        <v>21</v>
      </c>
      <c r="H657">
        <v>25</v>
      </c>
      <c r="I657">
        <v>3</v>
      </c>
      <c r="J657">
        <v>5</v>
      </c>
      <c r="K657" t="s">
        <v>37</v>
      </c>
      <c r="L657" t="s">
        <v>30</v>
      </c>
      <c r="M657" t="s">
        <v>38</v>
      </c>
      <c r="N657" t="s">
        <v>12</v>
      </c>
      <c r="O657">
        <v>5</v>
      </c>
      <c r="P657" t="s">
        <v>48</v>
      </c>
      <c r="Q657">
        <v>4</v>
      </c>
      <c r="R657" t="s">
        <v>30</v>
      </c>
      <c r="S657" t="s">
        <v>42</v>
      </c>
      <c r="T657" t="s">
        <v>32</v>
      </c>
    </row>
    <row r="658" spans="1:20" x14ac:dyDescent="0.3">
      <c r="A658" t="s">
        <v>707</v>
      </c>
      <c r="B658">
        <v>27</v>
      </c>
      <c r="C658" t="s">
        <v>18</v>
      </c>
      <c r="D658" t="s">
        <v>27</v>
      </c>
      <c r="E658" t="s">
        <v>28</v>
      </c>
      <c r="F658">
        <v>14</v>
      </c>
      <c r="G658" t="s">
        <v>8</v>
      </c>
      <c r="H658">
        <v>46</v>
      </c>
      <c r="I658">
        <v>5</v>
      </c>
      <c r="J658">
        <v>1</v>
      </c>
      <c r="K658" t="s">
        <v>9</v>
      </c>
      <c r="L658" t="s">
        <v>68</v>
      </c>
      <c r="M658" t="s">
        <v>11</v>
      </c>
      <c r="N658" t="s">
        <v>12</v>
      </c>
      <c r="O658">
        <v>3</v>
      </c>
      <c r="P658" t="s">
        <v>13</v>
      </c>
      <c r="Q658">
        <v>4</v>
      </c>
      <c r="R658" t="s">
        <v>49</v>
      </c>
      <c r="S658" t="s">
        <v>15</v>
      </c>
      <c r="T658" t="s">
        <v>55</v>
      </c>
    </row>
    <row r="659" spans="1:20" x14ac:dyDescent="0.3">
      <c r="A659" t="s">
        <v>708</v>
      </c>
      <c r="B659">
        <v>33</v>
      </c>
      <c r="C659" t="s">
        <v>34</v>
      </c>
      <c r="D659" t="s">
        <v>57</v>
      </c>
      <c r="E659" t="s">
        <v>41</v>
      </c>
      <c r="F659">
        <v>12</v>
      </c>
      <c r="G659" t="s">
        <v>21</v>
      </c>
      <c r="H659">
        <v>51</v>
      </c>
      <c r="I659">
        <v>12</v>
      </c>
      <c r="J659">
        <v>1</v>
      </c>
      <c r="K659" t="s">
        <v>47</v>
      </c>
      <c r="L659" t="s">
        <v>68</v>
      </c>
      <c r="M659" t="s">
        <v>38</v>
      </c>
      <c r="N659" t="s">
        <v>23</v>
      </c>
      <c r="O659">
        <v>5</v>
      </c>
      <c r="P659" t="s">
        <v>48</v>
      </c>
      <c r="Q659">
        <v>2</v>
      </c>
      <c r="R659" t="s">
        <v>30</v>
      </c>
      <c r="S659" t="s">
        <v>31</v>
      </c>
      <c r="T659" t="s">
        <v>55</v>
      </c>
    </row>
    <row r="660" spans="1:20" x14ac:dyDescent="0.3">
      <c r="A660" t="s">
        <v>709</v>
      </c>
      <c r="B660">
        <v>54</v>
      </c>
      <c r="C660" t="s">
        <v>5</v>
      </c>
      <c r="D660" t="s">
        <v>6</v>
      </c>
      <c r="E660" t="s">
        <v>64</v>
      </c>
      <c r="F660">
        <v>32</v>
      </c>
      <c r="G660" t="s">
        <v>21</v>
      </c>
      <c r="H660">
        <v>55</v>
      </c>
      <c r="I660">
        <v>5</v>
      </c>
      <c r="J660">
        <v>5</v>
      </c>
      <c r="K660" t="s">
        <v>47</v>
      </c>
      <c r="L660" t="s">
        <v>30</v>
      </c>
      <c r="M660" t="s">
        <v>38</v>
      </c>
      <c r="N660" t="s">
        <v>29</v>
      </c>
      <c r="O660">
        <v>4</v>
      </c>
      <c r="P660" t="s">
        <v>24</v>
      </c>
      <c r="Q660">
        <v>4</v>
      </c>
      <c r="R660" t="s">
        <v>14</v>
      </c>
      <c r="S660" t="s">
        <v>15</v>
      </c>
      <c r="T660" t="s">
        <v>16</v>
      </c>
    </row>
    <row r="661" spans="1:20" x14ac:dyDescent="0.3">
      <c r="A661" t="s">
        <v>710</v>
      </c>
      <c r="B661">
        <v>47</v>
      </c>
      <c r="C661" t="s">
        <v>5</v>
      </c>
      <c r="D661" t="s">
        <v>27</v>
      </c>
      <c r="E661" t="s">
        <v>64</v>
      </c>
      <c r="F661">
        <v>9</v>
      </c>
      <c r="G661" t="s">
        <v>36</v>
      </c>
      <c r="H661">
        <v>54</v>
      </c>
      <c r="I661">
        <v>14</v>
      </c>
      <c r="J661">
        <v>4</v>
      </c>
      <c r="K661" t="s">
        <v>37</v>
      </c>
      <c r="L661" t="s">
        <v>68</v>
      </c>
      <c r="M661" t="s">
        <v>38</v>
      </c>
      <c r="N661" t="s">
        <v>12</v>
      </c>
      <c r="O661">
        <v>5</v>
      </c>
      <c r="P661" t="s">
        <v>48</v>
      </c>
      <c r="Q661">
        <v>3</v>
      </c>
      <c r="R661" t="s">
        <v>49</v>
      </c>
      <c r="S661" t="s">
        <v>15</v>
      </c>
      <c r="T661" t="s">
        <v>16</v>
      </c>
    </row>
    <row r="662" spans="1:20" x14ac:dyDescent="0.3">
      <c r="A662" t="s">
        <v>711</v>
      </c>
      <c r="B662">
        <v>48</v>
      </c>
      <c r="C662" t="s">
        <v>46</v>
      </c>
      <c r="D662" t="s">
        <v>27</v>
      </c>
      <c r="E662" t="s">
        <v>20</v>
      </c>
      <c r="F662">
        <v>3</v>
      </c>
      <c r="G662" t="s">
        <v>36</v>
      </c>
      <c r="H662">
        <v>34</v>
      </c>
      <c r="I662">
        <v>11</v>
      </c>
      <c r="J662">
        <v>3</v>
      </c>
      <c r="K662" t="s">
        <v>37</v>
      </c>
      <c r="L662" t="s">
        <v>68</v>
      </c>
      <c r="M662" t="s">
        <v>38</v>
      </c>
      <c r="N662" t="s">
        <v>23</v>
      </c>
      <c r="O662">
        <v>4</v>
      </c>
      <c r="P662" t="s">
        <v>24</v>
      </c>
      <c r="Q662">
        <v>3</v>
      </c>
      <c r="R662" t="s">
        <v>30</v>
      </c>
      <c r="S662" t="s">
        <v>31</v>
      </c>
      <c r="T662" t="s">
        <v>58</v>
      </c>
    </row>
    <row r="663" spans="1:20" x14ac:dyDescent="0.3">
      <c r="A663" t="s">
        <v>712</v>
      </c>
      <c r="B663">
        <v>35</v>
      </c>
      <c r="C663" t="s">
        <v>18</v>
      </c>
      <c r="D663" t="s">
        <v>61</v>
      </c>
      <c r="E663" t="s">
        <v>64</v>
      </c>
      <c r="F663">
        <v>2</v>
      </c>
      <c r="G663" t="s">
        <v>8</v>
      </c>
      <c r="H663">
        <v>32</v>
      </c>
      <c r="I663">
        <v>9</v>
      </c>
      <c r="J663">
        <v>1</v>
      </c>
      <c r="K663" t="s">
        <v>47</v>
      </c>
      <c r="L663" t="s">
        <v>30</v>
      </c>
      <c r="M663" t="s">
        <v>38</v>
      </c>
      <c r="N663" t="s">
        <v>12</v>
      </c>
      <c r="O663">
        <v>2</v>
      </c>
      <c r="P663" t="s">
        <v>24</v>
      </c>
      <c r="Q663">
        <v>1</v>
      </c>
      <c r="R663" t="s">
        <v>30</v>
      </c>
      <c r="S663" t="s">
        <v>42</v>
      </c>
      <c r="T663" t="s">
        <v>25</v>
      </c>
    </row>
    <row r="664" spans="1:20" x14ac:dyDescent="0.3">
      <c r="A664" t="s">
        <v>713</v>
      </c>
      <c r="B664">
        <v>43</v>
      </c>
      <c r="C664" t="s">
        <v>34</v>
      </c>
      <c r="D664" t="s">
        <v>27</v>
      </c>
      <c r="E664" t="s">
        <v>64</v>
      </c>
      <c r="F664">
        <v>32</v>
      </c>
      <c r="G664" t="s">
        <v>21</v>
      </c>
      <c r="H664">
        <v>23</v>
      </c>
      <c r="I664">
        <v>10</v>
      </c>
      <c r="J664">
        <v>5</v>
      </c>
      <c r="K664" t="s">
        <v>47</v>
      </c>
      <c r="L664" t="s">
        <v>68</v>
      </c>
      <c r="M664" t="s">
        <v>11</v>
      </c>
      <c r="N664" t="s">
        <v>23</v>
      </c>
      <c r="O664">
        <v>4</v>
      </c>
      <c r="P664" t="s">
        <v>24</v>
      </c>
      <c r="Q664">
        <v>5</v>
      </c>
      <c r="R664" t="s">
        <v>49</v>
      </c>
      <c r="S664" t="s">
        <v>15</v>
      </c>
      <c r="T664" t="s">
        <v>44</v>
      </c>
    </row>
    <row r="665" spans="1:20" x14ac:dyDescent="0.3">
      <c r="A665" t="s">
        <v>714</v>
      </c>
      <c r="B665">
        <v>43</v>
      </c>
      <c r="C665" t="s">
        <v>18</v>
      </c>
      <c r="D665" t="s">
        <v>40</v>
      </c>
      <c r="E665" t="s">
        <v>64</v>
      </c>
      <c r="F665">
        <v>23</v>
      </c>
      <c r="G665" t="s">
        <v>21</v>
      </c>
      <c r="H665">
        <v>22</v>
      </c>
      <c r="I665">
        <v>8</v>
      </c>
      <c r="J665">
        <v>1</v>
      </c>
      <c r="K665" t="s">
        <v>37</v>
      </c>
      <c r="L665" t="s">
        <v>68</v>
      </c>
      <c r="M665" t="s">
        <v>11</v>
      </c>
      <c r="N665" t="s">
        <v>29</v>
      </c>
      <c r="O665">
        <v>1</v>
      </c>
      <c r="P665" t="s">
        <v>13</v>
      </c>
      <c r="Q665">
        <v>5</v>
      </c>
      <c r="R665" t="s">
        <v>49</v>
      </c>
      <c r="S665" t="s">
        <v>15</v>
      </c>
      <c r="T665" t="s">
        <v>58</v>
      </c>
    </row>
    <row r="666" spans="1:20" x14ac:dyDescent="0.3">
      <c r="A666" t="s">
        <v>715</v>
      </c>
      <c r="B666">
        <v>46</v>
      </c>
      <c r="C666" t="s">
        <v>46</v>
      </c>
      <c r="D666" t="s">
        <v>57</v>
      </c>
      <c r="E666" t="s">
        <v>41</v>
      </c>
      <c r="F666">
        <v>25</v>
      </c>
      <c r="G666" t="s">
        <v>36</v>
      </c>
      <c r="H666">
        <v>36</v>
      </c>
      <c r="I666">
        <v>2</v>
      </c>
      <c r="J666">
        <v>1</v>
      </c>
      <c r="K666" t="s">
        <v>37</v>
      </c>
      <c r="L666" t="s">
        <v>22</v>
      </c>
      <c r="M666" t="s">
        <v>38</v>
      </c>
      <c r="N666" t="s">
        <v>12</v>
      </c>
      <c r="O666">
        <v>2</v>
      </c>
      <c r="P666" t="s">
        <v>13</v>
      </c>
      <c r="Q666">
        <v>3</v>
      </c>
      <c r="R666" t="s">
        <v>49</v>
      </c>
      <c r="S666" t="s">
        <v>31</v>
      </c>
      <c r="T666" t="s">
        <v>44</v>
      </c>
    </row>
    <row r="667" spans="1:20" x14ac:dyDescent="0.3">
      <c r="A667" t="s">
        <v>716</v>
      </c>
      <c r="B667">
        <v>38</v>
      </c>
      <c r="C667" t="s">
        <v>5</v>
      </c>
      <c r="D667" t="s">
        <v>63</v>
      </c>
      <c r="E667" t="s">
        <v>64</v>
      </c>
      <c r="F667">
        <v>29</v>
      </c>
      <c r="G667" t="s">
        <v>36</v>
      </c>
      <c r="H667">
        <v>50</v>
      </c>
      <c r="I667">
        <v>3</v>
      </c>
      <c r="J667">
        <v>5</v>
      </c>
      <c r="K667" t="s">
        <v>47</v>
      </c>
      <c r="L667" t="s">
        <v>10</v>
      </c>
      <c r="M667" t="s">
        <v>11</v>
      </c>
      <c r="N667" t="s">
        <v>29</v>
      </c>
      <c r="O667">
        <v>4</v>
      </c>
      <c r="P667" t="s">
        <v>48</v>
      </c>
      <c r="Q667">
        <v>1</v>
      </c>
      <c r="R667" t="s">
        <v>14</v>
      </c>
      <c r="S667" t="s">
        <v>31</v>
      </c>
      <c r="T667" t="s">
        <v>55</v>
      </c>
    </row>
    <row r="668" spans="1:20" x14ac:dyDescent="0.3">
      <c r="A668" t="s">
        <v>717</v>
      </c>
      <c r="B668">
        <v>22</v>
      </c>
      <c r="C668" t="s">
        <v>18</v>
      </c>
      <c r="D668" t="s">
        <v>6</v>
      </c>
      <c r="E668" t="s">
        <v>64</v>
      </c>
      <c r="F668">
        <v>11</v>
      </c>
      <c r="G668" t="s">
        <v>8</v>
      </c>
      <c r="H668">
        <v>36</v>
      </c>
      <c r="I668">
        <v>13</v>
      </c>
      <c r="J668">
        <v>5</v>
      </c>
      <c r="K668" t="s">
        <v>37</v>
      </c>
      <c r="L668" t="s">
        <v>22</v>
      </c>
      <c r="M668" t="s">
        <v>38</v>
      </c>
      <c r="N668" t="s">
        <v>23</v>
      </c>
      <c r="O668">
        <v>4</v>
      </c>
      <c r="P668" t="s">
        <v>48</v>
      </c>
      <c r="Q668">
        <v>2</v>
      </c>
      <c r="R668" t="s">
        <v>14</v>
      </c>
      <c r="S668" t="s">
        <v>15</v>
      </c>
      <c r="T668" t="s">
        <v>25</v>
      </c>
    </row>
    <row r="669" spans="1:20" x14ac:dyDescent="0.3">
      <c r="A669" t="s">
        <v>718</v>
      </c>
      <c r="B669">
        <v>41</v>
      </c>
      <c r="C669" t="s">
        <v>5</v>
      </c>
      <c r="D669" t="s">
        <v>19</v>
      </c>
      <c r="E669" t="s">
        <v>35</v>
      </c>
      <c r="F669">
        <v>33</v>
      </c>
      <c r="G669" t="s">
        <v>21</v>
      </c>
      <c r="H669">
        <v>39</v>
      </c>
      <c r="I669">
        <v>13</v>
      </c>
      <c r="J669">
        <v>4</v>
      </c>
      <c r="K669" t="s">
        <v>9</v>
      </c>
      <c r="L669" t="s">
        <v>68</v>
      </c>
      <c r="M669" t="s">
        <v>11</v>
      </c>
      <c r="N669" t="s">
        <v>29</v>
      </c>
      <c r="O669">
        <v>5</v>
      </c>
      <c r="P669" t="s">
        <v>48</v>
      </c>
      <c r="Q669">
        <v>3</v>
      </c>
      <c r="R669" t="s">
        <v>14</v>
      </c>
      <c r="S669" t="s">
        <v>15</v>
      </c>
      <c r="T669" t="s">
        <v>32</v>
      </c>
    </row>
    <row r="670" spans="1:20" x14ac:dyDescent="0.3">
      <c r="A670" t="s">
        <v>719</v>
      </c>
      <c r="B670">
        <v>50</v>
      </c>
      <c r="C670" t="s">
        <v>34</v>
      </c>
      <c r="D670" t="s">
        <v>40</v>
      </c>
      <c r="E670" t="s">
        <v>28</v>
      </c>
      <c r="F670">
        <v>31</v>
      </c>
      <c r="G670" t="s">
        <v>8</v>
      </c>
      <c r="H670">
        <v>32</v>
      </c>
      <c r="I670">
        <v>15</v>
      </c>
      <c r="J670">
        <v>5</v>
      </c>
      <c r="K670" t="s">
        <v>9</v>
      </c>
      <c r="L670" t="s">
        <v>30</v>
      </c>
      <c r="M670" t="s">
        <v>38</v>
      </c>
      <c r="N670" t="s">
        <v>29</v>
      </c>
      <c r="O670">
        <v>4</v>
      </c>
      <c r="P670" t="s">
        <v>13</v>
      </c>
      <c r="Q670">
        <v>4</v>
      </c>
      <c r="R670" t="s">
        <v>14</v>
      </c>
      <c r="S670" t="s">
        <v>15</v>
      </c>
      <c r="T670" t="s">
        <v>55</v>
      </c>
    </row>
    <row r="671" spans="1:20" x14ac:dyDescent="0.3">
      <c r="A671" t="s">
        <v>720</v>
      </c>
      <c r="B671">
        <v>50</v>
      </c>
      <c r="C671" t="s">
        <v>46</v>
      </c>
      <c r="D671" t="s">
        <v>57</v>
      </c>
      <c r="E671" t="s">
        <v>51</v>
      </c>
      <c r="F671">
        <v>12</v>
      </c>
      <c r="G671" t="s">
        <v>8</v>
      </c>
      <c r="H671">
        <v>53</v>
      </c>
      <c r="I671">
        <v>10</v>
      </c>
      <c r="J671">
        <v>2</v>
      </c>
      <c r="K671" t="s">
        <v>47</v>
      </c>
      <c r="L671" t="s">
        <v>30</v>
      </c>
      <c r="M671" t="s">
        <v>11</v>
      </c>
      <c r="N671" t="s">
        <v>29</v>
      </c>
      <c r="O671">
        <v>2</v>
      </c>
      <c r="P671" t="s">
        <v>48</v>
      </c>
      <c r="Q671">
        <v>2</v>
      </c>
      <c r="R671" t="s">
        <v>49</v>
      </c>
      <c r="S671" t="s">
        <v>15</v>
      </c>
      <c r="T671" t="s">
        <v>58</v>
      </c>
    </row>
    <row r="672" spans="1:20" x14ac:dyDescent="0.3">
      <c r="A672" t="s">
        <v>721</v>
      </c>
      <c r="B672">
        <v>42</v>
      </c>
      <c r="C672" t="s">
        <v>46</v>
      </c>
      <c r="D672" t="s">
        <v>27</v>
      </c>
      <c r="E672" t="s">
        <v>28</v>
      </c>
      <c r="F672">
        <v>5</v>
      </c>
      <c r="G672" t="s">
        <v>21</v>
      </c>
      <c r="H672">
        <v>57</v>
      </c>
      <c r="I672">
        <v>12</v>
      </c>
      <c r="J672">
        <v>5</v>
      </c>
      <c r="K672" t="s">
        <v>9</v>
      </c>
      <c r="L672" t="s">
        <v>10</v>
      </c>
      <c r="M672" t="s">
        <v>38</v>
      </c>
      <c r="N672" t="s">
        <v>12</v>
      </c>
      <c r="O672">
        <v>1</v>
      </c>
      <c r="P672" t="s">
        <v>13</v>
      </c>
      <c r="Q672">
        <v>4</v>
      </c>
      <c r="R672" t="s">
        <v>14</v>
      </c>
      <c r="S672" t="s">
        <v>15</v>
      </c>
      <c r="T672" t="s">
        <v>16</v>
      </c>
    </row>
    <row r="673" spans="1:20" x14ac:dyDescent="0.3">
      <c r="A673" t="s">
        <v>722</v>
      </c>
      <c r="B673">
        <v>22</v>
      </c>
      <c r="C673" t="s">
        <v>5</v>
      </c>
      <c r="D673" t="s">
        <v>61</v>
      </c>
      <c r="E673" t="s">
        <v>64</v>
      </c>
      <c r="F673">
        <v>27</v>
      </c>
      <c r="G673" t="s">
        <v>21</v>
      </c>
      <c r="H673">
        <v>25</v>
      </c>
      <c r="I673">
        <v>12</v>
      </c>
      <c r="J673">
        <v>4</v>
      </c>
      <c r="K673" t="s">
        <v>37</v>
      </c>
      <c r="L673" t="s">
        <v>68</v>
      </c>
      <c r="M673" t="s">
        <v>38</v>
      </c>
      <c r="N673" t="s">
        <v>23</v>
      </c>
      <c r="O673">
        <v>4</v>
      </c>
      <c r="P673" t="s">
        <v>24</v>
      </c>
      <c r="Q673">
        <v>2</v>
      </c>
      <c r="R673" t="s">
        <v>14</v>
      </c>
      <c r="S673" t="s">
        <v>31</v>
      </c>
      <c r="T673" t="s">
        <v>16</v>
      </c>
    </row>
    <row r="674" spans="1:20" x14ac:dyDescent="0.3">
      <c r="A674" t="s">
        <v>723</v>
      </c>
      <c r="B674">
        <v>60</v>
      </c>
      <c r="C674" t="s">
        <v>18</v>
      </c>
      <c r="D674" t="s">
        <v>40</v>
      </c>
      <c r="E674" t="s">
        <v>20</v>
      </c>
      <c r="F674">
        <v>6</v>
      </c>
      <c r="G674" t="s">
        <v>36</v>
      </c>
      <c r="H674">
        <v>25</v>
      </c>
      <c r="I674">
        <v>6</v>
      </c>
      <c r="J674">
        <v>3</v>
      </c>
      <c r="K674" t="s">
        <v>9</v>
      </c>
      <c r="L674" t="s">
        <v>10</v>
      </c>
      <c r="M674" t="s">
        <v>38</v>
      </c>
      <c r="N674" t="s">
        <v>23</v>
      </c>
      <c r="O674">
        <v>2</v>
      </c>
      <c r="P674" t="s">
        <v>13</v>
      </c>
      <c r="Q674">
        <v>1</v>
      </c>
      <c r="R674" t="s">
        <v>30</v>
      </c>
      <c r="S674" t="s">
        <v>31</v>
      </c>
      <c r="T674" t="s">
        <v>25</v>
      </c>
    </row>
    <row r="675" spans="1:20" x14ac:dyDescent="0.3">
      <c r="A675" t="s">
        <v>724</v>
      </c>
      <c r="B675">
        <v>58</v>
      </c>
      <c r="C675" t="s">
        <v>46</v>
      </c>
      <c r="D675" t="s">
        <v>40</v>
      </c>
      <c r="E675" t="s">
        <v>51</v>
      </c>
      <c r="F675">
        <v>2</v>
      </c>
      <c r="G675" t="s">
        <v>21</v>
      </c>
      <c r="H675">
        <v>25</v>
      </c>
      <c r="I675">
        <v>7</v>
      </c>
      <c r="J675">
        <v>2</v>
      </c>
      <c r="K675" t="s">
        <v>47</v>
      </c>
      <c r="L675" t="s">
        <v>30</v>
      </c>
      <c r="M675" t="s">
        <v>11</v>
      </c>
      <c r="N675" t="s">
        <v>12</v>
      </c>
      <c r="O675">
        <v>4</v>
      </c>
      <c r="P675" t="s">
        <v>48</v>
      </c>
      <c r="Q675">
        <v>2</v>
      </c>
      <c r="R675" t="s">
        <v>14</v>
      </c>
      <c r="S675" t="s">
        <v>31</v>
      </c>
      <c r="T675" t="s">
        <v>25</v>
      </c>
    </row>
    <row r="676" spans="1:20" x14ac:dyDescent="0.3">
      <c r="A676" t="s">
        <v>725</v>
      </c>
      <c r="B676">
        <v>32</v>
      </c>
      <c r="C676" t="s">
        <v>5</v>
      </c>
      <c r="D676" t="s">
        <v>6</v>
      </c>
      <c r="E676" t="s">
        <v>20</v>
      </c>
      <c r="F676">
        <v>33</v>
      </c>
      <c r="G676" t="s">
        <v>21</v>
      </c>
      <c r="H676">
        <v>52</v>
      </c>
      <c r="I676">
        <v>3</v>
      </c>
      <c r="J676">
        <v>4</v>
      </c>
      <c r="K676" t="s">
        <v>37</v>
      </c>
      <c r="L676" t="s">
        <v>10</v>
      </c>
      <c r="M676" t="s">
        <v>11</v>
      </c>
      <c r="N676" t="s">
        <v>23</v>
      </c>
      <c r="O676">
        <v>3</v>
      </c>
      <c r="P676" t="s">
        <v>24</v>
      </c>
      <c r="Q676">
        <v>2</v>
      </c>
      <c r="R676" t="s">
        <v>49</v>
      </c>
      <c r="S676" t="s">
        <v>31</v>
      </c>
      <c r="T676" t="s">
        <v>16</v>
      </c>
    </row>
    <row r="677" spans="1:20" x14ac:dyDescent="0.3">
      <c r="A677" t="s">
        <v>726</v>
      </c>
      <c r="B677">
        <v>32</v>
      </c>
      <c r="C677" t="s">
        <v>34</v>
      </c>
      <c r="D677" t="s">
        <v>40</v>
      </c>
      <c r="E677" t="s">
        <v>51</v>
      </c>
      <c r="F677">
        <v>6</v>
      </c>
      <c r="G677" t="s">
        <v>8</v>
      </c>
      <c r="H677">
        <v>44</v>
      </c>
      <c r="I677">
        <v>15</v>
      </c>
      <c r="J677">
        <v>2</v>
      </c>
      <c r="K677" t="s">
        <v>9</v>
      </c>
      <c r="L677" t="s">
        <v>22</v>
      </c>
      <c r="M677" t="s">
        <v>38</v>
      </c>
      <c r="N677" t="s">
        <v>29</v>
      </c>
      <c r="O677">
        <v>4</v>
      </c>
      <c r="P677" t="s">
        <v>13</v>
      </c>
      <c r="Q677">
        <v>2</v>
      </c>
      <c r="R677" t="s">
        <v>49</v>
      </c>
      <c r="S677" t="s">
        <v>42</v>
      </c>
      <c r="T677" t="s">
        <v>55</v>
      </c>
    </row>
    <row r="678" spans="1:20" x14ac:dyDescent="0.3">
      <c r="A678" t="s">
        <v>727</v>
      </c>
      <c r="B678">
        <v>44</v>
      </c>
      <c r="C678" t="s">
        <v>18</v>
      </c>
      <c r="D678" t="s">
        <v>40</v>
      </c>
      <c r="E678" t="s">
        <v>7</v>
      </c>
      <c r="F678">
        <v>20</v>
      </c>
      <c r="G678" t="s">
        <v>21</v>
      </c>
      <c r="H678">
        <v>27</v>
      </c>
      <c r="I678">
        <v>7</v>
      </c>
      <c r="J678">
        <v>1</v>
      </c>
      <c r="K678" t="s">
        <v>37</v>
      </c>
      <c r="L678" t="s">
        <v>10</v>
      </c>
      <c r="M678" t="s">
        <v>11</v>
      </c>
      <c r="N678" t="s">
        <v>12</v>
      </c>
      <c r="O678">
        <v>5</v>
      </c>
      <c r="P678" t="s">
        <v>48</v>
      </c>
      <c r="Q678">
        <v>5</v>
      </c>
      <c r="R678" t="s">
        <v>49</v>
      </c>
      <c r="S678" t="s">
        <v>42</v>
      </c>
      <c r="T678" t="s">
        <v>32</v>
      </c>
    </row>
    <row r="679" spans="1:20" x14ac:dyDescent="0.3">
      <c r="A679" t="s">
        <v>728</v>
      </c>
      <c r="B679">
        <v>42</v>
      </c>
      <c r="C679" t="s">
        <v>46</v>
      </c>
      <c r="D679" t="s">
        <v>27</v>
      </c>
      <c r="E679" t="s">
        <v>64</v>
      </c>
      <c r="F679">
        <v>30</v>
      </c>
      <c r="G679" t="s">
        <v>21</v>
      </c>
      <c r="H679">
        <v>37</v>
      </c>
      <c r="I679">
        <v>15</v>
      </c>
      <c r="J679">
        <v>2</v>
      </c>
      <c r="K679" t="s">
        <v>9</v>
      </c>
      <c r="L679" t="s">
        <v>10</v>
      </c>
      <c r="M679" t="s">
        <v>38</v>
      </c>
      <c r="N679" t="s">
        <v>23</v>
      </c>
      <c r="O679">
        <v>2</v>
      </c>
      <c r="P679" t="s">
        <v>48</v>
      </c>
      <c r="Q679">
        <v>3</v>
      </c>
      <c r="R679" t="s">
        <v>14</v>
      </c>
      <c r="S679" t="s">
        <v>31</v>
      </c>
      <c r="T679" t="s">
        <v>58</v>
      </c>
    </row>
    <row r="680" spans="1:20" x14ac:dyDescent="0.3">
      <c r="A680" t="s">
        <v>729</v>
      </c>
      <c r="B680">
        <v>25</v>
      </c>
      <c r="C680" t="s">
        <v>46</v>
      </c>
      <c r="D680" t="s">
        <v>6</v>
      </c>
      <c r="E680" t="s">
        <v>20</v>
      </c>
      <c r="F680">
        <v>33</v>
      </c>
      <c r="G680" t="s">
        <v>36</v>
      </c>
      <c r="H680">
        <v>39</v>
      </c>
      <c r="I680">
        <v>15</v>
      </c>
      <c r="J680">
        <v>3</v>
      </c>
      <c r="K680" t="s">
        <v>9</v>
      </c>
      <c r="L680" t="s">
        <v>30</v>
      </c>
      <c r="M680" t="s">
        <v>38</v>
      </c>
      <c r="N680" t="s">
        <v>23</v>
      </c>
      <c r="O680">
        <v>2</v>
      </c>
      <c r="P680" t="s">
        <v>24</v>
      </c>
      <c r="Q680">
        <v>3</v>
      </c>
      <c r="R680" t="s">
        <v>30</v>
      </c>
      <c r="S680" t="s">
        <v>42</v>
      </c>
      <c r="T680" t="s">
        <v>44</v>
      </c>
    </row>
    <row r="681" spans="1:20" x14ac:dyDescent="0.3">
      <c r="A681" t="s">
        <v>730</v>
      </c>
      <c r="B681">
        <v>43</v>
      </c>
      <c r="C681" t="s">
        <v>34</v>
      </c>
      <c r="D681" t="s">
        <v>19</v>
      </c>
      <c r="E681" t="s">
        <v>41</v>
      </c>
      <c r="F681">
        <v>32</v>
      </c>
      <c r="G681" t="s">
        <v>8</v>
      </c>
      <c r="H681">
        <v>40</v>
      </c>
      <c r="I681">
        <v>7</v>
      </c>
      <c r="J681">
        <v>4</v>
      </c>
      <c r="K681" t="s">
        <v>9</v>
      </c>
      <c r="L681" t="s">
        <v>10</v>
      </c>
      <c r="M681" t="s">
        <v>11</v>
      </c>
      <c r="N681" t="s">
        <v>29</v>
      </c>
      <c r="O681">
        <v>5</v>
      </c>
      <c r="P681" t="s">
        <v>13</v>
      </c>
      <c r="Q681">
        <v>1</v>
      </c>
      <c r="R681" t="s">
        <v>14</v>
      </c>
      <c r="S681" t="s">
        <v>42</v>
      </c>
      <c r="T681" t="s">
        <v>16</v>
      </c>
    </row>
    <row r="682" spans="1:20" x14ac:dyDescent="0.3">
      <c r="A682" t="s">
        <v>731</v>
      </c>
      <c r="B682">
        <v>39</v>
      </c>
      <c r="C682" t="s">
        <v>34</v>
      </c>
      <c r="D682" t="s">
        <v>63</v>
      </c>
      <c r="E682" t="s">
        <v>35</v>
      </c>
      <c r="F682">
        <v>1</v>
      </c>
      <c r="G682" t="s">
        <v>8</v>
      </c>
      <c r="H682">
        <v>60</v>
      </c>
      <c r="I682">
        <v>5</v>
      </c>
      <c r="J682">
        <v>5</v>
      </c>
      <c r="K682" t="s">
        <v>37</v>
      </c>
      <c r="L682" t="s">
        <v>10</v>
      </c>
      <c r="M682" t="s">
        <v>11</v>
      </c>
      <c r="N682" t="s">
        <v>29</v>
      </c>
      <c r="O682">
        <v>4</v>
      </c>
      <c r="P682" t="s">
        <v>24</v>
      </c>
      <c r="Q682">
        <v>3</v>
      </c>
      <c r="R682" t="s">
        <v>49</v>
      </c>
      <c r="S682" t="s">
        <v>31</v>
      </c>
      <c r="T682" t="s">
        <v>55</v>
      </c>
    </row>
    <row r="683" spans="1:20" x14ac:dyDescent="0.3">
      <c r="A683" t="s">
        <v>732</v>
      </c>
      <c r="B683">
        <v>53</v>
      </c>
      <c r="C683" t="s">
        <v>46</v>
      </c>
      <c r="D683" t="s">
        <v>19</v>
      </c>
      <c r="E683" t="s">
        <v>20</v>
      </c>
      <c r="F683">
        <v>10</v>
      </c>
      <c r="G683" t="s">
        <v>36</v>
      </c>
      <c r="H683">
        <v>53</v>
      </c>
      <c r="I683">
        <v>15</v>
      </c>
      <c r="J683">
        <v>4</v>
      </c>
      <c r="K683" t="s">
        <v>9</v>
      </c>
      <c r="L683" t="s">
        <v>68</v>
      </c>
      <c r="M683" t="s">
        <v>38</v>
      </c>
      <c r="N683" t="s">
        <v>23</v>
      </c>
      <c r="O683">
        <v>3</v>
      </c>
      <c r="P683" t="s">
        <v>48</v>
      </c>
      <c r="Q683">
        <v>4</v>
      </c>
      <c r="R683" t="s">
        <v>49</v>
      </c>
      <c r="S683" t="s">
        <v>42</v>
      </c>
      <c r="T683" t="s">
        <v>55</v>
      </c>
    </row>
    <row r="684" spans="1:20" x14ac:dyDescent="0.3">
      <c r="A684" t="s">
        <v>733</v>
      </c>
      <c r="B684">
        <v>30</v>
      </c>
      <c r="C684" t="s">
        <v>46</v>
      </c>
      <c r="D684" t="s">
        <v>40</v>
      </c>
      <c r="E684" t="s">
        <v>41</v>
      </c>
      <c r="F684">
        <v>1</v>
      </c>
      <c r="G684" t="s">
        <v>36</v>
      </c>
      <c r="H684">
        <v>35</v>
      </c>
      <c r="I684">
        <v>8</v>
      </c>
      <c r="J684">
        <v>5</v>
      </c>
      <c r="K684" t="s">
        <v>9</v>
      </c>
      <c r="L684" t="s">
        <v>10</v>
      </c>
      <c r="M684" t="s">
        <v>38</v>
      </c>
      <c r="N684" t="s">
        <v>29</v>
      </c>
      <c r="O684">
        <v>1</v>
      </c>
      <c r="P684" t="s">
        <v>24</v>
      </c>
      <c r="Q684">
        <v>4</v>
      </c>
      <c r="R684" t="s">
        <v>30</v>
      </c>
      <c r="S684" t="s">
        <v>31</v>
      </c>
      <c r="T684" t="s">
        <v>32</v>
      </c>
    </row>
    <row r="685" spans="1:20" x14ac:dyDescent="0.3">
      <c r="A685" t="s">
        <v>734</v>
      </c>
      <c r="B685">
        <v>40</v>
      </c>
      <c r="C685" t="s">
        <v>5</v>
      </c>
      <c r="D685" t="s">
        <v>40</v>
      </c>
      <c r="E685" t="s">
        <v>51</v>
      </c>
      <c r="F685">
        <v>21</v>
      </c>
      <c r="G685" t="s">
        <v>36</v>
      </c>
      <c r="H685">
        <v>44</v>
      </c>
      <c r="I685">
        <v>0</v>
      </c>
      <c r="J685">
        <v>4</v>
      </c>
      <c r="K685" t="s">
        <v>9</v>
      </c>
      <c r="L685" t="s">
        <v>10</v>
      </c>
      <c r="M685" t="s">
        <v>11</v>
      </c>
      <c r="N685" t="s">
        <v>29</v>
      </c>
      <c r="O685">
        <v>4</v>
      </c>
      <c r="P685" t="s">
        <v>48</v>
      </c>
      <c r="Q685">
        <v>2</v>
      </c>
      <c r="R685" t="s">
        <v>30</v>
      </c>
      <c r="S685" t="s">
        <v>42</v>
      </c>
      <c r="T685" t="s">
        <v>58</v>
      </c>
    </row>
    <row r="686" spans="1:20" x14ac:dyDescent="0.3">
      <c r="A686" t="s">
        <v>735</v>
      </c>
      <c r="B686">
        <v>53</v>
      </c>
      <c r="C686" t="s">
        <v>46</v>
      </c>
      <c r="D686" t="s">
        <v>19</v>
      </c>
      <c r="E686" t="s">
        <v>20</v>
      </c>
      <c r="F686">
        <v>28</v>
      </c>
      <c r="G686" t="s">
        <v>21</v>
      </c>
      <c r="H686">
        <v>60</v>
      </c>
      <c r="I686">
        <v>5</v>
      </c>
      <c r="J686">
        <v>1</v>
      </c>
      <c r="K686" t="s">
        <v>9</v>
      </c>
      <c r="L686" t="s">
        <v>30</v>
      </c>
      <c r="M686" t="s">
        <v>11</v>
      </c>
      <c r="N686" t="s">
        <v>12</v>
      </c>
      <c r="O686">
        <v>2</v>
      </c>
      <c r="P686" t="s">
        <v>24</v>
      </c>
      <c r="Q686">
        <v>2</v>
      </c>
      <c r="R686" t="s">
        <v>30</v>
      </c>
      <c r="S686" t="s">
        <v>15</v>
      </c>
      <c r="T686" t="s">
        <v>58</v>
      </c>
    </row>
    <row r="687" spans="1:20" x14ac:dyDescent="0.3">
      <c r="A687" t="s">
        <v>736</v>
      </c>
      <c r="B687">
        <v>59</v>
      </c>
      <c r="C687" t="s">
        <v>34</v>
      </c>
      <c r="D687" t="s">
        <v>40</v>
      </c>
      <c r="E687" t="s">
        <v>35</v>
      </c>
      <c r="F687">
        <v>4</v>
      </c>
      <c r="G687" t="s">
        <v>36</v>
      </c>
      <c r="H687">
        <v>27</v>
      </c>
      <c r="I687">
        <v>14</v>
      </c>
      <c r="J687">
        <v>2</v>
      </c>
      <c r="K687" t="s">
        <v>37</v>
      </c>
      <c r="L687" t="s">
        <v>10</v>
      </c>
      <c r="M687" t="s">
        <v>38</v>
      </c>
      <c r="N687" t="s">
        <v>29</v>
      </c>
      <c r="O687">
        <v>2</v>
      </c>
      <c r="P687" t="s">
        <v>13</v>
      </c>
      <c r="Q687">
        <v>4</v>
      </c>
      <c r="R687" t="s">
        <v>30</v>
      </c>
      <c r="S687" t="s">
        <v>42</v>
      </c>
      <c r="T687" t="s">
        <v>58</v>
      </c>
    </row>
    <row r="688" spans="1:20" x14ac:dyDescent="0.3">
      <c r="A688" t="s">
        <v>737</v>
      </c>
      <c r="B688">
        <v>39</v>
      </c>
      <c r="C688" t="s">
        <v>46</v>
      </c>
      <c r="D688" t="s">
        <v>19</v>
      </c>
      <c r="E688" t="s">
        <v>7</v>
      </c>
      <c r="F688">
        <v>20</v>
      </c>
      <c r="G688" t="s">
        <v>21</v>
      </c>
      <c r="H688">
        <v>39</v>
      </c>
      <c r="I688">
        <v>1</v>
      </c>
      <c r="J688">
        <v>4</v>
      </c>
      <c r="K688" t="s">
        <v>47</v>
      </c>
      <c r="L688" t="s">
        <v>30</v>
      </c>
      <c r="M688" t="s">
        <v>11</v>
      </c>
      <c r="N688" t="s">
        <v>23</v>
      </c>
      <c r="O688">
        <v>5</v>
      </c>
      <c r="P688" t="s">
        <v>13</v>
      </c>
      <c r="Q688">
        <v>2</v>
      </c>
      <c r="R688" t="s">
        <v>14</v>
      </c>
      <c r="S688" t="s">
        <v>15</v>
      </c>
      <c r="T688" t="s">
        <v>25</v>
      </c>
    </row>
    <row r="689" spans="1:20" x14ac:dyDescent="0.3">
      <c r="A689" t="s">
        <v>738</v>
      </c>
      <c r="B689">
        <v>57</v>
      </c>
      <c r="C689" t="s">
        <v>5</v>
      </c>
      <c r="D689" t="s">
        <v>19</v>
      </c>
      <c r="E689" t="s">
        <v>20</v>
      </c>
      <c r="F689">
        <v>31</v>
      </c>
      <c r="G689" t="s">
        <v>21</v>
      </c>
      <c r="H689">
        <v>31</v>
      </c>
      <c r="I689">
        <v>1</v>
      </c>
      <c r="J689">
        <v>3</v>
      </c>
      <c r="K689" t="s">
        <v>47</v>
      </c>
      <c r="L689" t="s">
        <v>22</v>
      </c>
      <c r="M689" t="s">
        <v>11</v>
      </c>
      <c r="N689" t="s">
        <v>23</v>
      </c>
      <c r="O689">
        <v>1</v>
      </c>
      <c r="P689" t="s">
        <v>24</v>
      </c>
      <c r="Q689">
        <v>1</v>
      </c>
      <c r="R689" t="s">
        <v>49</v>
      </c>
      <c r="S689" t="s">
        <v>42</v>
      </c>
      <c r="T689" t="s">
        <v>58</v>
      </c>
    </row>
    <row r="690" spans="1:20" x14ac:dyDescent="0.3">
      <c r="A690" t="s">
        <v>739</v>
      </c>
      <c r="B690">
        <v>57</v>
      </c>
      <c r="C690" t="s">
        <v>34</v>
      </c>
      <c r="D690" t="s">
        <v>57</v>
      </c>
      <c r="E690" t="s">
        <v>28</v>
      </c>
      <c r="F690">
        <v>11</v>
      </c>
      <c r="G690" t="s">
        <v>8</v>
      </c>
      <c r="H690">
        <v>25</v>
      </c>
      <c r="I690">
        <v>0</v>
      </c>
      <c r="J690">
        <v>4</v>
      </c>
      <c r="K690" t="s">
        <v>37</v>
      </c>
      <c r="L690" t="s">
        <v>10</v>
      </c>
      <c r="M690" t="s">
        <v>38</v>
      </c>
      <c r="N690" t="s">
        <v>23</v>
      </c>
      <c r="O690">
        <v>3</v>
      </c>
      <c r="P690" t="s">
        <v>48</v>
      </c>
      <c r="Q690">
        <v>2</v>
      </c>
      <c r="R690" t="s">
        <v>49</v>
      </c>
      <c r="S690" t="s">
        <v>42</v>
      </c>
      <c r="T690" t="s">
        <v>44</v>
      </c>
    </row>
    <row r="691" spans="1:20" x14ac:dyDescent="0.3">
      <c r="A691" t="s">
        <v>740</v>
      </c>
      <c r="B691">
        <v>45</v>
      </c>
      <c r="C691" t="s">
        <v>46</v>
      </c>
      <c r="D691" t="s">
        <v>27</v>
      </c>
      <c r="E691" t="s">
        <v>28</v>
      </c>
      <c r="F691">
        <v>5</v>
      </c>
      <c r="G691" t="s">
        <v>8</v>
      </c>
      <c r="H691">
        <v>21</v>
      </c>
      <c r="I691">
        <v>10</v>
      </c>
      <c r="J691">
        <v>1</v>
      </c>
      <c r="K691" t="s">
        <v>9</v>
      </c>
      <c r="L691" t="s">
        <v>68</v>
      </c>
      <c r="M691" t="s">
        <v>38</v>
      </c>
      <c r="N691" t="s">
        <v>12</v>
      </c>
      <c r="O691">
        <v>4</v>
      </c>
      <c r="P691" t="s">
        <v>24</v>
      </c>
      <c r="Q691">
        <v>4</v>
      </c>
      <c r="R691" t="s">
        <v>14</v>
      </c>
      <c r="S691" t="s">
        <v>15</v>
      </c>
      <c r="T691" t="s">
        <v>25</v>
      </c>
    </row>
    <row r="692" spans="1:20" x14ac:dyDescent="0.3">
      <c r="A692" t="s">
        <v>741</v>
      </c>
      <c r="B692">
        <v>31</v>
      </c>
      <c r="C692" t="s">
        <v>46</v>
      </c>
      <c r="D692" t="s">
        <v>57</v>
      </c>
      <c r="E692" t="s">
        <v>35</v>
      </c>
      <c r="F692">
        <v>16</v>
      </c>
      <c r="G692" t="s">
        <v>36</v>
      </c>
      <c r="H692">
        <v>49</v>
      </c>
      <c r="I692">
        <v>7</v>
      </c>
      <c r="J692">
        <v>3</v>
      </c>
      <c r="K692" t="s">
        <v>9</v>
      </c>
      <c r="L692" t="s">
        <v>22</v>
      </c>
      <c r="M692" t="s">
        <v>38</v>
      </c>
      <c r="N692" t="s">
        <v>29</v>
      </c>
      <c r="O692">
        <v>4</v>
      </c>
      <c r="P692" t="s">
        <v>24</v>
      </c>
      <c r="Q692">
        <v>3</v>
      </c>
      <c r="R692" t="s">
        <v>30</v>
      </c>
      <c r="S692" t="s">
        <v>15</v>
      </c>
      <c r="T692" t="s">
        <v>44</v>
      </c>
    </row>
    <row r="693" spans="1:20" x14ac:dyDescent="0.3">
      <c r="A693" t="s">
        <v>742</v>
      </c>
      <c r="B693">
        <v>44</v>
      </c>
      <c r="C693" t="s">
        <v>18</v>
      </c>
      <c r="D693" t="s">
        <v>61</v>
      </c>
      <c r="E693" t="s">
        <v>64</v>
      </c>
      <c r="F693">
        <v>6</v>
      </c>
      <c r="G693" t="s">
        <v>21</v>
      </c>
      <c r="H693">
        <v>54</v>
      </c>
      <c r="I693">
        <v>10</v>
      </c>
      <c r="J693">
        <v>3</v>
      </c>
      <c r="K693" t="s">
        <v>47</v>
      </c>
      <c r="L693" t="s">
        <v>10</v>
      </c>
      <c r="M693" t="s">
        <v>11</v>
      </c>
      <c r="N693" t="s">
        <v>23</v>
      </c>
      <c r="O693">
        <v>4</v>
      </c>
      <c r="P693" t="s">
        <v>48</v>
      </c>
      <c r="Q693">
        <v>5</v>
      </c>
      <c r="R693" t="s">
        <v>49</v>
      </c>
      <c r="S693" t="s">
        <v>31</v>
      </c>
      <c r="T693" t="s">
        <v>55</v>
      </c>
    </row>
    <row r="694" spans="1:20" x14ac:dyDescent="0.3">
      <c r="A694" t="s">
        <v>743</v>
      </c>
      <c r="B694">
        <v>47</v>
      </c>
      <c r="C694" t="s">
        <v>5</v>
      </c>
      <c r="D694" t="s">
        <v>6</v>
      </c>
      <c r="E694" t="s">
        <v>35</v>
      </c>
      <c r="F694">
        <v>23</v>
      </c>
      <c r="G694" t="s">
        <v>8</v>
      </c>
      <c r="H694">
        <v>56</v>
      </c>
      <c r="I694">
        <v>6</v>
      </c>
      <c r="J694">
        <v>5</v>
      </c>
      <c r="K694" t="s">
        <v>9</v>
      </c>
      <c r="L694" t="s">
        <v>68</v>
      </c>
      <c r="M694" t="s">
        <v>11</v>
      </c>
      <c r="N694" t="s">
        <v>29</v>
      </c>
      <c r="O694">
        <v>5</v>
      </c>
      <c r="P694" t="s">
        <v>13</v>
      </c>
      <c r="Q694">
        <v>3</v>
      </c>
      <c r="R694" t="s">
        <v>49</v>
      </c>
      <c r="S694" t="s">
        <v>42</v>
      </c>
      <c r="T694" t="s">
        <v>55</v>
      </c>
    </row>
    <row r="695" spans="1:20" x14ac:dyDescent="0.3">
      <c r="A695" t="s">
        <v>744</v>
      </c>
      <c r="B695">
        <v>54</v>
      </c>
      <c r="C695" t="s">
        <v>5</v>
      </c>
      <c r="D695" t="s">
        <v>6</v>
      </c>
      <c r="E695" t="s">
        <v>64</v>
      </c>
      <c r="F695">
        <v>16</v>
      </c>
      <c r="G695" t="s">
        <v>8</v>
      </c>
      <c r="H695">
        <v>57</v>
      </c>
      <c r="I695">
        <v>6</v>
      </c>
      <c r="J695">
        <v>5</v>
      </c>
      <c r="K695" t="s">
        <v>47</v>
      </c>
      <c r="L695" t="s">
        <v>30</v>
      </c>
      <c r="M695" t="s">
        <v>38</v>
      </c>
      <c r="N695" t="s">
        <v>12</v>
      </c>
      <c r="O695">
        <v>1</v>
      </c>
      <c r="P695" t="s">
        <v>13</v>
      </c>
      <c r="Q695">
        <v>1</v>
      </c>
      <c r="R695" t="s">
        <v>49</v>
      </c>
      <c r="S695" t="s">
        <v>42</v>
      </c>
      <c r="T695" t="s">
        <v>16</v>
      </c>
    </row>
    <row r="696" spans="1:20" x14ac:dyDescent="0.3">
      <c r="A696" t="s">
        <v>745</v>
      </c>
      <c r="B696">
        <v>48</v>
      </c>
      <c r="C696" t="s">
        <v>34</v>
      </c>
      <c r="D696" t="s">
        <v>27</v>
      </c>
      <c r="E696" t="s">
        <v>7</v>
      </c>
      <c r="F696">
        <v>18</v>
      </c>
      <c r="G696" t="s">
        <v>21</v>
      </c>
      <c r="H696">
        <v>43</v>
      </c>
      <c r="I696">
        <v>1</v>
      </c>
      <c r="J696">
        <v>3</v>
      </c>
      <c r="K696" t="s">
        <v>47</v>
      </c>
      <c r="L696" t="s">
        <v>30</v>
      </c>
      <c r="M696" t="s">
        <v>38</v>
      </c>
      <c r="N696" t="s">
        <v>23</v>
      </c>
      <c r="O696">
        <v>1</v>
      </c>
      <c r="P696" t="s">
        <v>13</v>
      </c>
      <c r="Q696">
        <v>1</v>
      </c>
      <c r="R696" t="s">
        <v>14</v>
      </c>
      <c r="S696" t="s">
        <v>31</v>
      </c>
      <c r="T696" t="s">
        <v>55</v>
      </c>
    </row>
    <row r="697" spans="1:20" x14ac:dyDescent="0.3">
      <c r="A697" t="s">
        <v>746</v>
      </c>
      <c r="B697">
        <v>58</v>
      </c>
      <c r="C697" t="s">
        <v>34</v>
      </c>
      <c r="D697" t="s">
        <v>57</v>
      </c>
      <c r="E697" t="s">
        <v>64</v>
      </c>
      <c r="F697">
        <v>3</v>
      </c>
      <c r="G697" t="s">
        <v>36</v>
      </c>
      <c r="H697">
        <v>59</v>
      </c>
      <c r="I697">
        <v>9</v>
      </c>
      <c r="J697">
        <v>5</v>
      </c>
      <c r="K697" t="s">
        <v>9</v>
      </c>
      <c r="L697" t="s">
        <v>30</v>
      </c>
      <c r="M697" t="s">
        <v>11</v>
      </c>
      <c r="N697" t="s">
        <v>23</v>
      </c>
      <c r="O697">
        <v>4</v>
      </c>
      <c r="P697" t="s">
        <v>48</v>
      </c>
      <c r="Q697">
        <v>3</v>
      </c>
      <c r="R697" t="s">
        <v>30</v>
      </c>
      <c r="S697" t="s">
        <v>31</v>
      </c>
      <c r="T697" t="s">
        <v>32</v>
      </c>
    </row>
    <row r="698" spans="1:20" x14ac:dyDescent="0.3">
      <c r="A698" t="s">
        <v>747</v>
      </c>
      <c r="B698">
        <v>29</v>
      </c>
      <c r="C698" t="s">
        <v>34</v>
      </c>
      <c r="D698" t="s">
        <v>6</v>
      </c>
      <c r="E698" t="s">
        <v>20</v>
      </c>
      <c r="F698">
        <v>29</v>
      </c>
      <c r="G698" t="s">
        <v>36</v>
      </c>
      <c r="H698">
        <v>44</v>
      </c>
      <c r="I698">
        <v>4</v>
      </c>
      <c r="J698">
        <v>1</v>
      </c>
      <c r="K698" t="s">
        <v>9</v>
      </c>
      <c r="L698" t="s">
        <v>10</v>
      </c>
      <c r="M698" t="s">
        <v>11</v>
      </c>
      <c r="N698" t="s">
        <v>12</v>
      </c>
      <c r="O698">
        <v>3</v>
      </c>
      <c r="P698" t="s">
        <v>24</v>
      </c>
      <c r="Q698">
        <v>1</v>
      </c>
      <c r="R698" t="s">
        <v>14</v>
      </c>
      <c r="S698" t="s">
        <v>31</v>
      </c>
      <c r="T698" t="s">
        <v>16</v>
      </c>
    </row>
    <row r="699" spans="1:20" x14ac:dyDescent="0.3">
      <c r="A699" t="s">
        <v>748</v>
      </c>
      <c r="B699">
        <v>43</v>
      </c>
      <c r="C699" t="s">
        <v>18</v>
      </c>
      <c r="D699" t="s">
        <v>63</v>
      </c>
      <c r="E699" t="s">
        <v>51</v>
      </c>
      <c r="F699">
        <v>21</v>
      </c>
      <c r="G699" t="s">
        <v>8</v>
      </c>
      <c r="H699">
        <v>24</v>
      </c>
      <c r="I699">
        <v>13</v>
      </c>
      <c r="J699">
        <v>1</v>
      </c>
      <c r="K699" t="s">
        <v>37</v>
      </c>
      <c r="L699" t="s">
        <v>68</v>
      </c>
      <c r="M699" t="s">
        <v>11</v>
      </c>
      <c r="N699" t="s">
        <v>12</v>
      </c>
      <c r="O699">
        <v>4</v>
      </c>
      <c r="P699" t="s">
        <v>48</v>
      </c>
      <c r="Q699">
        <v>2</v>
      </c>
      <c r="R699" t="s">
        <v>14</v>
      </c>
      <c r="S699" t="s">
        <v>31</v>
      </c>
      <c r="T699" t="s">
        <v>58</v>
      </c>
    </row>
    <row r="700" spans="1:20" x14ac:dyDescent="0.3">
      <c r="A700" t="s">
        <v>749</v>
      </c>
      <c r="B700">
        <v>53</v>
      </c>
      <c r="C700" t="s">
        <v>34</v>
      </c>
      <c r="D700" t="s">
        <v>61</v>
      </c>
      <c r="E700" t="s">
        <v>64</v>
      </c>
      <c r="F700">
        <v>17</v>
      </c>
      <c r="G700" t="s">
        <v>36</v>
      </c>
      <c r="H700">
        <v>60</v>
      </c>
      <c r="I700">
        <v>12</v>
      </c>
      <c r="J700">
        <v>3</v>
      </c>
      <c r="K700" t="s">
        <v>9</v>
      </c>
      <c r="L700" t="s">
        <v>10</v>
      </c>
      <c r="M700" t="s">
        <v>11</v>
      </c>
      <c r="N700" t="s">
        <v>29</v>
      </c>
      <c r="O700">
        <v>4</v>
      </c>
      <c r="P700" t="s">
        <v>13</v>
      </c>
      <c r="Q700">
        <v>5</v>
      </c>
      <c r="R700" t="s">
        <v>49</v>
      </c>
      <c r="S700" t="s">
        <v>15</v>
      </c>
      <c r="T700" t="s">
        <v>58</v>
      </c>
    </row>
    <row r="701" spans="1:20" x14ac:dyDescent="0.3">
      <c r="A701" t="s">
        <v>750</v>
      </c>
      <c r="B701">
        <v>43</v>
      </c>
      <c r="C701" t="s">
        <v>46</v>
      </c>
      <c r="D701" t="s">
        <v>19</v>
      </c>
      <c r="E701" t="s">
        <v>35</v>
      </c>
      <c r="F701">
        <v>12</v>
      </c>
      <c r="G701" t="s">
        <v>8</v>
      </c>
      <c r="H701">
        <v>28</v>
      </c>
      <c r="I701">
        <v>6</v>
      </c>
      <c r="J701">
        <v>3</v>
      </c>
      <c r="K701" t="s">
        <v>37</v>
      </c>
      <c r="L701" t="s">
        <v>68</v>
      </c>
      <c r="M701" t="s">
        <v>11</v>
      </c>
      <c r="N701" t="s">
        <v>23</v>
      </c>
      <c r="O701">
        <v>3</v>
      </c>
      <c r="P701" t="s">
        <v>24</v>
      </c>
      <c r="Q701">
        <v>5</v>
      </c>
      <c r="R701" t="s">
        <v>14</v>
      </c>
      <c r="S701" t="s">
        <v>15</v>
      </c>
      <c r="T701" t="s">
        <v>55</v>
      </c>
    </row>
    <row r="702" spans="1:20" x14ac:dyDescent="0.3">
      <c r="A702" t="s">
        <v>751</v>
      </c>
      <c r="B702">
        <v>47</v>
      </c>
      <c r="C702" t="s">
        <v>5</v>
      </c>
      <c r="D702" t="s">
        <v>61</v>
      </c>
      <c r="E702" t="s">
        <v>41</v>
      </c>
      <c r="F702">
        <v>18</v>
      </c>
      <c r="G702" t="s">
        <v>36</v>
      </c>
      <c r="H702">
        <v>42</v>
      </c>
      <c r="I702">
        <v>15</v>
      </c>
      <c r="J702">
        <v>3</v>
      </c>
      <c r="K702" t="s">
        <v>9</v>
      </c>
      <c r="L702" t="s">
        <v>30</v>
      </c>
      <c r="M702" t="s">
        <v>11</v>
      </c>
      <c r="N702" t="s">
        <v>23</v>
      </c>
      <c r="O702">
        <v>1</v>
      </c>
      <c r="P702" t="s">
        <v>24</v>
      </c>
      <c r="Q702">
        <v>3</v>
      </c>
      <c r="R702" t="s">
        <v>49</v>
      </c>
      <c r="S702" t="s">
        <v>31</v>
      </c>
      <c r="T702" t="s">
        <v>44</v>
      </c>
    </row>
    <row r="703" spans="1:20" x14ac:dyDescent="0.3">
      <c r="A703" t="s">
        <v>752</v>
      </c>
      <c r="B703">
        <v>26</v>
      </c>
      <c r="C703" t="s">
        <v>5</v>
      </c>
      <c r="D703" t="s">
        <v>61</v>
      </c>
      <c r="E703" t="s">
        <v>35</v>
      </c>
      <c r="F703">
        <v>25</v>
      </c>
      <c r="G703" t="s">
        <v>21</v>
      </c>
      <c r="H703">
        <v>26</v>
      </c>
      <c r="I703">
        <v>9</v>
      </c>
      <c r="J703">
        <v>2</v>
      </c>
      <c r="K703" t="s">
        <v>37</v>
      </c>
      <c r="L703" t="s">
        <v>30</v>
      </c>
      <c r="M703" t="s">
        <v>11</v>
      </c>
      <c r="N703" t="s">
        <v>29</v>
      </c>
      <c r="O703">
        <v>5</v>
      </c>
      <c r="P703" t="s">
        <v>48</v>
      </c>
      <c r="Q703">
        <v>3</v>
      </c>
      <c r="R703" t="s">
        <v>30</v>
      </c>
      <c r="S703" t="s">
        <v>42</v>
      </c>
      <c r="T703" t="s">
        <v>32</v>
      </c>
    </row>
    <row r="704" spans="1:20" x14ac:dyDescent="0.3">
      <c r="A704" t="s">
        <v>753</v>
      </c>
      <c r="B704">
        <v>57</v>
      </c>
      <c r="C704" t="s">
        <v>5</v>
      </c>
      <c r="D704" t="s">
        <v>6</v>
      </c>
      <c r="E704" t="s">
        <v>7</v>
      </c>
      <c r="F704">
        <v>23</v>
      </c>
      <c r="G704" t="s">
        <v>36</v>
      </c>
      <c r="H704">
        <v>28</v>
      </c>
      <c r="I704">
        <v>12</v>
      </c>
      <c r="J704">
        <v>1</v>
      </c>
      <c r="K704" t="s">
        <v>9</v>
      </c>
      <c r="L704" t="s">
        <v>30</v>
      </c>
      <c r="M704" t="s">
        <v>38</v>
      </c>
      <c r="N704" t="s">
        <v>23</v>
      </c>
      <c r="O704">
        <v>5</v>
      </c>
      <c r="P704" t="s">
        <v>13</v>
      </c>
      <c r="Q704">
        <v>1</v>
      </c>
      <c r="R704" t="s">
        <v>14</v>
      </c>
      <c r="S704" t="s">
        <v>31</v>
      </c>
      <c r="T704" t="s">
        <v>32</v>
      </c>
    </row>
    <row r="705" spans="1:20" x14ac:dyDescent="0.3">
      <c r="A705" t="s">
        <v>754</v>
      </c>
      <c r="B705">
        <v>36</v>
      </c>
      <c r="C705" t="s">
        <v>34</v>
      </c>
      <c r="D705" t="s">
        <v>63</v>
      </c>
      <c r="E705" t="s">
        <v>51</v>
      </c>
      <c r="F705">
        <v>1</v>
      </c>
      <c r="G705" t="s">
        <v>36</v>
      </c>
      <c r="H705">
        <v>45</v>
      </c>
      <c r="I705">
        <v>4</v>
      </c>
      <c r="J705">
        <v>1</v>
      </c>
      <c r="K705" t="s">
        <v>9</v>
      </c>
      <c r="L705" t="s">
        <v>10</v>
      </c>
      <c r="M705" t="s">
        <v>38</v>
      </c>
      <c r="N705" t="s">
        <v>23</v>
      </c>
      <c r="O705">
        <v>5</v>
      </c>
      <c r="P705" t="s">
        <v>48</v>
      </c>
      <c r="Q705">
        <v>4</v>
      </c>
      <c r="R705" t="s">
        <v>30</v>
      </c>
      <c r="S705" t="s">
        <v>42</v>
      </c>
      <c r="T705" t="s">
        <v>44</v>
      </c>
    </row>
    <row r="706" spans="1:20" x14ac:dyDescent="0.3">
      <c r="A706" t="s">
        <v>755</v>
      </c>
      <c r="B706">
        <v>26</v>
      </c>
      <c r="C706" t="s">
        <v>34</v>
      </c>
      <c r="D706" t="s">
        <v>57</v>
      </c>
      <c r="E706" t="s">
        <v>20</v>
      </c>
      <c r="F706">
        <v>5</v>
      </c>
      <c r="G706" t="s">
        <v>21</v>
      </c>
      <c r="H706">
        <v>37</v>
      </c>
      <c r="I706">
        <v>2</v>
      </c>
      <c r="J706">
        <v>2</v>
      </c>
      <c r="K706" t="s">
        <v>47</v>
      </c>
      <c r="L706" t="s">
        <v>30</v>
      </c>
      <c r="M706" t="s">
        <v>11</v>
      </c>
      <c r="N706" t="s">
        <v>12</v>
      </c>
      <c r="O706">
        <v>1</v>
      </c>
      <c r="P706" t="s">
        <v>24</v>
      </c>
      <c r="Q706">
        <v>3</v>
      </c>
      <c r="R706" t="s">
        <v>30</v>
      </c>
      <c r="S706" t="s">
        <v>15</v>
      </c>
      <c r="T706" t="s">
        <v>55</v>
      </c>
    </row>
    <row r="707" spans="1:20" x14ac:dyDescent="0.3">
      <c r="A707" t="s">
        <v>756</v>
      </c>
      <c r="B707">
        <v>47</v>
      </c>
      <c r="C707" t="s">
        <v>18</v>
      </c>
      <c r="D707" t="s">
        <v>61</v>
      </c>
      <c r="E707" t="s">
        <v>64</v>
      </c>
      <c r="F707">
        <v>4</v>
      </c>
      <c r="G707" t="s">
        <v>21</v>
      </c>
      <c r="H707">
        <v>31</v>
      </c>
      <c r="I707">
        <v>12</v>
      </c>
      <c r="J707">
        <v>3</v>
      </c>
      <c r="K707" t="s">
        <v>47</v>
      </c>
      <c r="L707" t="s">
        <v>10</v>
      </c>
      <c r="M707" t="s">
        <v>38</v>
      </c>
      <c r="N707" t="s">
        <v>23</v>
      </c>
      <c r="O707">
        <v>1</v>
      </c>
      <c r="P707" t="s">
        <v>24</v>
      </c>
      <c r="Q707">
        <v>2</v>
      </c>
      <c r="R707" t="s">
        <v>30</v>
      </c>
      <c r="S707" t="s">
        <v>42</v>
      </c>
      <c r="T707" t="s">
        <v>58</v>
      </c>
    </row>
    <row r="708" spans="1:20" x14ac:dyDescent="0.3">
      <c r="A708" t="s">
        <v>757</v>
      </c>
      <c r="B708">
        <v>59</v>
      </c>
      <c r="C708" t="s">
        <v>18</v>
      </c>
      <c r="D708" t="s">
        <v>27</v>
      </c>
      <c r="E708" t="s">
        <v>41</v>
      </c>
      <c r="F708">
        <v>7</v>
      </c>
      <c r="G708" t="s">
        <v>21</v>
      </c>
      <c r="H708">
        <v>22</v>
      </c>
      <c r="I708">
        <v>10</v>
      </c>
      <c r="J708">
        <v>2</v>
      </c>
      <c r="K708" t="s">
        <v>9</v>
      </c>
      <c r="L708" t="s">
        <v>30</v>
      </c>
      <c r="M708" t="s">
        <v>11</v>
      </c>
      <c r="N708" t="s">
        <v>12</v>
      </c>
      <c r="O708">
        <v>2</v>
      </c>
      <c r="P708" t="s">
        <v>48</v>
      </c>
      <c r="Q708">
        <v>4</v>
      </c>
      <c r="R708" t="s">
        <v>30</v>
      </c>
      <c r="S708" t="s">
        <v>42</v>
      </c>
      <c r="T708" t="s">
        <v>58</v>
      </c>
    </row>
    <row r="709" spans="1:20" x14ac:dyDescent="0.3">
      <c r="A709" t="s">
        <v>758</v>
      </c>
      <c r="B709">
        <v>59</v>
      </c>
      <c r="C709" t="s">
        <v>34</v>
      </c>
      <c r="D709" t="s">
        <v>63</v>
      </c>
      <c r="E709" t="s">
        <v>41</v>
      </c>
      <c r="F709">
        <v>35</v>
      </c>
      <c r="G709" t="s">
        <v>21</v>
      </c>
      <c r="H709">
        <v>48</v>
      </c>
      <c r="I709">
        <v>0</v>
      </c>
      <c r="J709">
        <v>4</v>
      </c>
      <c r="K709" t="s">
        <v>9</v>
      </c>
      <c r="L709" t="s">
        <v>30</v>
      </c>
      <c r="M709" t="s">
        <v>38</v>
      </c>
      <c r="N709" t="s">
        <v>12</v>
      </c>
      <c r="O709">
        <v>3</v>
      </c>
      <c r="P709" t="s">
        <v>13</v>
      </c>
      <c r="Q709">
        <v>1</v>
      </c>
      <c r="R709" t="s">
        <v>14</v>
      </c>
      <c r="S709" t="s">
        <v>42</v>
      </c>
      <c r="T709" t="s">
        <v>25</v>
      </c>
    </row>
    <row r="710" spans="1:20" x14ac:dyDescent="0.3">
      <c r="A710" t="s">
        <v>759</v>
      </c>
      <c r="B710">
        <v>40</v>
      </c>
      <c r="C710" t="s">
        <v>46</v>
      </c>
      <c r="D710" t="s">
        <v>61</v>
      </c>
      <c r="E710" t="s">
        <v>28</v>
      </c>
      <c r="F710">
        <v>7</v>
      </c>
      <c r="G710" t="s">
        <v>36</v>
      </c>
      <c r="H710">
        <v>55</v>
      </c>
      <c r="I710">
        <v>9</v>
      </c>
      <c r="J710">
        <v>3</v>
      </c>
      <c r="K710" t="s">
        <v>47</v>
      </c>
      <c r="L710" t="s">
        <v>30</v>
      </c>
      <c r="M710" t="s">
        <v>11</v>
      </c>
      <c r="N710" t="s">
        <v>12</v>
      </c>
      <c r="O710">
        <v>5</v>
      </c>
      <c r="P710" t="s">
        <v>48</v>
      </c>
      <c r="Q710">
        <v>4</v>
      </c>
      <c r="R710" t="s">
        <v>30</v>
      </c>
      <c r="S710" t="s">
        <v>42</v>
      </c>
      <c r="T710" t="s">
        <v>32</v>
      </c>
    </row>
    <row r="711" spans="1:20" x14ac:dyDescent="0.3">
      <c r="A711" t="s">
        <v>760</v>
      </c>
      <c r="B711">
        <v>31</v>
      </c>
      <c r="C711" t="s">
        <v>18</v>
      </c>
      <c r="D711" t="s">
        <v>63</v>
      </c>
      <c r="E711" t="s">
        <v>20</v>
      </c>
      <c r="F711">
        <v>3</v>
      </c>
      <c r="G711" t="s">
        <v>36</v>
      </c>
      <c r="H711">
        <v>60</v>
      </c>
      <c r="I711">
        <v>15</v>
      </c>
      <c r="J711">
        <v>4</v>
      </c>
      <c r="K711" t="s">
        <v>37</v>
      </c>
      <c r="L711" t="s">
        <v>68</v>
      </c>
      <c r="M711" t="s">
        <v>38</v>
      </c>
      <c r="N711" t="s">
        <v>12</v>
      </c>
      <c r="O711">
        <v>1</v>
      </c>
      <c r="P711" t="s">
        <v>24</v>
      </c>
      <c r="Q711">
        <v>1</v>
      </c>
      <c r="R711" t="s">
        <v>30</v>
      </c>
      <c r="S711" t="s">
        <v>15</v>
      </c>
      <c r="T711" t="s">
        <v>25</v>
      </c>
    </row>
    <row r="712" spans="1:20" x14ac:dyDescent="0.3">
      <c r="A712" t="s">
        <v>761</v>
      </c>
      <c r="B712">
        <v>37</v>
      </c>
      <c r="C712" t="s">
        <v>46</v>
      </c>
      <c r="D712" t="s">
        <v>6</v>
      </c>
      <c r="E712" t="s">
        <v>28</v>
      </c>
      <c r="F712">
        <v>14</v>
      </c>
      <c r="G712" t="s">
        <v>36</v>
      </c>
      <c r="H712">
        <v>40</v>
      </c>
      <c r="I712">
        <v>12</v>
      </c>
      <c r="J712">
        <v>3</v>
      </c>
      <c r="K712" t="s">
        <v>37</v>
      </c>
      <c r="L712" t="s">
        <v>30</v>
      </c>
      <c r="M712" t="s">
        <v>11</v>
      </c>
      <c r="N712" t="s">
        <v>29</v>
      </c>
      <c r="O712">
        <v>2</v>
      </c>
      <c r="P712" t="s">
        <v>24</v>
      </c>
      <c r="Q712">
        <v>5</v>
      </c>
      <c r="R712" t="s">
        <v>30</v>
      </c>
      <c r="S712" t="s">
        <v>42</v>
      </c>
      <c r="T712" t="s">
        <v>55</v>
      </c>
    </row>
    <row r="713" spans="1:20" x14ac:dyDescent="0.3">
      <c r="A713" t="s">
        <v>762</v>
      </c>
      <c r="B713">
        <v>54</v>
      </c>
      <c r="C713" t="s">
        <v>46</v>
      </c>
      <c r="D713" t="s">
        <v>27</v>
      </c>
      <c r="E713" t="s">
        <v>64</v>
      </c>
      <c r="F713">
        <v>8</v>
      </c>
      <c r="G713" t="s">
        <v>8</v>
      </c>
      <c r="H713">
        <v>30</v>
      </c>
      <c r="I713">
        <v>9</v>
      </c>
      <c r="J713">
        <v>4</v>
      </c>
      <c r="K713" t="s">
        <v>47</v>
      </c>
      <c r="L713" t="s">
        <v>68</v>
      </c>
      <c r="M713" t="s">
        <v>38</v>
      </c>
      <c r="N713" t="s">
        <v>23</v>
      </c>
      <c r="O713">
        <v>1</v>
      </c>
      <c r="P713" t="s">
        <v>48</v>
      </c>
      <c r="Q713">
        <v>4</v>
      </c>
      <c r="R713" t="s">
        <v>49</v>
      </c>
      <c r="S713" t="s">
        <v>31</v>
      </c>
      <c r="T713" t="s">
        <v>16</v>
      </c>
    </row>
    <row r="714" spans="1:20" x14ac:dyDescent="0.3">
      <c r="A714" t="s">
        <v>763</v>
      </c>
      <c r="B714">
        <v>43</v>
      </c>
      <c r="C714" t="s">
        <v>34</v>
      </c>
      <c r="D714" t="s">
        <v>61</v>
      </c>
      <c r="E714" t="s">
        <v>35</v>
      </c>
      <c r="F714">
        <v>2</v>
      </c>
      <c r="G714" t="s">
        <v>8</v>
      </c>
      <c r="H714">
        <v>54</v>
      </c>
      <c r="I714">
        <v>9</v>
      </c>
      <c r="J714">
        <v>3</v>
      </c>
      <c r="K714" t="s">
        <v>37</v>
      </c>
      <c r="L714" t="s">
        <v>68</v>
      </c>
      <c r="M714" t="s">
        <v>11</v>
      </c>
      <c r="N714" t="s">
        <v>29</v>
      </c>
      <c r="O714">
        <v>5</v>
      </c>
      <c r="P714" t="s">
        <v>48</v>
      </c>
      <c r="Q714">
        <v>3</v>
      </c>
      <c r="R714" t="s">
        <v>14</v>
      </c>
      <c r="S714" t="s">
        <v>31</v>
      </c>
      <c r="T714" t="s">
        <v>25</v>
      </c>
    </row>
    <row r="715" spans="1:20" x14ac:dyDescent="0.3">
      <c r="A715" t="s">
        <v>764</v>
      </c>
      <c r="B715">
        <v>24</v>
      </c>
      <c r="C715" t="s">
        <v>18</v>
      </c>
      <c r="D715" t="s">
        <v>40</v>
      </c>
      <c r="E715" t="s">
        <v>20</v>
      </c>
      <c r="F715">
        <v>7</v>
      </c>
      <c r="G715" t="s">
        <v>21</v>
      </c>
      <c r="H715">
        <v>44</v>
      </c>
      <c r="I715">
        <v>7</v>
      </c>
      <c r="J715">
        <v>1</v>
      </c>
      <c r="K715" t="s">
        <v>37</v>
      </c>
      <c r="L715" t="s">
        <v>68</v>
      </c>
      <c r="M715" t="s">
        <v>11</v>
      </c>
      <c r="N715" t="s">
        <v>29</v>
      </c>
      <c r="O715">
        <v>2</v>
      </c>
      <c r="P715" t="s">
        <v>48</v>
      </c>
      <c r="Q715">
        <v>5</v>
      </c>
      <c r="R715" t="s">
        <v>49</v>
      </c>
      <c r="S715" t="s">
        <v>31</v>
      </c>
      <c r="T715" t="s">
        <v>25</v>
      </c>
    </row>
    <row r="716" spans="1:20" x14ac:dyDescent="0.3">
      <c r="A716" t="s">
        <v>765</v>
      </c>
      <c r="B716">
        <v>29</v>
      </c>
      <c r="C716" t="s">
        <v>34</v>
      </c>
      <c r="D716" t="s">
        <v>27</v>
      </c>
      <c r="E716" t="s">
        <v>51</v>
      </c>
      <c r="F716">
        <v>19</v>
      </c>
      <c r="G716" t="s">
        <v>21</v>
      </c>
      <c r="H716">
        <v>43</v>
      </c>
      <c r="I716">
        <v>5</v>
      </c>
      <c r="J716">
        <v>5</v>
      </c>
      <c r="K716" t="s">
        <v>9</v>
      </c>
      <c r="L716" t="s">
        <v>68</v>
      </c>
      <c r="M716" t="s">
        <v>38</v>
      </c>
      <c r="N716" t="s">
        <v>29</v>
      </c>
      <c r="O716">
        <v>1</v>
      </c>
      <c r="P716" t="s">
        <v>24</v>
      </c>
      <c r="Q716">
        <v>5</v>
      </c>
      <c r="R716" t="s">
        <v>30</v>
      </c>
      <c r="S716" t="s">
        <v>42</v>
      </c>
      <c r="T716" t="s">
        <v>32</v>
      </c>
    </row>
    <row r="717" spans="1:20" x14ac:dyDescent="0.3">
      <c r="A717" t="s">
        <v>766</v>
      </c>
      <c r="B717">
        <v>41</v>
      </c>
      <c r="C717" t="s">
        <v>46</v>
      </c>
      <c r="D717" t="s">
        <v>61</v>
      </c>
      <c r="E717" t="s">
        <v>41</v>
      </c>
      <c r="F717">
        <v>11</v>
      </c>
      <c r="G717" t="s">
        <v>36</v>
      </c>
      <c r="H717">
        <v>35</v>
      </c>
      <c r="I717">
        <v>7</v>
      </c>
      <c r="J717">
        <v>4</v>
      </c>
      <c r="K717" t="s">
        <v>37</v>
      </c>
      <c r="L717" t="s">
        <v>22</v>
      </c>
      <c r="M717" t="s">
        <v>38</v>
      </c>
      <c r="N717" t="s">
        <v>29</v>
      </c>
      <c r="O717">
        <v>2</v>
      </c>
      <c r="P717" t="s">
        <v>13</v>
      </c>
      <c r="Q717">
        <v>5</v>
      </c>
      <c r="R717" t="s">
        <v>49</v>
      </c>
      <c r="S717" t="s">
        <v>15</v>
      </c>
      <c r="T717" t="s">
        <v>32</v>
      </c>
    </row>
    <row r="718" spans="1:20" x14ac:dyDescent="0.3">
      <c r="A718" t="s">
        <v>767</v>
      </c>
      <c r="B718">
        <v>51</v>
      </c>
      <c r="C718" t="s">
        <v>34</v>
      </c>
      <c r="D718" t="s">
        <v>27</v>
      </c>
      <c r="E718" t="s">
        <v>35</v>
      </c>
      <c r="F718">
        <v>7</v>
      </c>
      <c r="G718" t="s">
        <v>21</v>
      </c>
      <c r="H718">
        <v>27</v>
      </c>
      <c r="I718">
        <v>0</v>
      </c>
      <c r="J718">
        <v>1</v>
      </c>
      <c r="K718" t="s">
        <v>37</v>
      </c>
      <c r="L718" t="s">
        <v>68</v>
      </c>
      <c r="M718" t="s">
        <v>11</v>
      </c>
      <c r="N718" t="s">
        <v>23</v>
      </c>
      <c r="O718">
        <v>2</v>
      </c>
      <c r="P718" t="s">
        <v>13</v>
      </c>
      <c r="Q718">
        <v>3</v>
      </c>
      <c r="R718" t="s">
        <v>30</v>
      </c>
      <c r="S718" t="s">
        <v>42</v>
      </c>
      <c r="T718" t="s">
        <v>25</v>
      </c>
    </row>
    <row r="719" spans="1:20" x14ac:dyDescent="0.3">
      <c r="A719" t="s">
        <v>768</v>
      </c>
      <c r="B719">
        <v>38</v>
      </c>
      <c r="C719" t="s">
        <v>5</v>
      </c>
      <c r="D719" t="s">
        <v>27</v>
      </c>
      <c r="E719" t="s">
        <v>7</v>
      </c>
      <c r="F719">
        <v>23</v>
      </c>
      <c r="G719" t="s">
        <v>36</v>
      </c>
      <c r="H719">
        <v>57</v>
      </c>
      <c r="I719">
        <v>14</v>
      </c>
      <c r="J719">
        <v>3</v>
      </c>
      <c r="K719" t="s">
        <v>9</v>
      </c>
      <c r="L719" t="s">
        <v>10</v>
      </c>
      <c r="M719" t="s">
        <v>11</v>
      </c>
      <c r="N719" t="s">
        <v>12</v>
      </c>
      <c r="O719">
        <v>2</v>
      </c>
      <c r="P719" t="s">
        <v>48</v>
      </c>
      <c r="Q719">
        <v>1</v>
      </c>
      <c r="R719" t="s">
        <v>14</v>
      </c>
      <c r="S719" t="s">
        <v>42</v>
      </c>
      <c r="T719" t="s">
        <v>44</v>
      </c>
    </row>
    <row r="720" spans="1:20" x14ac:dyDescent="0.3">
      <c r="A720" t="s">
        <v>769</v>
      </c>
      <c r="B720">
        <v>56</v>
      </c>
      <c r="C720" t="s">
        <v>34</v>
      </c>
      <c r="D720" t="s">
        <v>19</v>
      </c>
      <c r="E720" t="s">
        <v>7</v>
      </c>
      <c r="F720">
        <v>4</v>
      </c>
      <c r="G720" t="s">
        <v>36</v>
      </c>
      <c r="H720">
        <v>35</v>
      </c>
      <c r="I720">
        <v>9</v>
      </c>
      <c r="J720">
        <v>2</v>
      </c>
      <c r="K720" t="s">
        <v>37</v>
      </c>
      <c r="L720" t="s">
        <v>10</v>
      </c>
      <c r="M720" t="s">
        <v>38</v>
      </c>
      <c r="N720" t="s">
        <v>12</v>
      </c>
      <c r="O720">
        <v>3</v>
      </c>
      <c r="P720" t="s">
        <v>24</v>
      </c>
      <c r="Q720">
        <v>3</v>
      </c>
      <c r="R720" t="s">
        <v>30</v>
      </c>
      <c r="S720" t="s">
        <v>31</v>
      </c>
      <c r="T720" t="s">
        <v>58</v>
      </c>
    </row>
    <row r="721" spans="1:20" x14ac:dyDescent="0.3">
      <c r="A721" t="s">
        <v>770</v>
      </c>
      <c r="B721">
        <v>41</v>
      </c>
      <c r="C721" t="s">
        <v>5</v>
      </c>
      <c r="D721" t="s">
        <v>61</v>
      </c>
      <c r="E721" t="s">
        <v>41</v>
      </c>
      <c r="F721">
        <v>30</v>
      </c>
      <c r="G721" t="s">
        <v>21</v>
      </c>
      <c r="H721">
        <v>26</v>
      </c>
      <c r="I721">
        <v>6</v>
      </c>
      <c r="J721">
        <v>5</v>
      </c>
      <c r="K721" t="s">
        <v>47</v>
      </c>
      <c r="L721" t="s">
        <v>68</v>
      </c>
      <c r="M721" t="s">
        <v>38</v>
      </c>
      <c r="N721" t="s">
        <v>12</v>
      </c>
      <c r="O721">
        <v>1</v>
      </c>
      <c r="P721" t="s">
        <v>24</v>
      </c>
      <c r="Q721">
        <v>1</v>
      </c>
      <c r="R721" t="s">
        <v>30</v>
      </c>
      <c r="S721" t="s">
        <v>42</v>
      </c>
      <c r="T721" t="s">
        <v>25</v>
      </c>
    </row>
    <row r="722" spans="1:20" x14ac:dyDescent="0.3">
      <c r="A722" t="s">
        <v>771</v>
      </c>
      <c r="B722">
        <v>28</v>
      </c>
      <c r="C722" t="s">
        <v>34</v>
      </c>
      <c r="D722" t="s">
        <v>61</v>
      </c>
      <c r="E722" t="s">
        <v>7</v>
      </c>
      <c r="F722">
        <v>15</v>
      </c>
      <c r="G722" t="s">
        <v>8</v>
      </c>
      <c r="H722">
        <v>38</v>
      </c>
      <c r="I722">
        <v>8</v>
      </c>
      <c r="J722">
        <v>2</v>
      </c>
      <c r="K722" t="s">
        <v>9</v>
      </c>
      <c r="L722" t="s">
        <v>68</v>
      </c>
      <c r="M722" t="s">
        <v>38</v>
      </c>
      <c r="N722" t="s">
        <v>29</v>
      </c>
      <c r="O722">
        <v>3</v>
      </c>
      <c r="P722" t="s">
        <v>13</v>
      </c>
      <c r="Q722">
        <v>4</v>
      </c>
      <c r="R722" t="s">
        <v>14</v>
      </c>
      <c r="S722" t="s">
        <v>15</v>
      </c>
      <c r="T722" t="s">
        <v>16</v>
      </c>
    </row>
    <row r="723" spans="1:20" x14ac:dyDescent="0.3">
      <c r="A723" t="s">
        <v>772</v>
      </c>
      <c r="B723">
        <v>49</v>
      </c>
      <c r="C723" t="s">
        <v>46</v>
      </c>
      <c r="D723" t="s">
        <v>6</v>
      </c>
      <c r="E723" t="s">
        <v>41</v>
      </c>
      <c r="F723">
        <v>1</v>
      </c>
      <c r="G723" t="s">
        <v>8</v>
      </c>
      <c r="H723">
        <v>54</v>
      </c>
      <c r="I723">
        <v>14</v>
      </c>
      <c r="J723">
        <v>5</v>
      </c>
      <c r="K723" t="s">
        <v>47</v>
      </c>
      <c r="L723" t="s">
        <v>10</v>
      </c>
      <c r="M723" t="s">
        <v>11</v>
      </c>
      <c r="N723" t="s">
        <v>29</v>
      </c>
      <c r="O723">
        <v>5</v>
      </c>
      <c r="P723" t="s">
        <v>48</v>
      </c>
      <c r="Q723">
        <v>1</v>
      </c>
      <c r="R723" t="s">
        <v>30</v>
      </c>
      <c r="S723" t="s">
        <v>42</v>
      </c>
      <c r="T723" t="s">
        <v>16</v>
      </c>
    </row>
    <row r="724" spans="1:20" x14ac:dyDescent="0.3">
      <c r="A724" t="s">
        <v>773</v>
      </c>
      <c r="B724">
        <v>49</v>
      </c>
      <c r="C724" t="s">
        <v>34</v>
      </c>
      <c r="D724" t="s">
        <v>57</v>
      </c>
      <c r="E724" t="s">
        <v>51</v>
      </c>
      <c r="F724">
        <v>27</v>
      </c>
      <c r="G724" t="s">
        <v>8</v>
      </c>
      <c r="H724">
        <v>37</v>
      </c>
      <c r="I724">
        <v>13</v>
      </c>
      <c r="J724">
        <v>4</v>
      </c>
      <c r="K724" t="s">
        <v>9</v>
      </c>
      <c r="L724" t="s">
        <v>10</v>
      </c>
      <c r="M724" t="s">
        <v>38</v>
      </c>
      <c r="N724" t="s">
        <v>29</v>
      </c>
      <c r="O724">
        <v>5</v>
      </c>
      <c r="P724" t="s">
        <v>48</v>
      </c>
      <c r="Q724">
        <v>5</v>
      </c>
      <c r="R724" t="s">
        <v>30</v>
      </c>
      <c r="S724" t="s">
        <v>15</v>
      </c>
      <c r="T724" t="s">
        <v>16</v>
      </c>
    </row>
    <row r="725" spans="1:20" x14ac:dyDescent="0.3">
      <c r="A725" t="s">
        <v>774</v>
      </c>
      <c r="B725">
        <v>55</v>
      </c>
      <c r="C725" t="s">
        <v>5</v>
      </c>
      <c r="D725" t="s">
        <v>27</v>
      </c>
      <c r="E725" t="s">
        <v>35</v>
      </c>
      <c r="F725">
        <v>16</v>
      </c>
      <c r="G725" t="s">
        <v>36</v>
      </c>
      <c r="H725">
        <v>35</v>
      </c>
      <c r="I725">
        <v>10</v>
      </c>
      <c r="J725">
        <v>2</v>
      </c>
      <c r="K725" t="s">
        <v>47</v>
      </c>
      <c r="L725" t="s">
        <v>10</v>
      </c>
      <c r="M725" t="s">
        <v>38</v>
      </c>
      <c r="N725" t="s">
        <v>23</v>
      </c>
      <c r="O725">
        <v>1</v>
      </c>
      <c r="P725" t="s">
        <v>13</v>
      </c>
      <c r="Q725">
        <v>4</v>
      </c>
      <c r="R725" t="s">
        <v>49</v>
      </c>
      <c r="S725" t="s">
        <v>15</v>
      </c>
      <c r="T725" t="s">
        <v>16</v>
      </c>
    </row>
    <row r="726" spans="1:20" x14ac:dyDescent="0.3">
      <c r="A726" t="s">
        <v>775</v>
      </c>
      <c r="B726">
        <v>60</v>
      </c>
      <c r="C726" t="s">
        <v>46</v>
      </c>
      <c r="D726" t="s">
        <v>27</v>
      </c>
      <c r="E726" t="s">
        <v>20</v>
      </c>
      <c r="F726">
        <v>12</v>
      </c>
      <c r="G726" t="s">
        <v>8</v>
      </c>
      <c r="H726">
        <v>51</v>
      </c>
      <c r="I726">
        <v>2</v>
      </c>
      <c r="J726">
        <v>2</v>
      </c>
      <c r="K726" t="s">
        <v>37</v>
      </c>
      <c r="L726" t="s">
        <v>10</v>
      </c>
      <c r="M726" t="s">
        <v>38</v>
      </c>
      <c r="N726" t="s">
        <v>12</v>
      </c>
      <c r="O726">
        <v>5</v>
      </c>
      <c r="P726" t="s">
        <v>24</v>
      </c>
      <c r="Q726">
        <v>5</v>
      </c>
      <c r="R726" t="s">
        <v>30</v>
      </c>
      <c r="S726" t="s">
        <v>15</v>
      </c>
      <c r="T726" t="s">
        <v>44</v>
      </c>
    </row>
    <row r="727" spans="1:20" x14ac:dyDescent="0.3">
      <c r="A727" t="s">
        <v>776</v>
      </c>
      <c r="B727">
        <v>45</v>
      </c>
      <c r="C727" t="s">
        <v>18</v>
      </c>
      <c r="D727" t="s">
        <v>40</v>
      </c>
      <c r="E727" t="s">
        <v>7</v>
      </c>
      <c r="F727">
        <v>12</v>
      </c>
      <c r="G727" t="s">
        <v>21</v>
      </c>
      <c r="H727">
        <v>56</v>
      </c>
      <c r="I727">
        <v>12</v>
      </c>
      <c r="J727">
        <v>4</v>
      </c>
      <c r="K727" t="s">
        <v>9</v>
      </c>
      <c r="L727" t="s">
        <v>68</v>
      </c>
      <c r="M727" t="s">
        <v>11</v>
      </c>
      <c r="N727" t="s">
        <v>29</v>
      </c>
      <c r="O727">
        <v>3</v>
      </c>
      <c r="P727" t="s">
        <v>13</v>
      </c>
      <c r="Q727">
        <v>3</v>
      </c>
      <c r="R727" t="s">
        <v>14</v>
      </c>
      <c r="S727" t="s">
        <v>31</v>
      </c>
      <c r="T727" t="s">
        <v>55</v>
      </c>
    </row>
    <row r="728" spans="1:20" x14ac:dyDescent="0.3">
      <c r="A728" t="s">
        <v>777</v>
      </c>
      <c r="B728">
        <v>41</v>
      </c>
      <c r="C728" t="s">
        <v>34</v>
      </c>
      <c r="D728" t="s">
        <v>40</v>
      </c>
      <c r="E728" t="s">
        <v>7</v>
      </c>
      <c r="F728">
        <v>10</v>
      </c>
      <c r="G728" t="s">
        <v>21</v>
      </c>
      <c r="H728">
        <v>59</v>
      </c>
      <c r="I728">
        <v>4</v>
      </c>
      <c r="J728">
        <v>1</v>
      </c>
      <c r="K728" t="s">
        <v>9</v>
      </c>
      <c r="L728" t="s">
        <v>68</v>
      </c>
      <c r="M728" t="s">
        <v>11</v>
      </c>
      <c r="N728" t="s">
        <v>23</v>
      </c>
      <c r="O728">
        <v>5</v>
      </c>
      <c r="P728" t="s">
        <v>13</v>
      </c>
      <c r="Q728">
        <v>3</v>
      </c>
      <c r="R728" t="s">
        <v>14</v>
      </c>
      <c r="S728" t="s">
        <v>42</v>
      </c>
      <c r="T728" t="s">
        <v>16</v>
      </c>
    </row>
    <row r="729" spans="1:20" x14ac:dyDescent="0.3">
      <c r="A729" t="s">
        <v>778</v>
      </c>
      <c r="B729">
        <v>52</v>
      </c>
      <c r="C729" t="s">
        <v>18</v>
      </c>
      <c r="D729" t="s">
        <v>19</v>
      </c>
      <c r="E729" t="s">
        <v>51</v>
      </c>
      <c r="F729">
        <v>1</v>
      </c>
      <c r="G729" t="s">
        <v>36</v>
      </c>
      <c r="H729">
        <v>28</v>
      </c>
      <c r="I729">
        <v>12</v>
      </c>
      <c r="J729">
        <v>3</v>
      </c>
      <c r="K729" t="s">
        <v>47</v>
      </c>
      <c r="L729" t="s">
        <v>30</v>
      </c>
      <c r="M729" t="s">
        <v>11</v>
      </c>
      <c r="N729" t="s">
        <v>23</v>
      </c>
      <c r="O729">
        <v>5</v>
      </c>
      <c r="P729" t="s">
        <v>13</v>
      </c>
      <c r="Q729">
        <v>1</v>
      </c>
      <c r="R729" t="s">
        <v>49</v>
      </c>
      <c r="S729" t="s">
        <v>15</v>
      </c>
      <c r="T729" t="s">
        <v>25</v>
      </c>
    </row>
    <row r="730" spans="1:20" x14ac:dyDescent="0.3">
      <c r="A730" t="s">
        <v>779</v>
      </c>
      <c r="B730">
        <v>60</v>
      </c>
      <c r="C730" t="s">
        <v>46</v>
      </c>
      <c r="D730" t="s">
        <v>61</v>
      </c>
      <c r="E730" t="s">
        <v>35</v>
      </c>
      <c r="F730">
        <v>32</v>
      </c>
      <c r="G730" t="s">
        <v>21</v>
      </c>
      <c r="H730">
        <v>51</v>
      </c>
      <c r="I730">
        <v>14</v>
      </c>
      <c r="J730">
        <v>2</v>
      </c>
      <c r="K730" t="s">
        <v>9</v>
      </c>
      <c r="L730" t="s">
        <v>30</v>
      </c>
      <c r="M730" t="s">
        <v>38</v>
      </c>
      <c r="N730" t="s">
        <v>23</v>
      </c>
      <c r="O730">
        <v>1</v>
      </c>
      <c r="P730" t="s">
        <v>48</v>
      </c>
      <c r="Q730">
        <v>5</v>
      </c>
      <c r="R730" t="s">
        <v>49</v>
      </c>
      <c r="S730" t="s">
        <v>42</v>
      </c>
      <c r="T730" t="s">
        <v>25</v>
      </c>
    </row>
    <row r="731" spans="1:20" x14ac:dyDescent="0.3">
      <c r="A731" t="s">
        <v>780</v>
      </c>
      <c r="B731">
        <v>53</v>
      </c>
      <c r="C731" t="s">
        <v>5</v>
      </c>
      <c r="D731" t="s">
        <v>63</v>
      </c>
      <c r="E731" t="s">
        <v>41</v>
      </c>
      <c r="F731">
        <v>19</v>
      </c>
      <c r="G731" t="s">
        <v>36</v>
      </c>
      <c r="H731">
        <v>45</v>
      </c>
      <c r="I731">
        <v>6</v>
      </c>
      <c r="J731">
        <v>1</v>
      </c>
      <c r="K731" t="s">
        <v>9</v>
      </c>
      <c r="L731" t="s">
        <v>30</v>
      </c>
      <c r="M731" t="s">
        <v>38</v>
      </c>
      <c r="N731" t="s">
        <v>12</v>
      </c>
      <c r="O731">
        <v>3</v>
      </c>
      <c r="P731" t="s">
        <v>24</v>
      </c>
      <c r="Q731">
        <v>2</v>
      </c>
      <c r="R731" t="s">
        <v>14</v>
      </c>
      <c r="S731" t="s">
        <v>42</v>
      </c>
      <c r="T731" t="s">
        <v>16</v>
      </c>
    </row>
    <row r="732" spans="1:20" x14ac:dyDescent="0.3">
      <c r="A732" t="s">
        <v>781</v>
      </c>
      <c r="B732">
        <v>42</v>
      </c>
      <c r="C732" t="s">
        <v>46</v>
      </c>
      <c r="D732" t="s">
        <v>61</v>
      </c>
      <c r="E732" t="s">
        <v>28</v>
      </c>
      <c r="F732">
        <v>13</v>
      </c>
      <c r="G732" t="s">
        <v>8</v>
      </c>
      <c r="H732">
        <v>23</v>
      </c>
      <c r="I732">
        <v>3</v>
      </c>
      <c r="J732">
        <v>4</v>
      </c>
      <c r="K732" t="s">
        <v>37</v>
      </c>
      <c r="L732" t="s">
        <v>68</v>
      </c>
      <c r="M732" t="s">
        <v>38</v>
      </c>
      <c r="N732" t="s">
        <v>29</v>
      </c>
      <c r="O732">
        <v>1</v>
      </c>
      <c r="P732" t="s">
        <v>13</v>
      </c>
      <c r="Q732">
        <v>2</v>
      </c>
      <c r="R732" t="s">
        <v>49</v>
      </c>
      <c r="S732" t="s">
        <v>15</v>
      </c>
      <c r="T732" t="s">
        <v>25</v>
      </c>
    </row>
    <row r="733" spans="1:20" x14ac:dyDescent="0.3">
      <c r="A733" t="s">
        <v>782</v>
      </c>
      <c r="B733">
        <v>43</v>
      </c>
      <c r="C733" t="s">
        <v>46</v>
      </c>
      <c r="D733" t="s">
        <v>19</v>
      </c>
      <c r="E733" t="s">
        <v>28</v>
      </c>
      <c r="F733">
        <v>14</v>
      </c>
      <c r="G733" t="s">
        <v>8</v>
      </c>
      <c r="H733">
        <v>34</v>
      </c>
      <c r="I733">
        <v>9</v>
      </c>
      <c r="J733">
        <v>2</v>
      </c>
      <c r="K733" t="s">
        <v>37</v>
      </c>
      <c r="L733" t="s">
        <v>22</v>
      </c>
      <c r="M733" t="s">
        <v>38</v>
      </c>
      <c r="N733" t="s">
        <v>29</v>
      </c>
      <c r="O733">
        <v>2</v>
      </c>
      <c r="P733" t="s">
        <v>48</v>
      </c>
      <c r="Q733">
        <v>4</v>
      </c>
      <c r="R733" t="s">
        <v>14</v>
      </c>
      <c r="S733" t="s">
        <v>42</v>
      </c>
      <c r="T733" t="s">
        <v>55</v>
      </c>
    </row>
    <row r="734" spans="1:20" x14ac:dyDescent="0.3">
      <c r="A734" t="s">
        <v>783</v>
      </c>
      <c r="B734">
        <v>43</v>
      </c>
      <c r="C734" t="s">
        <v>34</v>
      </c>
      <c r="D734" t="s">
        <v>61</v>
      </c>
      <c r="E734" t="s">
        <v>20</v>
      </c>
      <c r="F734">
        <v>11</v>
      </c>
      <c r="G734" t="s">
        <v>21</v>
      </c>
      <c r="H734">
        <v>34</v>
      </c>
      <c r="I734">
        <v>9</v>
      </c>
      <c r="J734">
        <v>3</v>
      </c>
      <c r="K734" t="s">
        <v>9</v>
      </c>
      <c r="L734" t="s">
        <v>10</v>
      </c>
      <c r="M734" t="s">
        <v>38</v>
      </c>
      <c r="N734" t="s">
        <v>12</v>
      </c>
      <c r="O734">
        <v>2</v>
      </c>
      <c r="P734" t="s">
        <v>13</v>
      </c>
      <c r="Q734">
        <v>3</v>
      </c>
      <c r="R734" t="s">
        <v>30</v>
      </c>
      <c r="S734" t="s">
        <v>15</v>
      </c>
      <c r="T734" t="s">
        <v>16</v>
      </c>
    </row>
    <row r="735" spans="1:20" x14ac:dyDescent="0.3">
      <c r="A735" t="s">
        <v>784</v>
      </c>
      <c r="B735">
        <v>40</v>
      </c>
      <c r="C735" t="s">
        <v>18</v>
      </c>
      <c r="D735" t="s">
        <v>27</v>
      </c>
      <c r="E735" t="s">
        <v>64</v>
      </c>
      <c r="F735">
        <v>3</v>
      </c>
      <c r="G735" t="s">
        <v>36</v>
      </c>
      <c r="H735">
        <v>31</v>
      </c>
      <c r="I735">
        <v>6</v>
      </c>
      <c r="J735">
        <v>5</v>
      </c>
      <c r="K735" t="s">
        <v>37</v>
      </c>
      <c r="L735" t="s">
        <v>30</v>
      </c>
      <c r="M735" t="s">
        <v>38</v>
      </c>
      <c r="N735" t="s">
        <v>12</v>
      </c>
      <c r="O735">
        <v>3</v>
      </c>
      <c r="P735" t="s">
        <v>24</v>
      </c>
      <c r="Q735">
        <v>4</v>
      </c>
      <c r="R735" t="s">
        <v>30</v>
      </c>
      <c r="S735" t="s">
        <v>31</v>
      </c>
      <c r="T735" t="s">
        <v>25</v>
      </c>
    </row>
    <row r="736" spans="1:20" x14ac:dyDescent="0.3">
      <c r="A736" t="s">
        <v>785</v>
      </c>
      <c r="B736">
        <v>49</v>
      </c>
      <c r="C736" t="s">
        <v>34</v>
      </c>
      <c r="D736" t="s">
        <v>61</v>
      </c>
      <c r="E736" t="s">
        <v>64</v>
      </c>
      <c r="F736">
        <v>30</v>
      </c>
      <c r="G736" t="s">
        <v>8</v>
      </c>
      <c r="H736">
        <v>35</v>
      </c>
      <c r="I736">
        <v>3</v>
      </c>
      <c r="J736">
        <v>3</v>
      </c>
      <c r="K736" t="s">
        <v>9</v>
      </c>
      <c r="L736" t="s">
        <v>10</v>
      </c>
      <c r="M736" t="s">
        <v>11</v>
      </c>
      <c r="N736" t="s">
        <v>12</v>
      </c>
      <c r="O736">
        <v>1</v>
      </c>
      <c r="P736" t="s">
        <v>24</v>
      </c>
      <c r="Q736">
        <v>1</v>
      </c>
      <c r="R736" t="s">
        <v>14</v>
      </c>
      <c r="S736" t="s">
        <v>42</v>
      </c>
      <c r="T736" t="s">
        <v>25</v>
      </c>
    </row>
    <row r="737" spans="1:20" x14ac:dyDescent="0.3">
      <c r="A737" t="s">
        <v>786</v>
      </c>
      <c r="B737">
        <v>24</v>
      </c>
      <c r="C737" t="s">
        <v>34</v>
      </c>
      <c r="D737" t="s">
        <v>57</v>
      </c>
      <c r="E737" t="s">
        <v>51</v>
      </c>
      <c r="F737">
        <v>5</v>
      </c>
      <c r="G737" t="s">
        <v>21</v>
      </c>
      <c r="H737">
        <v>32</v>
      </c>
      <c r="I737">
        <v>5</v>
      </c>
      <c r="J737">
        <v>5</v>
      </c>
      <c r="K737" t="s">
        <v>47</v>
      </c>
      <c r="L737" t="s">
        <v>10</v>
      </c>
      <c r="M737" t="s">
        <v>38</v>
      </c>
      <c r="N737" t="s">
        <v>12</v>
      </c>
      <c r="O737">
        <v>2</v>
      </c>
      <c r="P737" t="s">
        <v>24</v>
      </c>
      <c r="Q737">
        <v>2</v>
      </c>
      <c r="R737" t="s">
        <v>14</v>
      </c>
      <c r="S737" t="s">
        <v>42</v>
      </c>
      <c r="T737" t="s">
        <v>55</v>
      </c>
    </row>
    <row r="738" spans="1:20" x14ac:dyDescent="0.3">
      <c r="A738" t="s">
        <v>787</v>
      </c>
      <c r="B738">
        <v>30</v>
      </c>
      <c r="C738" t="s">
        <v>46</v>
      </c>
      <c r="D738" t="s">
        <v>27</v>
      </c>
      <c r="E738" t="s">
        <v>35</v>
      </c>
      <c r="F738">
        <v>12</v>
      </c>
      <c r="G738" t="s">
        <v>8</v>
      </c>
      <c r="H738">
        <v>45</v>
      </c>
      <c r="I738">
        <v>4</v>
      </c>
      <c r="J738">
        <v>4</v>
      </c>
      <c r="K738" t="s">
        <v>9</v>
      </c>
      <c r="L738" t="s">
        <v>22</v>
      </c>
      <c r="M738" t="s">
        <v>11</v>
      </c>
      <c r="N738" t="s">
        <v>29</v>
      </c>
      <c r="O738">
        <v>5</v>
      </c>
      <c r="P738" t="s">
        <v>24</v>
      </c>
      <c r="Q738">
        <v>4</v>
      </c>
      <c r="R738" t="s">
        <v>49</v>
      </c>
      <c r="S738" t="s">
        <v>15</v>
      </c>
      <c r="T738" t="s">
        <v>44</v>
      </c>
    </row>
    <row r="739" spans="1:20" x14ac:dyDescent="0.3">
      <c r="A739" t="s">
        <v>788</v>
      </c>
      <c r="B739">
        <v>55</v>
      </c>
      <c r="C739" t="s">
        <v>46</v>
      </c>
      <c r="D739" t="s">
        <v>6</v>
      </c>
      <c r="E739" t="s">
        <v>28</v>
      </c>
      <c r="F739">
        <v>27</v>
      </c>
      <c r="G739" t="s">
        <v>21</v>
      </c>
      <c r="H739">
        <v>45</v>
      </c>
      <c r="I739">
        <v>10</v>
      </c>
      <c r="J739">
        <v>4</v>
      </c>
      <c r="K739" t="s">
        <v>37</v>
      </c>
      <c r="L739" t="s">
        <v>30</v>
      </c>
      <c r="M739" t="s">
        <v>11</v>
      </c>
      <c r="N739" t="s">
        <v>23</v>
      </c>
      <c r="O739">
        <v>1</v>
      </c>
      <c r="P739" t="s">
        <v>13</v>
      </c>
      <c r="Q739">
        <v>5</v>
      </c>
      <c r="R739" t="s">
        <v>49</v>
      </c>
      <c r="S739" t="s">
        <v>31</v>
      </c>
      <c r="T739" t="s">
        <v>58</v>
      </c>
    </row>
    <row r="740" spans="1:20" x14ac:dyDescent="0.3">
      <c r="A740" t="s">
        <v>789</v>
      </c>
      <c r="B740">
        <v>28</v>
      </c>
      <c r="C740" t="s">
        <v>46</v>
      </c>
      <c r="D740" t="s">
        <v>63</v>
      </c>
      <c r="E740" t="s">
        <v>64</v>
      </c>
      <c r="F740">
        <v>21</v>
      </c>
      <c r="G740" t="s">
        <v>8</v>
      </c>
      <c r="H740">
        <v>37</v>
      </c>
      <c r="I740">
        <v>7</v>
      </c>
      <c r="J740">
        <v>5</v>
      </c>
      <c r="K740" t="s">
        <v>47</v>
      </c>
      <c r="L740" t="s">
        <v>30</v>
      </c>
      <c r="M740" t="s">
        <v>38</v>
      </c>
      <c r="N740" t="s">
        <v>12</v>
      </c>
      <c r="O740">
        <v>2</v>
      </c>
      <c r="P740" t="s">
        <v>24</v>
      </c>
      <c r="Q740">
        <v>2</v>
      </c>
      <c r="R740" t="s">
        <v>14</v>
      </c>
      <c r="S740" t="s">
        <v>31</v>
      </c>
      <c r="T740" t="s">
        <v>58</v>
      </c>
    </row>
    <row r="741" spans="1:20" x14ac:dyDescent="0.3">
      <c r="A741" t="s">
        <v>790</v>
      </c>
      <c r="B741">
        <v>42</v>
      </c>
      <c r="C741" t="s">
        <v>46</v>
      </c>
      <c r="D741" t="s">
        <v>40</v>
      </c>
      <c r="E741" t="s">
        <v>51</v>
      </c>
      <c r="F741">
        <v>17</v>
      </c>
      <c r="G741" t="s">
        <v>21</v>
      </c>
      <c r="H741">
        <v>41</v>
      </c>
      <c r="I741">
        <v>12</v>
      </c>
      <c r="J741">
        <v>3</v>
      </c>
      <c r="K741" t="s">
        <v>9</v>
      </c>
      <c r="L741" t="s">
        <v>68</v>
      </c>
      <c r="M741" t="s">
        <v>11</v>
      </c>
      <c r="N741" t="s">
        <v>12</v>
      </c>
      <c r="O741">
        <v>2</v>
      </c>
      <c r="P741" t="s">
        <v>24</v>
      </c>
      <c r="Q741">
        <v>3</v>
      </c>
      <c r="R741" t="s">
        <v>30</v>
      </c>
      <c r="S741" t="s">
        <v>42</v>
      </c>
      <c r="T741" t="s">
        <v>25</v>
      </c>
    </row>
    <row r="742" spans="1:20" x14ac:dyDescent="0.3">
      <c r="A742" t="s">
        <v>791</v>
      </c>
      <c r="B742">
        <v>60</v>
      </c>
      <c r="C742" t="s">
        <v>5</v>
      </c>
      <c r="D742" t="s">
        <v>61</v>
      </c>
      <c r="E742" t="s">
        <v>35</v>
      </c>
      <c r="F742">
        <v>35</v>
      </c>
      <c r="G742" t="s">
        <v>8</v>
      </c>
      <c r="H742">
        <v>59</v>
      </c>
      <c r="I742">
        <v>11</v>
      </c>
      <c r="J742">
        <v>1</v>
      </c>
      <c r="K742" t="s">
        <v>9</v>
      </c>
      <c r="L742" t="s">
        <v>10</v>
      </c>
      <c r="M742" t="s">
        <v>11</v>
      </c>
      <c r="N742" t="s">
        <v>23</v>
      </c>
      <c r="O742">
        <v>2</v>
      </c>
      <c r="P742" t="s">
        <v>24</v>
      </c>
      <c r="Q742">
        <v>3</v>
      </c>
      <c r="R742" t="s">
        <v>49</v>
      </c>
      <c r="S742" t="s">
        <v>42</v>
      </c>
      <c r="T742" t="s">
        <v>44</v>
      </c>
    </row>
    <row r="743" spans="1:20" x14ac:dyDescent="0.3">
      <c r="A743" t="s">
        <v>792</v>
      </c>
      <c r="B743">
        <v>42</v>
      </c>
      <c r="C743" t="s">
        <v>18</v>
      </c>
      <c r="D743" t="s">
        <v>57</v>
      </c>
      <c r="E743" t="s">
        <v>51</v>
      </c>
      <c r="F743">
        <v>10</v>
      </c>
      <c r="G743" t="s">
        <v>21</v>
      </c>
      <c r="H743">
        <v>32</v>
      </c>
      <c r="I743">
        <v>2</v>
      </c>
      <c r="J743">
        <v>3</v>
      </c>
      <c r="K743" t="s">
        <v>37</v>
      </c>
      <c r="L743" t="s">
        <v>30</v>
      </c>
      <c r="M743" t="s">
        <v>11</v>
      </c>
      <c r="N743" t="s">
        <v>12</v>
      </c>
      <c r="O743">
        <v>4</v>
      </c>
      <c r="P743" t="s">
        <v>24</v>
      </c>
      <c r="Q743">
        <v>2</v>
      </c>
      <c r="R743" t="s">
        <v>30</v>
      </c>
      <c r="S743" t="s">
        <v>15</v>
      </c>
      <c r="T743" t="s">
        <v>58</v>
      </c>
    </row>
    <row r="744" spans="1:20" x14ac:dyDescent="0.3">
      <c r="A744" t="s">
        <v>793</v>
      </c>
      <c r="B744">
        <v>55</v>
      </c>
      <c r="C744" t="s">
        <v>34</v>
      </c>
      <c r="D744" t="s">
        <v>57</v>
      </c>
      <c r="E744" t="s">
        <v>41</v>
      </c>
      <c r="F744">
        <v>14</v>
      </c>
      <c r="G744" t="s">
        <v>8</v>
      </c>
      <c r="H744">
        <v>40</v>
      </c>
      <c r="I744">
        <v>4</v>
      </c>
      <c r="J744">
        <v>5</v>
      </c>
      <c r="K744" t="s">
        <v>9</v>
      </c>
      <c r="L744" t="s">
        <v>10</v>
      </c>
      <c r="M744" t="s">
        <v>38</v>
      </c>
      <c r="N744" t="s">
        <v>12</v>
      </c>
      <c r="O744">
        <v>1</v>
      </c>
      <c r="P744" t="s">
        <v>13</v>
      </c>
      <c r="Q744">
        <v>4</v>
      </c>
      <c r="R744" t="s">
        <v>30</v>
      </c>
      <c r="S744" t="s">
        <v>42</v>
      </c>
      <c r="T744" t="s">
        <v>25</v>
      </c>
    </row>
    <row r="745" spans="1:20" x14ac:dyDescent="0.3">
      <c r="A745" t="s">
        <v>794</v>
      </c>
      <c r="B745">
        <v>53</v>
      </c>
      <c r="C745" t="s">
        <v>5</v>
      </c>
      <c r="D745" t="s">
        <v>27</v>
      </c>
      <c r="E745" t="s">
        <v>7</v>
      </c>
      <c r="F745">
        <v>19</v>
      </c>
      <c r="G745" t="s">
        <v>36</v>
      </c>
      <c r="H745">
        <v>39</v>
      </c>
      <c r="I745">
        <v>14</v>
      </c>
      <c r="J745">
        <v>2</v>
      </c>
      <c r="K745" t="s">
        <v>37</v>
      </c>
      <c r="L745" t="s">
        <v>68</v>
      </c>
      <c r="M745" t="s">
        <v>38</v>
      </c>
      <c r="N745" t="s">
        <v>29</v>
      </c>
      <c r="O745">
        <v>4</v>
      </c>
      <c r="P745" t="s">
        <v>24</v>
      </c>
      <c r="Q745">
        <v>2</v>
      </c>
      <c r="R745" t="s">
        <v>30</v>
      </c>
      <c r="S745" t="s">
        <v>31</v>
      </c>
      <c r="T745" t="s">
        <v>32</v>
      </c>
    </row>
    <row r="746" spans="1:20" x14ac:dyDescent="0.3">
      <c r="A746" t="s">
        <v>795</v>
      </c>
      <c r="B746">
        <v>46</v>
      </c>
      <c r="C746" t="s">
        <v>34</v>
      </c>
      <c r="D746" t="s">
        <v>6</v>
      </c>
      <c r="E746" t="s">
        <v>7</v>
      </c>
      <c r="F746">
        <v>30</v>
      </c>
      <c r="G746" t="s">
        <v>36</v>
      </c>
      <c r="H746">
        <v>60</v>
      </c>
      <c r="I746">
        <v>12</v>
      </c>
      <c r="J746">
        <v>1</v>
      </c>
      <c r="K746" t="s">
        <v>9</v>
      </c>
      <c r="L746" t="s">
        <v>10</v>
      </c>
      <c r="M746" t="s">
        <v>11</v>
      </c>
      <c r="N746" t="s">
        <v>23</v>
      </c>
      <c r="O746">
        <v>5</v>
      </c>
      <c r="P746" t="s">
        <v>24</v>
      </c>
      <c r="Q746">
        <v>2</v>
      </c>
      <c r="R746" t="s">
        <v>14</v>
      </c>
      <c r="S746" t="s">
        <v>31</v>
      </c>
      <c r="T746" t="s">
        <v>32</v>
      </c>
    </row>
    <row r="747" spans="1:20" x14ac:dyDescent="0.3">
      <c r="A747" t="s">
        <v>796</v>
      </c>
      <c r="B747">
        <v>26</v>
      </c>
      <c r="C747" t="s">
        <v>5</v>
      </c>
      <c r="D747" t="s">
        <v>61</v>
      </c>
      <c r="E747" t="s">
        <v>7</v>
      </c>
      <c r="F747">
        <v>18</v>
      </c>
      <c r="G747" t="s">
        <v>21</v>
      </c>
      <c r="H747">
        <v>28</v>
      </c>
      <c r="I747">
        <v>0</v>
      </c>
      <c r="J747">
        <v>4</v>
      </c>
      <c r="K747" t="s">
        <v>9</v>
      </c>
      <c r="L747" t="s">
        <v>68</v>
      </c>
      <c r="M747" t="s">
        <v>11</v>
      </c>
      <c r="N747" t="s">
        <v>23</v>
      </c>
      <c r="O747">
        <v>1</v>
      </c>
      <c r="P747" t="s">
        <v>24</v>
      </c>
      <c r="Q747">
        <v>2</v>
      </c>
      <c r="R747" t="s">
        <v>14</v>
      </c>
      <c r="S747" t="s">
        <v>15</v>
      </c>
      <c r="T747" t="s">
        <v>44</v>
      </c>
    </row>
    <row r="748" spans="1:20" x14ac:dyDescent="0.3">
      <c r="A748" t="s">
        <v>797</v>
      </c>
      <c r="B748">
        <v>53</v>
      </c>
      <c r="C748" t="s">
        <v>34</v>
      </c>
      <c r="D748" t="s">
        <v>6</v>
      </c>
      <c r="E748" t="s">
        <v>20</v>
      </c>
      <c r="F748">
        <v>1</v>
      </c>
      <c r="G748" t="s">
        <v>8</v>
      </c>
      <c r="H748">
        <v>32</v>
      </c>
      <c r="I748">
        <v>9</v>
      </c>
      <c r="J748">
        <v>1</v>
      </c>
      <c r="K748" t="s">
        <v>9</v>
      </c>
      <c r="L748" t="s">
        <v>30</v>
      </c>
      <c r="M748" t="s">
        <v>11</v>
      </c>
      <c r="N748" t="s">
        <v>12</v>
      </c>
      <c r="O748">
        <v>2</v>
      </c>
      <c r="P748" t="s">
        <v>13</v>
      </c>
      <c r="Q748">
        <v>5</v>
      </c>
      <c r="R748" t="s">
        <v>49</v>
      </c>
      <c r="S748" t="s">
        <v>42</v>
      </c>
      <c r="T748" t="s">
        <v>16</v>
      </c>
    </row>
    <row r="749" spans="1:20" x14ac:dyDescent="0.3">
      <c r="A749" t="s">
        <v>798</v>
      </c>
      <c r="B749">
        <v>29</v>
      </c>
      <c r="C749" t="s">
        <v>34</v>
      </c>
      <c r="D749" t="s">
        <v>6</v>
      </c>
      <c r="E749" t="s">
        <v>35</v>
      </c>
      <c r="F749">
        <v>30</v>
      </c>
      <c r="G749" t="s">
        <v>36</v>
      </c>
      <c r="H749">
        <v>56</v>
      </c>
      <c r="I749">
        <v>11</v>
      </c>
      <c r="J749">
        <v>2</v>
      </c>
      <c r="K749" t="s">
        <v>37</v>
      </c>
      <c r="L749" t="s">
        <v>10</v>
      </c>
      <c r="M749" t="s">
        <v>38</v>
      </c>
      <c r="N749" t="s">
        <v>29</v>
      </c>
      <c r="O749">
        <v>5</v>
      </c>
      <c r="P749" t="s">
        <v>24</v>
      </c>
      <c r="Q749">
        <v>4</v>
      </c>
      <c r="R749" t="s">
        <v>14</v>
      </c>
      <c r="S749" t="s">
        <v>15</v>
      </c>
      <c r="T749" t="s">
        <v>25</v>
      </c>
    </row>
    <row r="750" spans="1:20" x14ac:dyDescent="0.3">
      <c r="A750" t="s">
        <v>799</v>
      </c>
      <c r="B750">
        <v>43</v>
      </c>
      <c r="C750" t="s">
        <v>18</v>
      </c>
      <c r="D750" t="s">
        <v>63</v>
      </c>
      <c r="E750" t="s">
        <v>35</v>
      </c>
      <c r="F750">
        <v>23</v>
      </c>
      <c r="G750" t="s">
        <v>21</v>
      </c>
      <c r="H750">
        <v>23</v>
      </c>
      <c r="I750">
        <v>0</v>
      </c>
      <c r="J750">
        <v>1</v>
      </c>
      <c r="K750" t="s">
        <v>37</v>
      </c>
      <c r="L750" t="s">
        <v>10</v>
      </c>
      <c r="M750" t="s">
        <v>38</v>
      </c>
      <c r="N750" t="s">
        <v>12</v>
      </c>
      <c r="O750">
        <v>5</v>
      </c>
      <c r="P750" t="s">
        <v>24</v>
      </c>
      <c r="Q750">
        <v>1</v>
      </c>
      <c r="R750" t="s">
        <v>49</v>
      </c>
      <c r="S750" t="s">
        <v>31</v>
      </c>
      <c r="T750" t="s">
        <v>32</v>
      </c>
    </row>
    <row r="751" spans="1:20" x14ac:dyDescent="0.3">
      <c r="A751" t="s">
        <v>800</v>
      </c>
      <c r="B751">
        <v>22</v>
      </c>
      <c r="C751" t="s">
        <v>34</v>
      </c>
      <c r="D751" t="s">
        <v>40</v>
      </c>
      <c r="E751" t="s">
        <v>20</v>
      </c>
      <c r="F751">
        <v>18</v>
      </c>
      <c r="G751" t="s">
        <v>36</v>
      </c>
      <c r="H751">
        <v>51</v>
      </c>
      <c r="I751">
        <v>1</v>
      </c>
      <c r="J751">
        <v>4</v>
      </c>
      <c r="K751" t="s">
        <v>47</v>
      </c>
      <c r="L751" t="s">
        <v>68</v>
      </c>
      <c r="M751" t="s">
        <v>11</v>
      </c>
      <c r="N751" t="s">
        <v>12</v>
      </c>
      <c r="O751">
        <v>5</v>
      </c>
      <c r="P751" t="s">
        <v>13</v>
      </c>
      <c r="Q751">
        <v>5</v>
      </c>
      <c r="R751" t="s">
        <v>30</v>
      </c>
      <c r="S751" t="s">
        <v>31</v>
      </c>
      <c r="T751" t="s">
        <v>44</v>
      </c>
    </row>
    <row r="752" spans="1:20" x14ac:dyDescent="0.3">
      <c r="A752" t="s">
        <v>801</v>
      </c>
      <c r="B752">
        <v>51</v>
      </c>
      <c r="C752" t="s">
        <v>5</v>
      </c>
      <c r="D752" t="s">
        <v>19</v>
      </c>
      <c r="E752" t="s">
        <v>20</v>
      </c>
      <c r="F752">
        <v>22</v>
      </c>
      <c r="G752" t="s">
        <v>21</v>
      </c>
      <c r="H752">
        <v>32</v>
      </c>
      <c r="I752">
        <v>11</v>
      </c>
      <c r="J752">
        <v>3</v>
      </c>
      <c r="K752" t="s">
        <v>9</v>
      </c>
      <c r="L752" t="s">
        <v>22</v>
      </c>
      <c r="M752" t="s">
        <v>38</v>
      </c>
      <c r="N752" t="s">
        <v>23</v>
      </c>
      <c r="O752">
        <v>4</v>
      </c>
      <c r="P752" t="s">
        <v>48</v>
      </c>
      <c r="Q752">
        <v>5</v>
      </c>
      <c r="R752" t="s">
        <v>49</v>
      </c>
      <c r="S752" t="s">
        <v>15</v>
      </c>
      <c r="T752" t="s">
        <v>44</v>
      </c>
    </row>
    <row r="753" spans="1:20" x14ac:dyDescent="0.3">
      <c r="A753" t="s">
        <v>802</v>
      </c>
      <c r="B753">
        <v>33</v>
      </c>
      <c r="C753" t="s">
        <v>46</v>
      </c>
      <c r="D753" t="s">
        <v>61</v>
      </c>
      <c r="E753" t="s">
        <v>7</v>
      </c>
      <c r="F753">
        <v>23</v>
      </c>
      <c r="G753" t="s">
        <v>21</v>
      </c>
      <c r="H753">
        <v>35</v>
      </c>
      <c r="I753">
        <v>12</v>
      </c>
      <c r="J753">
        <v>5</v>
      </c>
      <c r="K753" t="s">
        <v>9</v>
      </c>
      <c r="L753" t="s">
        <v>30</v>
      </c>
      <c r="M753" t="s">
        <v>11</v>
      </c>
      <c r="N753" t="s">
        <v>23</v>
      </c>
      <c r="O753">
        <v>4</v>
      </c>
      <c r="P753" t="s">
        <v>13</v>
      </c>
      <c r="Q753">
        <v>2</v>
      </c>
      <c r="R753" t="s">
        <v>30</v>
      </c>
      <c r="S753" t="s">
        <v>31</v>
      </c>
      <c r="T753" t="s">
        <v>25</v>
      </c>
    </row>
    <row r="754" spans="1:20" x14ac:dyDescent="0.3">
      <c r="A754" t="s">
        <v>803</v>
      </c>
      <c r="B754">
        <v>43</v>
      </c>
      <c r="C754" t="s">
        <v>18</v>
      </c>
      <c r="D754" t="s">
        <v>19</v>
      </c>
      <c r="E754" t="s">
        <v>7</v>
      </c>
      <c r="F754">
        <v>26</v>
      </c>
      <c r="G754" t="s">
        <v>21</v>
      </c>
      <c r="H754">
        <v>54</v>
      </c>
      <c r="I754">
        <v>7</v>
      </c>
      <c r="J754">
        <v>5</v>
      </c>
      <c r="K754" t="s">
        <v>9</v>
      </c>
      <c r="L754" t="s">
        <v>68</v>
      </c>
      <c r="M754" t="s">
        <v>11</v>
      </c>
      <c r="N754" t="s">
        <v>29</v>
      </c>
      <c r="O754">
        <v>3</v>
      </c>
      <c r="P754" t="s">
        <v>24</v>
      </c>
      <c r="Q754">
        <v>1</v>
      </c>
      <c r="R754" t="s">
        <v>49</v>
      </c>
      <c r="S754" t="s">
        <v>42</v>
      </c>
      <c r="T754" t="s">
        <v>44</v>
      </c>
    </row>
    <row r="755" spans="1:20" x14ac:dyDescent="0.3">
      <c r="A755" t="s">
        <v>804</v>
      </c>
      <c r="B755">
        <v>56</v>
      </c>
      <c r="C755" t="s">
        <v>18</v>
      </c>
      <c r="D755" t="s">
        <v>19</v>
      </c>
      <c r="E755" t="s">
        <v>28</v>
      </c>
      <c r="F755">
        <v>33</v>
      </c>
      <c r="G755" t="s">
        <v>21</v>
      </c>
      <c r="H755">
        <v>44</v>
      </c>
      <c r="I755">
        <v>4</v>
      </c>
      <c r="J755">
        <v>2</v>
      </c>
      <c r="K755" t="s">
        <v>37</v>
      </c>
      <c r="L755" t="s">
        <v>30</v>
      </c>
      <c r="M755" t="s">
        <v>11</v>
      </c>
      <c r="N755" t="s">
        <v>12</v>
      </c>
      <c r="O755">
        <v>3</v>
      </c>
      <c r="P755" t="s">
        <v>24</v>
      </c>
      <c r="Q755">
        <v>4</v>
      </c>
      <c r="R755" t="s">
        <v>30</v>
      </c>
      <c r="S755" t="s">
        <v>42</v>
      </c>
      <c r="T755" t="s">
        <v>55</v>
      </c>
    </row>
    <row r="756" spans="1:20" x14ac:dyDescent="0.3">
      <c r="A756" t="s">
        <v>805</v>
      </c>
      <c r="B756">
        <v>59</v>
      </c>
      <c r="C756" t="s">
        <v>46</v>
      </c>
      <c r="D756" t="s">
        <v>61</v>
      </c>
      <c r="E756" t="s">
        <v>41</v>
      </c>
      <c r="F756">
        <v>17</v>
      </c>
      <c r="G756" t="s">
        <v>21</v>
      </c>
      <c r="H756">
        <v>36</v>
      </c>
      <c r="I756">
        <v>2</v>
      </c>
      <c r="J756">
        <v>1</v>
      </c>
      <c r="K756" t="s">
        <v>47</v>
      </c>
      <c r="L756" t="s">
        <v>22</v>
      </c>
      <c r="M756" t="s">
        <v>38</v>
      </c>
      <c r="N756" t="s">
        <v>12</v>
      </c>
      <c r="O756">
        <v>3</v>
      </c>
      <c r="P756" t="s">
        <v>13</v>
      </c>
      <c r="Q756">
        <v>4</v>
      </c>
      <c r="R756" t="s">
        <v>49</v>
      </c>
      <c r="S756" t="s">
        <v>42</v>
      </c>
      <c r="T756" t="s">
        <v>32</v>
      </c>
    </row>
    <row r="757" spans="1:20" x14ac:dyDescent="0.3">
      <c r="A757" t="s">
        <v>806</v>
      </c>
      <c r="B757">
        <v>47</v>
      </c>
      <c r="C757" t="s">
        <v>34</v>
      </c>
      <c r="D757" t="s">
        <v>57</v>
      </c>
      <c r="E757" t="s">
        <v>51</v>
      </c>
      <c r="F757">
        <v>11</v>
      </c>
      <c r="G757" t="s">
        <v>21</v>
      </c>
      <c r="H757">
        <v>24</v>
      </c>
      <c r="I757">
        <v>5</v>
      </c>
      <c r="J757">
        <v>1</v>
      </c>
      <c r="K757" t="s">
        <v>9</v>
      </c>
      <c r="L757" t="s">
        <v>68</v>
      </c>
      <c r="M757" t="s">
        <v>38</v>
      </c>
      <c r="N757" t="s">
        <v>23</v>
      </c>
      <c r="O757">
        <v>3</v>
      </c>
      <c r="P757" t="s">
        <v>24</v>
      </c>
      <c r="Q757">
        <v>3</v>
      </c>
      <c r="R757" t="s">
        <v>14</v>
      </c>
      <c r="S757" t="s">
        <v>31</v>
      </c>
      <c r="T757" t="s">
        <v>44</v>
      </c>
    </row>
    <row r="758" spans="1:20" x14ac:dyDescent="0.3">
      <c r="A758" t="s">
        <v>807</v>
      </c>
      <c r="B758">
        <v>49</v>
      </c>
      <c r="C758" t="s">
        <v>34</v>
      </c>
      <c r="D758" t="s">
        <v>27</v>
      </c>
      <c r="E758" t="s">
        <v>64</v>
      </c>
      <c r="F758">
        <v>19</v>
      </c>
      <c r="G758" t="s">
        <v>36</v>
      </c>
      <c r="H758">
        <v>24</v>
      </c>
      <c r="I758">
        <v>9</v>
      </c>
      <c r="J758">
        <v>2</v>
      </c>
      <c r="K758" t="s">
        <v>47</v>
      </c>
      <c r="L758" t="s">
        <v>10</v>
      </c>
      <c r="M758" t="s">
        <v>11</v>
      </c>
      <c r="N758" t="s">
        <v>29</v>
      </c>
      <c r="O758">
        <v>2</v>
      </c>
      <c r="P758" t="s">
        <v>13</v>
      </c>
      <c r="Q758">
        <v>5</v>
      </c>
      <c r="R758" t="s">
        <v>49</v>
      </c>
      <c r="S758" t="s">
        <v>31</v>
      </c>
      <c r="T758" t="s">
        <v>44</v>
      </c>
    </row>
    <row r="759" spans="1:20" x14ac:dyDescent="0.3">
      <c r="A759" t="s">
        <v>808</v>
      </c>
      <c r="B759">
        <v>35</v>
      </c>
      <c r="C759" t="s">
        <v>5</v>
      </c>
      <c r="D759" t="s">
        <v>61</v>
      </c>
      <c r="E759" t="s">
        <v>51</v>
      </c>
      <c r="F759">
        <v>26</v>
      </c>
      <c r="G759" t="s">
        <v>21</v>
      </c>
      <c r="H759">
        <v>32</v>
      </c>
      <c r="I759">
        <v>5</v>
      </c>
      <c r="J759">
        <v>3</v>
      </c>
      <c r="K759" t="s">
        <v>47</v>
      </c>
      <c r="L759" t="s">
        <v>68</v>
      </c>
      <c r="M759" t="s">
        <v>11</v>
      </c>
      <c r="N759" t="s">
        <v>23</v>
      </c>
      <c r="O759">
        <v>1</v>
      </c>
      <c r="P759" t="s">
        <v>48</v>
      </c>
      <c r="Q759">
        <v>4</v>
      </c>
      <c r="R759" t="s">
        <v>30</v>
      </c>
      <c r="S759" t="s">
        <v>15</v>
      </c>
      <c r="T759" t="s">
        <v>44</v>
      </c>
    </row>
    <row r="760" spans="1:20" x14ac:dyDescent="0.3">
      <c r="A760" t="s">
        <v>809</v>
      </c>
      <c r="B760">
        <v>58</v>
      </c>
      <c r="C760" t="s">
        <v>5</v>
      </c>
      <c r="D760" t="s">
        <v>27</v>
      </c>
      <c r="E760" t="s">
        <v>28</v>
      </c>
      <c r="F760">
        <v>15</v>
      </c>
      <c r="G760" t="s">
        <v>8</v>
      </c>
      <c r="H760">
        <v>21</v>
      </c>
      <c r="I760">
        <v>3</v>
      </c>
      <c r="J760">
        <v>5</v>
      </c>
      <c r="K760" t="s">
        <v>9</v>
      </c>
      <c r="L760" t="s">
        <v>30</v>
      </c>
      <c r="M760" t="s">
        <v>11</v>
      </c>
      <c r="N760" t="s">
        <v>23</v>
      </c>
      <c r="O760">
        <v>3</v>
      </c>
      <c r="P760" t="s">
        <v>48</v>
      </c>
      <c r="Q760">
        <v>1</v>
      </c>
      <c r="R760" t="s">
        <v>30</v>
      </c>
      <c r="S760" t="s">
        <v>15</v>
      </c>
      <c r="T760" t="s">
        <v>44</v>
      </c>
    </row>
    <row r="761" spans="1:20" x14ac:dyDescent="0.3">
      <c r="A761" t="s">
        <v>810</v>
      </c>
      <c r="B761">
        <v>36</v>
      </c>
      <c r="C761" t="s">
        <v>34</v>
      </c>
      <c r="D761" t="s">
        <v>6</v>
      </c>
      <c r="E761" t="s">
        <v>7</v>
      </c>
      <c r="F761">
        <v>12</v>
      </c>
      <c r="G761" t="s">
        <v>8</v>
      </c>
      <c r="H761">
        <v>20</v>
      </c>
      <c r="I761">
        <v>4</v>
      </c>
      <c r="J761">
        <v>5</v>
      </c>
      <c r="K761" t="s">
        <v>9</v>
      </c>
      <c r="L761" t="s">
        <v>10</v>
      </c>
      <c r="M761" t="s">
        <v>38</v>
      </c>
      <c r="N761" t="s">
        <v>23</v>
      </c>
      <c r="O761">
        <v>2</v>
      </c>
      <c r="P761" t="s">
        <v>48</v>
      </c>
      <c r="Q761">
        <v>1</v>
      </c>
      <c r="R761" t="s">
        <v>14</v>
      </c>
      <c r="S761" t="s">
        <v>15</v>
      </c>
      <c r="T761" t="s">
        <v>58</v>
      </c>
    </row>
    <row r="762" spans="1:20" x14ac:dyDescent="0.3">
      <c r="A762" t="s">
        <v>811</v>
      </c>
      <c r="B762">
        <v>22</v>
      </c>
      <c r="C762" t="s">
        <v>18</v>
      </c>
      <c r="D762" t="s">
        <v>19</v>
      </c>
      <c r="E762" t="s">
        <v>20</v>
      </c>
      <c r="F762">
        <v>13</v>
      </c>
      <c r="G762" t="s">
        <v>36</v>
      </c>
      <c r="H762">
        <v>59</v>
      </c>
      <c r="I762">
        <v>14</v>
      </c>
      <c r="J762">
        <v>2</v>
      </c>
      <c r="K762" t="s">
        <v>37</v>
      </c>
      <c r="L762" t="s">
        <v>30</v>
      </c>
      <c r="M762" t="s">
        <v>38</v>
      </c>
      <c r="N762" t="s">
        <v>29</v>
      </c>
      <c r="O762">
        <v>1</v>
      </c>
      <c r="P762" t="s">
        <v>48</v>
      </c>
      <c r="Q762">
        <v>1</v>
      </c>
      <c r="R762" t="s">
        <v>14</v>
      </c>
      <c r="S762" t="s">
        <v>31</v>
      </c>
      <c r="T762" t="s">
        <v>16</v>
      </c>
    </row>
    <row r="763" spans="1:20" x14ac:dyDescent="0.3">
      <c r="A763" t="s">
        <v>812</v>
      </c>
      <c r="B763">
        <v>33</v>
      </c>
      <c r="C763" t="s">
        <v>34</v>
      </c>
      <c r="D763" t="s">
        <v>63</v>
      </c>
      <c r="E763" t="s">
        <v>20</v>
      </c>
      <c r="F763">
        <v>26</v>
      </c>
      <c r="G763" t="s">
        <v>8</v>
      </c>
      <c r="H763">
        <v>44</v>
      </c>
      <c r="I763">
        <v>4</v>
      </c>
      <c r="J763">
        <v>1</v>
      </c>
      <c r="K763" t="s">
        <v>37</v>
      </c>
      <c r="L763" t="s">
        <v>10</v>
      </c>
      <c r="M763" t="s">
        <v>38</v>
      </c>
      <c r="N763" t="s">
        <v>12</v>
      </c>
      <c r="O763">
        <v>2</v>
      </c>
      <c r="P763" t="s">
        <v>13</v>
      </c>
      <c r="Q763">
        <v>1</v>
      </c>
      <c r="R763" t="s">
        <v>30</v>
      </c>
      <c r="S763" t="s">
        <v>15</v>
      </c>
      <c r="T763" t="s">
        <v>58</v>
      </c>
    </row>
    <row r="764" spans="1:20" x14ac:dyDescent="0.3">
      <c r="A764" t="s">
        <v>813</v>
      </c>
      <c r="B764">
        <v>56</v>
      </c>
      <c r="C764" t="s">
        <v>34</v>
      </c>
      <c r="D764" t="s">
        <v>57</v>
      </c>
      <c r="E764" t="s">
        <v>64</v>
      </c>
      <c r="F764">
        <v>6</v>
      </c>
      <c r="G764" t="s">
        <v>21</v>
      </c>
      <c r="H764">
        <v>57</v>
      </c>
      <c r="I764">
        <v>0</v>
      </c>
      <c r="J764">
        <v>3</v>
      </c>
      <c r="K764" t="s">
        <v>47</v>
      </c>
      <c r="L764" t="s">
        <v>30</v>
      </c>
      <c r="M764" t="s">
        <v>38</v>
      </c>
      <c r="N764" t="s">
        <v>12</v>
      </c>
      <c r="O764">
        <v>4</v>
      </c>
      <c r="P764" t="s">
        <v>48</v>
      </c>
      <c r="Q764">
        <v>5</v>
      </c>
      <c r="R764" t="s">
        <v>14</v>
      </c>
      <c r="S764" t="s">
        <v>42</v>
      </c>
      <c r="T764" t="s">
        <v>44</v>
      </c>
    </row>
    <row r="765" spans="1:20" x14ac:dyDescent="0.3">
      <c r="A765" t="s">
        <v>814</v>
      </c>
      <c r="B765">
        <v>29</v>
      </c>
      <c r="C765" t="s">
        <v>5</v>
      </c>
      <c r="D765" t="s">
        <v>27</v>
      </c>
      <c r="E765" t="s">
        <v>35</v>
      </c>
      <c r="F765">
        <v>31</v>
      </c>
      <c r="G765" t="s">
        <v>36</v>
      </c>
      <c r="H765">
        <v>56</v>
      </c>
      <c r="I765">
        <v>7</v>
      </c>
      <c r="J765">
        <v>1</v>
      </c>
      <c r="K765" t="s">
        <v>9</v>
      </c>
      <c r="L765" t="s">
        <v>10</v>
      </c>
      <c r="M765" t="s">
        <v>38</v>
      </c>
      <c r="N765" t="s">
        <v>12</v>
      </c>
      <c r="O765">
        <v>3</v>
      </c>
      <c r="P765" t="s">
        <v>48</v>
      </c>
      <c r="Q765">
        <v>4</v>
      </c>
      <c r="R765" t="s">
        <v>14</v>
      </c>
      <c r="S765" t="s">
        <v>31</v>
      </c>
      <c r="T765" t="s">
        <v>32</v>
      </c>
    </row>
    <row r="766" spans="1:20" x14ac:dyDescent="0.3">
      <c r="A766" t="s">
        <v>815</v>
      </c>
      <c r="B766">
        <v>39</v>
      </c>
      <c r="C766" t="s">
        <v>34</v>
      </c>
      <c r="D766" t="s">
        <v>27</v>
      </c>
      <c r="E766" t="s">
        <v>28</v>
      </c>
      <c r="F766">
        <v>5</v>
      </c>
      <c r="G766" t="s">
        <v>8</v>
      </c>
      <c r="H766">
        <v>51</v>
      </c>
      <c r="I766">
        <v>0</v>
      </c>
      <c r="J766">
        <v>1</v>
      </c>
      <c r="K766" t="s">
        <v>9</v>
      </c>
      <c r="L766" t="s">
        <v>22</v>
      </c>
      <c r="M766" t="s">
        <v>38</v>
      </c>
      <c r="N766" t="s">
        <v>12</v>
      </c>
      <c r="O766">
        <v>3</v>
      </c>
      <c r="P766" t="s">
        <v>48</v>
      </c>
      <c r="Q766">
        <v>3</v>
      </c>
      <c r="R766" t="s">
        <v>30</v>
      </c>
      <c r="S766" t="s">
        <v>31</v>
      </c>
      <c r="T766" t="s">
        <v>32</v>
      </c>
    </row>
    <row r="767" spans="1:20" x14ac:dyDescent="0.3">
      <c r="A767" t="s">
        <v>816</v>
      </c>
      <c r="B767">
        <v>33</v>
      </c>
      <c r="C767" t="s">
        <v>34</v>
      </c>
      <c r="D767" t="s">
        <v>61</v>
      </c>
      <c r="E767" t="s">
        <v>64</v>
      </c>
      <c r="F767">
        <v>24</v>
      </c>
      <c r="G767" t="s">
        <v>8</v>
      </c>
      <c r="H767">
        <v>23</v>
      </c>
      <c r="I767">
        <v>15</v>
      </c>
      <c r="J767">
        <v>2</v>
      </c>
      <c r="K767" t="s">
        <v>37</v>
      </c>
      <c r="L767" t="s">
        <v>22</v>
      </c>
      <c r="M767" t="s">
        <v>38</v>
      </c>
      <c r="N767" t="s">
        <v>23</v>
      </c>
      <c r="O767">
        <v>4</v>
      </c>
      <c r="P767" t="s">
        <v>48</v>
      </c>
      <c r="Q767">
        <v>1</v>
      </c>
      <c r="R767" t="s">
        <v>30</v>
      </c>
      <c r="S767" t="s">
        <v>42</v>
      </c>
      <c r="T767" t="s">
        <v>16</v>
      </c>
    </row>
    <row r="768" spans="1:20" x14ac:dyDescent="0.3">
      <c r="A768" t="s">
        <v>817</v>
      </c>
      <c r="B768">
        <v>41</v>
      </c>
      <c r="C768" t="s">
        <v>5</v>
      </c>
      <c r="D768" t="s">
        <v>57</v>
      </c>
      <c r="E768" t="s">
        <v>64</v>
      </c>
      <c r="F768">
        <v>20</v>
      </c>
      <c r="G768" t="s">
        <v>36</v>
      </c>
      <c r="H768">
        <v>34</v>
      </c>
      <c r="I768">
        <v>8</v>
      </c>
      <c r="J768">
        <v>5</v>
      </c>
      <c r="K768" t="s">
        <v>47</v>
      </c>
      <c r="L768" t="s">
        <v>22</v>
      </c>
      <c r="M768" t="s">
        <v>11</v>
      </c>
      <c r="N768" t="s">
        <v>23</v>
      </c>
      <c r="O768">
        <v>2</v>
      </c>
      <c r="P768" t="s">
        <v>24</v>
      </c>
      <c r="Q768">
        <v>1</v>
      </c>
      <c r="R768" t="s">
        <v>14</v>
      </c>
      <c r="S768" t="s">
        <v>42</v>
      </c>
      <c r="T768" t="s">
        <v>16</v>
      </c>
    </row>
    <row r="769" spans="1:20" x14ac:dyDescent="0.3">
      <c r="A769" t="s">
        <v>818</v>
      </c>
      <c r="B769">
        <v>40</v>
      </c>
      <c r="C769" t="s">
        <v>18</v>
      </c>
      <c r="D769" t="s">
        <v>57</v>
      </c>
      <c r="E769" t="s">
        <v>41</v>
      </c>
      <c r="F769">
        <v>3</v>
      </c>
      <c r="G769" t="s">
        <v>21</v>
      </c>
      <c r="H769">
        <v>45</v>
      </c>
      <c r="I769">
        <v>0</v>
      </c>
      <c r="J769">
        <v>2</v>
      </c>
      <c r="K769" t="s">
        <v>9</v>
      </c>
      <c r="L769" t="s">
        <v>22</v>
      </c>
      <c r="M769" t="s">
        <v>38</v>
      </c>
      <c r="N769" t="s">
        <v>12</v>
      </c>
      <c r="O769">
        <v>2</v>
      </c>
      <c r="P769" t="s">
        <v>48</v>
      </c>
      <c r="Q769">
        <v>3</v>
      </c>
      <c r="R769" t="s">
        <v>49</v>
      </c>
      <c r="S769" t="s">
        <v>15</v>
      </c>
      <c r="T769" t="s">
        <v>16</v>
      </c>
    </row>
    <row r="770" spans="1:20" x14ac:dyDescent="0.3">
      <c r="A770" t="s">
        <v>819</v>
      </c>
      <c r="B770">
        <v>36</v>
      </c>
      <c r="C770" t="s">
        <v>34</v>
      </c>
      <c r="D770" t="s">
        <v>27</v>
      </c>
      <c r="E770" t="s">
        <v>7</v>
      </c>
      <c r="F770">
        <v>8</v>
      </c>
      <c r="G770" t="s">
        <v>21</v>
      </c>
      <c r="H770">
        <v>50</v>
      </c>
      <c r="I770">
        <v>0</v>
      </c>
      <c r="J770">
        <v>4</v>
      </c>
      <c r="K770" t="s">
        <v>47</v>
      </c>
      <c r="L770" t="s">
        <v>30</v>
      </c>
      <c r="M770" t="s">
        <v>38</v>
      </c>
      <c r="N770" t="s">
        <v>29</v>
      </c>
      <c r="O770">
        <v>2</v>
      </c>
      <c r="P770" t="s">
        <v>24</v>
      </c>
      <c r="Q770">
        <v>1</v>
      </c>
      <c r="R770" t="s">
        <v>14</v>
      </c>
      <c r="S770" t="s">
        <v>15</v>
      </c>
      <c r="T770" t="s">
        <v>44</v>
      </c>
    </row>
    <row r="771" spans="1:20" x14ac:dyDescent="0.3">
      <c r="A771" t="s">
        <v>820</v>
      </c>
      <c r="B771">
        <v>40</v>
      </c>
      <c r="C771" t="s">
        <v>5</v>
      </c>
      <c r="D771" t="s">
        <v>63</v>
      </c>
      <c r="E771" t="s">
        <v>7</v>
      </c>
      <c r="F771">
        <v>9</v>
      </c>
      <c r="G771" t="s">
        <v>21</v>
      </c>
      <c r="H771">
        <v>27</v>
      </c>
      <c r="I771">
        <v>6</v>
      </c>
      <c r="J771">
        <v>5</v>
      </c>
      <c r="K771" t="s">
        <v>9</v>
      </c>
      <c r="L771" t="s">
        <v>10</v>
      </c>
      <c r="M771" t="s">
        <v>11</v>
      </c>
      <c r="N771" t="s">
        <v>23</v>
      </c>
      <c r="O771">
        <v>2</v>
      </c>
      <c r="P771" t="s">
        <v>48</v>
      </c>
      <c r="Q771">
        <v>5</v>
      </c>
      <c r="R771" t="s">
        <v>49</v>
      </c>
      <c r="S771" t="s">
        <v>15</v>
      </c>
      <c r="T771" t="s">
        <v>55</v>
      </c>
    </row>
    <row r="772" spans="1:20" x14ac:dyDescent="0.3">
      <c r="A772" t="s">
        <v>821</v>
      </c>
      <c r="B772">
        <v>33</v>
      </c>
      <c r="C772" t="s">
        <v>18</v>
      </c>
      <c r="D772" t="s">
        <v>57</v>
      </c>
      <c r="E772" t="s">
        <v>20</v>
      </c>
      <c r="F772">
        <v>3</v>
      </c>
      <c r="G772" t="s">
        <v>36</v>
      </c>
      <c r="H772">
        <v>60</v>
      </c>
      <c r="I772">
        <v>12</v>
      </c>
      <c r="J772">
        <v>4</v>
      </c>
      <c r="K772" t="s">
        <v>47</v>
      </c>
      <c r="L772" t="s">
        <v>30</v>
      </c>
      <c r="M772" t="s">
        <v>38</v>
      </c>
      <c r="N772" t="s">
        <v>12</v>
      </c>
      <c r="O772">
        <v>2</v>
      </c>
      <c r="P772" t="s">
        <v>48</v>
      </c>
      <c r="Q772">
        <v>1</v>
      </c>
      <c r="R772" t="s">
        <v>49</v>
      </c>
      <c r="S772" t="s">
        <v>15</v>
      </c>
      <c r="T772" t="s">
        <v>32</v>
      </c>
    </row>
    <row r="773" spans="1:20" x14ac:dyDescent="0.3">
      <c r="A773" t="s">
        <v>822</v>
      </c>
      <c r="B773">
        <v>30</v>
      </c>
      <c r="C773" t="s">
        <v>46</v>
      </c>
      <c r="D773" t="s">
        <v>61</v>
      </c>
      <c r="E773" t="s">
        <v>28</v>
      </c>
      <c r="F773">
        <v>23</v>
      </c>
      <c r="G773" t="s">
        <v>21</v>
      </c>
      <c r="H773">
        <v>45</v>
      </c>
      <c r="I773">
        <v>9</v>
      </c>
      <c r="J773">
        <v>1</v>
      </c>
      <c r="K773" t="s">
        <v>9</v>
      </c>
      <c r="L773" t="s">
        <v>10</v>
      </c>
      <c r="M773" t="s">
        <v>11</v>
      </c>
      <c r="N773" t="s">
        <v>23</v>
      </c>
      <c r="O773">
        <v>5</v>
      </c>
      <c r="P773" t="s">
        <v>24</v>
      </c>
      <c r="Q773">
        <v>2</v>
      </c>
      <c r="R773" t="s">
        <v>14</v>
      </c>
      <c r="S773" t="s">
        <v>15</v>
      </c>
      <c r="T773" t="s">
        <v>25</v>
      </c>
    </row>
    <row r="774" spans="1:20" x14ac:dyDescent="0.3">
      <c r="A774" t="s">
        <v>823</v>
      </c>
      <c r="B774">
        <v>40</v>
      </c>
      <c r="C774" t="s">
        <v>5</v>
      </c>
      <c r="D774" t="s">
        <v>57</v>
      </c>
      <c r="E774" t="s">
        <v>7</v>
      </c>
      <c r="F774">
        <v>8</v>
      </c>
      <c r="G774" t="s">
        <v>36</v>
      </c>
      <c r="H774">
        <v>41</v>
      </c>
      <c r="I774">
        <v>6</v>
      </c>
      <c r="J774">
        <v>3</v>
      </c>
      <c r="K774" t="s">
        <v>47</v>
      </c>
      <c r="L774" t="s">
        <v>30</v>
      </c>
      <c r="M774" t="s">
        <v>11</v>
      </c>
      <c r="N774" t="s">
        <v>23</v>
      </c>
      <c r="O774">
        <v>1</v>
      </c>
      <c r="P774" t="s">
        <v>24</v>
      </c>
      <c r="Q774">
        <v>1</v>
      </c>
      <c r="R774" t="s">
        <v>49</v>
      </c>
      <c r="S774" t="s">
        <v>15</v>
      </c>
      <c r="T774" t="s">
        <v>16</v>
      </c>
    </row>
    <row r="775" spans="1:20" x14ac:dyDescent="0.3">
      <c r="A775" t="s">
        <v>824</v>
      </c>
      <c r="B775">
        <v>58</v>
      </c>
      <c r="C775" t="s">
        <v>18</v>
      </c>
      <c r="D775" t="s">
        <v>63</v>
      </c>
      <c r="E775" t="s">
        <v>51</v>
      </c>
      <c r="F775">
        <v>26</v>
      </c>
      <c r="G775" t="s">
        <v>36</v>
      </c>
      <c r="H775">
        <v>25</v>
      </c>
      <c r="I775">
        <v>5</v>
      </c>
      <c r="J775">
        <v>1</v>
      </c>
      <c r="K775" t="s">
        <v>9</v>
      </c>
      <c r="L775" t="s">
        <v>68</v>
      </c>
      <c r="M775" t="s">
        <v>38</v>
      </c>
      <c r="N775" t="s">
        <v>12</v>
      </c>
      <c r="O775">
        <v>1</v>
      </c>
      <c r="P775" t="s">
        <v>13</v>
      </c>
      <c r="Q775">
        <v>3</v>
      </c>
      <c r="R775" t="s">
        <v>49</v>
      </c>
      <c r="S775" t="s">
        <v>31</v>
      </c>
      <c r="T775" t="s">
        <v>44</v>
      </c>
    </row>
    <row r="776" spans="1:20" x14ac:dyDescent="0.3">
      <c r="A776" t="s">
        <v>825</v>
      </c>
      <c r="B776">
        <v>45</v>
      </c>
      <c r="C776" t="s">
        <v>18</v>
      </c>
      <c r="D776" t="s">
        <v>63</v>
      </c>
      <c r="E776" t="s">
        <v>28</v>
      </c>
      <c r="F776">
        <v>6</v>
      </c>
      <c r="G776" t="s">
        <v>8</v>
      </c>
      <c r="H776">
        <v>40</v>
      </c>
      <c r="I776">
        <v>1</v>
      </c>
      <c r="J776">
        <v>2</v>
      </c>
      <c r="K776" t="s">
        <v>37</v>
      </c>
      <c r="L776" t="s">
        <v>22</v>
      </c>
      <c r="M776" t="s">
        <v>11</v>
      </c>
      <c r="N776" t="s">
        <v>23</v>
      </c>
      <c r="O776">
        <v>2</v>
      </c>
      <c r="P776" t="s">
        <v>13</v>
      </c>
      <c r="Q776">
        <v>3</v>
      </c>
      <c r="R776" t="s">
        <v>49</v>
      </c>
      <c r="S776" t="s">
        <v>15</v>
      </c>
      <c r="T776" t="s">
        <v>32</v>
      </c>
    </row>
    <row r="777" spans="1:20" x14ac:dyDescent="0.3">
      <c r="A777" t="s">
        <v>826</v>
      </c>
      <c r="B777">
        <v>40</v>
      </c>
      <c r="C777" t="s">
        <v>18</v>
      </c>
      <c r="D777" t="s">
        <v>40</v>
      </c>
      <c r="E777" t="s">
        <v>7</v>
      </c>
      <c r="F777">
        <v>9</v>
      </c>
      <c r="G777" t="s">
        <v>21</v>
      </c>
      <c r="H777">
        <v>58</v>
      </c>
      <c r="I777">
        <v>10</v>
      </c>
      <c r="J777">
        <v>1</v>
      </c>
      <c r="K777" t="s">
        <v>9</v>
      </c>
      <c r="L777" t="s">
        <v>10</v>
      </c>
      <c r="M777" t="s">
        <v>38</v>
      </c>
      <c r="N777" t="s">
        <v>23</v>
      </c>
      <c r="O777">
        <v>3</v>
      </c>
      <c r="P777" t="s">
        <v>24</v>
      </c>
      <c r="Q777">
        <v>2</v>
      </c>
      <c r="R777" t="s">
        <v>14</v>
      </c>
      <c r="S777" t="s">
        <v>42</v>
      </c>
      <c r="T777" t="s">
        <v>32</v>
      </c>
    </row>
    <row r="778" spans="1:20" x14ac:dyDescent="0.3">
      <c r="A778" t="s">
        <v>827</v>
      </c>
      <c r="B778">
        <v>38</v>
      </c>
      <c r="C778" t="s">
        <v>34</v>
      </c>
      <c r="D778" t="s">
        <v>61</v>
      </c>
      <c r="E778" t="s">
        <v>41</v>
      </c>
      <c r="F778">
        <v>20</v>
      </c>
      <c r="G778" t="s">
        <v>8</v>
      </c>
      <c r="H778">
        <v>36</v>
      </c>
      <c r="I778">
        <v>7</v>
      </c>
      <c r="J778">
        <v>5</v>
      </c>
      <c r="K778" t="s">
        <v>9</v>
      </c>
      <c r="L778" t="s">
        <v>22</v>
      </c>
      <c r="M778" t="s">
        <v>38</v>
      </c>
      <c r="N778" t="s">
        <v>23</v>
      </c>
      <c r="O778">
        <v>5</v>
      </c>
      <c r="P778" t="s">
        <v>13</v>
      </c>
      <c r="Q778">
        <v>5</v>
      </c>
      <c r="R778" t="s">
        <v>30</v>
      </c>
      <c r="S778" t="s">
        <v>42</v>
      </c>
      <c r="T778" t="s">
        <v>32</v>
      </c>
    </row>
    <row r="779" spans="1:20" x14ac:dyDescent="0.3">
      <c r="A779" t="s">
        <v>828</v>
      </c>
      <c r="B779">
        <v>55</v>
      </c>
      <c r="C779" t="s">
        <v>18</v>
      </c>
      <c r="D779" t="s">
        <v>57</v>
      </c>
      <c r="E779" t="s">
        <v>35</v>
      </c>
      <c r="F779">
        <v>12</v>
      </c>
      <c r="G779" t="s">
        <v>36</v>
      </c>
      <c r="H779">
        <v>38</v>
      </c>
      <c r="I779">
        <v>6</v>
      </c>
      <c r="J779">
        <v>2</v>
      </c>
      <c r="K779" t="s">
        <v>9</v>
      </c>
      <c r="L779" t="s">
        <v>30</v>
      </c>
      <c r="M779" t="s">
        <v>11</v>
      </c>
      <c r="N779" t="s">
        <v>12</v>
      </c>
      <c r="O779">
        <v>4</v>
      </c>
      <c r="P779" t="s">
        <v>24</v>
      </c>
      <c r="Q779">
        <v>4</v>
      </c>
      <c r="R779" t="s">
        <v>49</v>
      </c>
      <c r="S779" t="s">
        <v>31</v>
      </c>
      <c r="T779" t="s">
        <v>25</v>
      </c>
    </row>
    <row r="780" spans="1:20" x14ac:dyDescent="0.3">
      <c r="A780" t="s">
        <v>829</v>
      </c>
      <c r="B780">
        <v>29</v>
      </c>
      <c r="C780" t="s">
        <v>34</v>
      </c>
      <c r="D780" t="s">
        <v>63</v>
      </c>
      <c r="E780" t="s">
        <v>51</v>
      </c>
      <c r="F780">
        <v>30</v>
      </c>
      <c r="G780" t="s">
        <v>8</v>
      </c>
      <c r="H780">
        <v>21</v>
      </c>
      <c r="I780">
        <v>15</v>
      </c>
      <c r="J780">
        <v>5</v>
      </c>
      <c r="K780" t="s">
        <v>9</v>
      </c>
      <c r="L780" t="s">
        <v>22</v>
      </c>
      <c r="M780" t="s">
        <v>38</v>
      </c>
      <c r="N780" t="s">
        <v>23</v>
      </c>
      <c r="O780">
        <v>1</v>
      </c>
      <c r="P780" t="s">
        <v>48</v>
      </c>
      <c r="Q780">
        <v>4</v>
      </c>
      <c r="R780" t="s">
        <v>14</v>
      </c>
      <c r="S780" t="s">
        <v>31</v>
      </c>
      <c r="T780" t="s">
        <v>58</v>
      </c>
    </row>
    <row r="781" spans="1:20" x14ac:dyDescent="0.3">
      <c r="A781" t="s">
        <v>830</v>
      </c>
      <c r="B781">
        <v>31</v>
      </c>
      <c r="C781" t="s">
        <v>34</v>
      </c>
      <c r="D781" t="s">
        <v>61</v>
      </c>
      <c r="E781" t="s">
        <v>64</v>
      </c>
      <c r="F781">
        <v>6</v>
      </c>
      <c r="G781" t="s">
        <v>21</v>
      </c>
      <c r="H781">
        <v>59</v>
      </c>
      <c r="I781">
        <v>15</v>
      </c>
      <c r="J781">
        <v>3</v>
      </c>
      <c r="K781" t="s">
        <v>37</v>
      </c>
      <c r="L781" t="s">
        <v>68</v>
      </c>
      <c r="M781" t="s">
        <v>38</v>
      </c>
      <c r="N781" t="s">
        <v>23</v>
      </c>
      <c r="O781">
        <v>3</v>
      </c>
      <c r="P781" t="s">
        <v>13</v>
      </c>
      <c r="Q781">
        <v>1</v>
      </c>
      <c r="R781" t="s">
        <v>49</v>
      </c>
      <c r="S781" t="s">
        <v>31</v>
      </c>
      <c r="T781" t="s">
        <v>25</v>
      </c>
    </row>
    <row r="782" spans="1:20" x14ac:dyDescent="0.3">
      <c r="A782" t="s">
        <v>831</v>
      </c>
      <c r="B782">
        <v>60</v>
      </c>
      <c r="C782" t="s">
        <v>5</v>
      </c>
      <c r="D782" t="s">
        <v>61</v>
      </c>
      <c r="E782" t="s">
        <v>35</v>
      </c>
      <c r="F782">
        <v>8</v>
      </c>
      <c r="G782" t="s">
        <v>8</v>
      </c>
      <c r="H782">
        <v>47</v>
      </c>
      <c r="I782">
        <v>0</v>
      </c>
      <c r="J782">
        <v>2</v>
      </c>
      <c r="K782" t="s">
        <v>37</v>
      </c>
      <c r="L782" t="s">
        <v>22</v>
      </c>
      <c r="M782" t="s">
        <v>38</v>
      </c>
      <c r="N782" t="s">
        <v>12</v>
      </c>
      <c r="O782">
        <v>3</v>
      </c>
      <c r="P782" t="s">
        <v>24</v>
      </c>
      <c r="Q782">
        <v>5</v>
      </c>
      <c r="R782" t="s">
        <v>49</v>
      </c>
      <c r="S782" t="s">
        <v>31</v>
      </c>
      <c r="T782" t="s">
        <v>32</v>
      </c>
    </row>
    <row r="783" spans="1:20" x14ac:dyDescent="0.3">
      <c r="A783" t="s">
        <v>832</v>
      </c>
      <c r="B783">
        <v>40</v>
      </c>
      <c r="C783" t="s">
        <v>5</v>
      </c>
      <c r="D783" t="s">
        <v>6</v>
      </c>
      <c r="E783" t="s">
        <v>20</v>
      </c>
      <c r="F783">
        <v>21</v>
      </c>
      <c r="G783" t="s">
        <v>36</v>
      </c>
      <c r="H783">
        <v>21</v>
      </c>
      <c r="I783">
        <v>1</v>
      </c>
      <c r="J783">
        <v>3</v>
      </c>
      <c r="K783" t="s">
        <v>37</v>
      </c>
      <c r="L783" t="s">
        <v>68</v>
      </c>
      <c r="M783" t="s">
        <v>11</v>
      </c>
      <c r="N783" t="s">
        <v>23</v>
      </c>
      <c r="O783">
        <v>1</v>
      </c>
      <c r="P783" t="s">
        <v>48</v>
      </c>
      <c r="Q783">
        <v>5</v>
      </c>
      <c r="R783" t="s">
        <v>30</v>
      </c>
      <c r="S783" t="s">
        <v>15</v>
      </c>
      <c r="T783" t="s">
        <v>55</v>
      </c>
    </row>
    <row r="784" spans="1:20" x14ac:dyDescent="0.3">
      <c r="A784" t="s">
        <v>833</v>
      </c>
      <c r="B784">
        <v>24</v>
      </c>
      <c r="C784" t="s">
        <v>5</v>
      </c>
      <c r="D784" t="s">
        <v>19</v>
      </c>
      <c r="E784" t="s">
        <v>41</v>
      </c>
      <c r="F784">
        <v>8</v>
      </c>
      <c r="G784" t="s">
        <v>36</v>
      </c>
      <c r="H784">
        <v>26</v>
      </c>
      <c r="I784">
        <v>8</v>
      </c>
      <c r="J784">
        <v>1</v>
      </c>
      <c r="K784" t="s">
        <v>47</v>
      </c>
      <c r="L784" t="s">
        <v>30</v>
      </c>
      <c r="M784" t="s">
        <v>38</v>
      </c>
      <c r="N784" t="s">
        <v>23</v>
      </c>
      <c r="O784">
        <v>1</v>
      </c>
      <c r="P784" t="s">
        <v>24</v>
      </c>
      <c r="Q784">
        <v>4</v>
      </c>
      <c r="R784" t="s">
        <v>49</v>
      </c>
      <c r="S784" t="s">
        <v>31</v>
      </c>
      <c r="T784" t="s">
        <v>58</v>
      </c>
    </row>
    <row r="785" spans="1:20" x14ac:dyDescent="0.3">
      <c r="A785" t="s">
        <v>834</v>
      </c>
      <c r="B785">
        <v>30</v>
      </c>
      <c r="C785" t="s">
        <v>5</v>
      </c>
      <c r="D785" t="s">
        <v>63</v>
      </c>
      <c r="E785" t="s">
        <v>51</v>
      </c>
      <c r="F785">
        <v>19</v>
      </c>
      <c r="G785" t="s">
        <v>8</v>
      </c>
      <c r="H785">
        <v>58</v>
      </c>
      <c r="I785">
        <v>7</v>
      </c>
      <c r="J785">
        <v>2</v>
      </c>
      <c r="K785" t="s">
        <v>9</v>
      </c>
      <c r="L785" t="s">
        <v>22</v>
      </c>
      <c r="M785" t="s">
        <v>11</v>
      </c>
      <c r="N785" t="s">
        <v>29</v>
      </c>
      <c r="O785">
        <v>2</v>
      </c>
      <c r="P785" t="s">
        <v>13</v>
      </c>
      <c r="Q785">
        <v>3</v>
      </c>
      <c r="R785" t="s">
        <v>49</v>
      </c>
      <c r="S785" t="s">
        <v>15</v>
      </c>
      <c r="T785" t="s">
        <v>58</v>
      </c>
    </row>
    <row r="786" spans="1:20" x14ac:dyDescent="0.3">
      <c r="A786" t="s">
        <v>835</v>
      </c>
      <c r="B786">
        <v>28</v>
      </c>
      <c r="C786" t="s">
        <v>46</v>
      </c>
      <c r="D786" t="s">
        <v>27</v>
      </c>
      <c r="E786" t="s">
        <v>20</v>
      </c>
      <c r="F786">
        <v>15</v>
      </c>
      <c r="G786" t="s">
        <v>21</v>
      </c>
      <c r="H786">
        <v>42</v>
      </c>
      <c r="I786">
        <v>7</v>
      </c>
      <c r="J786">
        <v>3</v>
      </c>
      <c r="K786" t="s">
        <v>37</v>
      </c>
      <c r="L786" t="s">
        <v>30</v>
      </c>
      <c r="M786" t="s">
        <v>11</v>
      </c>
      <c r="N786" t="s">
        <v>12</v>
      </c>
      <c r="O786">
        <v>3</v>
      </c>
      <c r="P786" t="s">
        <v>24</v>
      </c>
      <c r="Q786">
        <v>3</v>
      </c>
      <c r="R786" t="s">
        <v>30</v>
      </c>
      <c r="S786" t="s">
        <v>31</v>
      </c>
      <c r="T786" t="s">
        <v>16</v>
      </c>
    </row>
    <row r="787" spans="1:20" x14ac:dyDescent="0.3">
      <c r="A787" t="s">
        <v>836</v>
      </c>
      <c r="B787">
        <v>46</v>
      </c>
      <c r="C787" t="s">
        <v>46</v>
      </c>
      <c r="D787" t="s">
        <v>6</v>
      </c>
      <c r="E787" t="s">
        <v>28</v>
      </c>
      <c r="F787">
        <v>19</v>
      </c>
      <c r="G787" t="s">
        <v>36</v>
      </c>
      <c r="H787">
        <v>30</v>
      </c>
      <c r="I787">
        <v>8</v>
      </c>
      <c r="J787">
        <v>3</v>
      </c>
      <c r="K787" t="s">
        <v>47</v>
      </c>
      <c r="L787" t="s">
        <v>22</v>
      </c>
      <c r="M787" t="s">
        <v>38</v>
      </c>
      <c r="N787" t="s">
        <v>12</v>
      </c>
      <c r="O787">
        <v>5</v>
      </c>
      <c r="P787" t="s">
        <v>48</v>
      </c>
      <c r="Q787">
        <v>2</v>
      </c>
      <c r="R787" t="s">
        <v>30</v>
      </c>
      <c r="S787" t="s">
        <v>15</v>
      </c>
      <c r="T787" t="s">
        <v>44</v>
      </c>
    </row>
    <row r="788" spans="1:20" x14ac:dyDescent="0.3">
      <c r="A788" t="s">
        <v>837</v>
      </c>
      <c r="B788">
        <v>22</v>
      </c>
      <c r="C788" t="s">
        <v>46</v>
      </c>
      <c r="D788" t="s">
        <v>6</v>
      </c>
      <c r="E788" t="s">
        <v>7</v>
      </c>
      <c r="F788">
        <v>34</v>
      </c>
      <c r="G788" t="s">
        <v>8</v>
      </c>
      <c r="H788">
        <v>46</v>
      </c>
      <c r="I788">
        <v>0</v>
      </c>
      <c r="J788">
        <v>4</v>
      </c>
      <c r="K788" t="s">
        <v>9</v>
      </c>
      <c r="L788" t="s">
        <v>30</v>
      </c>
      <c r="M788" t="s">
        <v>11</v>
      </c>
      <c r="N788" t="s">
        <v>23</v>
      </c>
      <c r="O788">
        <v>1</v>
      </c>
      <c r="P788" t="s">
        <v>24</v>
      </c>
      <c r="Q788">
        <v>2</v>
      </c>
      <c r="R788" t="s">
        <v>14</v>
      </c>
      <c r="S788" t="s">
        <v>31</v>
      </c>
      <c r="T788" t="s">
        <v>25</v>
      </c>
    </row>
    <row r="789" spans="1:20" x14ac:dyDescent="0.3">
      <c r="A789" t="s">
        <v>838</v>
      </c>
      <c r="B789">
        <v>22</v>
      </c>
      <c r="C789" t="s">
        <v>5</v>
      </c>
      <c r="D789" t="s">
        <v>57</v>
      </c>
      <c r="E789" t="s">
        <v>7</v>
      </c>
      <c r="F789">
        <v>21</v>
      </c>
      <c r="G789" t="s">
        <v>21</v>
      </c>
      <c r="H789">
        <v>48</v>
      </c>
      <c r="I789">
        <v>5</v>
      </c>
      <c r="J789">
        <v>3</v>
      </c>
      <c r="K789" t="s">
        <v>37</v>
      </c>
      <c r="L789" t="s">
        <v>30</v>
      </c>
      <c r="M789" t="s">
        <v>38</v>
      </c>
      <c r="N789" t="s">
        <v>12</v>
      </c>
      <c r="O789">
        <v>3</v>
      </c>
      <c r="P789" t="s">
        <v>48</v>
      </c>
      <c r="Q789">
        <v>5</v>
      </c>
      <c r="R789" t="s">
        <v>49</v>
      </c>
      <c r="S789" t="s">
        <v>42</v>
      </c>
      <c r="T789" t="s">
        <v>58</v>
      </c>
    </row>
    <row r="790" spans="1:20" x14ac:dyDescent="0.3">
      <c r="A790" t="s">
        <v>839</v>
      </c>
      <c r="B790">
        <v>25</v>
      </c>
      <c r="C790" t="s">
        <v>5</v>
      </c>
      <c r="D790" t="s">
        <v>61</v>
      </c>
      <c r="E790" t="s">
        <v>7</v>
      </c>
      <c r="F790">
        <v>23</v>
      </c>
      <c r="G790" t="s">
        <v>36</v>
      </c>
      <c r="H790">
        <v>38</v>
      </c>
      <c r="I790">
        <v>0</v>
      </c>
      <c r="J790">
        <v>2</v>
      </c>
      <c r="K790" t="s">
        <v>9</v>
      </c>
      <c r="L790" t="s">
        <v>10</v>
      </c>
      <c r="M790" t="s">
        <v>38</v>
      </c>
      <c r="N790" t="s">
        <v>12</v>
      </c>
      <c r="O790">
        <v>2</v>
      </c>
      <c r="P790" t="s">
        <v>24</v>
      </c>
      <c r="Q790">
        <v>4</v>
      </c>
      <c r="R790" t="s">
        <v>49</v>
      </c>
      <c r="S790" t="s">
        <v>31</v>
      </c>
      <c r="T790" t="s">
        <v>44</v>
      </c>
    </row>
    <row r="791" spans="1:20" x14ac:dyDescent="0.3">
      <c r="A791" t="s">
        <v>840</v>
      </c>
      <c r="B791">
        <v>26</v>
      </c>
      <c r="C791" t="s">
        <v>46</v>
      </c>
      <c r="D791" t="s">
        <v>19</v>
      </c>
      <c r="E791" t="s">
        <v>35</v>
      </c>
      <c r="F791">
        <v>5</v>
      </c>
      <c r="G791" t="s">
        <v>36</v>
      </c>
      <c r="H791">
        <v>26</v>
      </c>
      <c r="I791">
        <v>8</v>
      </c>
      <c r="J791">
        <v>5</v>
      </c>
      <c r="K791" t="s">
        <v>47</v>
      </c>
      <c r="L791" t="s">
        <v>68</v>
      </c>
      <c r="M791" t="s">
        <v>38</v>
      </c>
      <c r="N791" t="s">
        <v>12</v>
      </c>
      <c r="O791">
        <v>5</v>
      </c>
      <c r="P791" t="s">
        <v>24</v>
      </c>
      <c r="Q791">
        <v>2</v>
      </c>
      <c r="R791" t="s">
        <v>14</v>
      </c>
      <c r="S791" t="s">
        <v>42</v>
      </c>
      <c r="T791" t="s">
        <v>25</v>
      </c>
    </row>
    <row r="792" spans="1:20" x14ac:dyDescent="0.3">
      <c r="A792" t="s">
        <v>841</v>
      </c>
      <c r="B792">
        <v>46</v>
      </c>
      <c r="C792" t="s">
        <v>5</v>
      </c>
      <c r="D792" t="s">
        <v>19</v>
      </c>
      <c r="E792" t="s">
        <v>51</v>
      </c>
      <c r="F792">
        <v>5</v>
      </c>
      <c r="G792" t="s">
        <v>8</v>
      </c>
      <c r="H792">
        <v>59</v>
      </c>
      <c r="I792">
        <v>10</v>
      </c>
      <c r="J792">
        <v>5</v>
      </c>
      <c r="K792" t="s">
        <v>9</v>
      </c>
      <c r="L792" t="s">
        <v>30</v>
      </c>
      <c r="M792" t="s">
        <v>11</v>
      </c>
      <c r="N792" t="s">
        <v>29</v>
      </c>
      <c r="O792">
        <v>2</v>
      </c>
      <c r="P792" t="s">
        <v>48</v>
      </c>
      <c r="Q792">
        <v>1</v>
      </c>
      <c r="R792" t="s">
        <v>30</v>
      </c>
      <c r="S792" t="s">
        <v>31</v>
      </c>
      <c r="T792" t="s">
        <v>32</v>
      </c>
    </row>
    <row r="793" spans="1:20" x14ac:dyDescent="0.3">
      <c r="A793" t="s">
        <v>842</v>
      </c>
      <c r="B793">
        <v>46</v>
      </c>
      <c r="C793" t="s">
        <v>5</v>
      </c>
      <c r="D793" t="s">
        <v>57</v>
      </c>
      <c r="E793" t="s">
        <v>7</v>
      </c>
      <c r="F793">
        <v>24</v>
      </c>
      <c r="G793" t="s">
        <v>21</v>
      </c>
      <c r="H793">
        <v>24</v>
      </c>
      <c r="I793">
        <v>11</v>
      </c>
      <c r="J793">
        <v>1</v>
      </c>
      <c r="K793" t="s">
        <v>9</v>
      </c>
      <c r="L793" t="s">
        <v>30</v>
      </c>
      <c r="M793" t="s">
        <v>38</v>
      </c>
      <c r="N793" t="s">
        <v>23</v>
      </c>
      <c r="O793">
        <v>2</v>
      </c>
      <c r="P793" t="s">
        <v>13</v>
      </c>
      <c r="Q793">
        <v>2</v>
      </c>
      <c r="R793" t="s">
        <v>30</v>
      </c>
      <c r="S793" t="s">
        <v>15</v>
      </c>
      <c r="T793" t="s">
        <v>58</v>
      </c>
    </row>
    <row r="794" spans="1:20" x14ac:dyDescent="0.3">
      <c r="A794" t="s">
        <v>843</v>
      </c>
      <c r="B794">
        <v>60</v>
      </c>
      <c r="C794" t="s">
        <v>46</v>
      </c>
      <c r="D794" t="s">
        <v>19</v>
      </c>
      <c r="E794" t="s">
        <v>20</v>
      </c>
      <c r="F794">
        <v>8</v>
      </c>
      <c r="G794" t="s">
        <v>8</v>
      </c>
      <c r="H794">
        <v>50</v>
      </c>
      <c r="I794">
        <v>12</v>
      </c>
      <c r="J794">
        <v>1</v>
      </c>
      <c r="K794" t="s">
        <v>37</v>
      </c>
      <c r="L794" t="s">
        <v>10</v>
      </c>
      <c r="M794" t="s">
        <v>11</v>
      </c>
      <c r="N794" t="s">
        <v>29</v>
      </c>
      <c r="O794">
        <v>2</v>
      </c>
      <c r="P794" t="s">
        <v>24</v>
      </c>
      <c r="Q794">
        <v>5</v>
      </c>
      <c r="R794" t="s">
        <v>49</v>
      </c>
      <c r="S794" t="s">
        <v>42</v>
      </c>
      <c r="T794" t="s">
        <v>55</v>
      </c>
    </row>
    <row r="795" spans="1:20" x14ac:dyDescent="0.3">
      <c r="A795" t="s">
        <v>844</v>
      </c>
      <c r="B795">
        <v>55</v>
      </c>
      <c r="C795" t="s">
        <v>34</v>
      </c>
      <c r="D795" t="s">
        <v>57</v>
      </c>
      <c r="E795" t="s">
        <v>41</v>
      </c>
      <c r="F795">
        <v>18</v>
      </c>
      <c r="G795" t="s">
        <v>21</v>
      </c>
      <c r="H795">
        <v>53</v>
      </c>
      <c r="I795">
        <v>3</v>
      </c>
      <c r="J795">
        <v>2</v>
      </c>
      <c r="K795" t="s">
        <v>37</v>
      </c>
      <c r="L795" t="s">
        <v>22</v>
      </c>
      <c r="M795" t="s">
        <v>11</v>
      </c>
      <c r="N795" t="s">
        <v>12</v>
      </c>
      <c r="O795">
        <v>3</v>
      </c>
      <c r="P795" t="s">
        <v>48</v>
      </c>
      <c r="Q795">
        <v>3</v>
      </c>
      <c r="R795" t="s">
        <v>49</v>
      </c>
      <c r="S795" t="s">
        <v>42</v>
      </c>
      <c r="T795" t="s">
        <v>25</v>
      </c>
    </row>
    <row r="796" spans="1:20" x14ac:dyDescent="0.3">
      <c r="A796" t="s">
        <v>845</v>
      </c>
      <c r="B796">
        <v>25</v>
      </c>
      <c r="C796" t="s">
        <v>46</v>
      </c>
      <c r="D796" t="s">
        <v>40</v>
      </c>
      <c r="E796" t="s">
        <v>28</v>
      </c>
      <c r="F796">
        <v>7</v>
      </c>
      <c r="G796" t="s">
        <v>36</v>
      </c>
      <c r="H796">
        <v>48</v>
      </c>
      <c r="I796">
        <v>1</v>
      </c>
      <c r="J796">
        <v>5</v>
      </c>
      <c r="K796" t="s">
        <v>47</v>
      </c>
      <c r="L796" t="s">
        <v>10</v>
      </c>
      <c r="M796" t="s">
        <v>38</v>
      </c>
      <c r="N796" t="s">
        <v>29</v>
      </c>
      <c r="O796">
        <v>4</v>
      </c>
      <c r="P796" t="s">
        <v>24</v>
      </c>
      <c r="Q796">
        <v>1</v>
      </c>
      <c r="R796" t="s">
        <v>49</v>
      </c>
      <c r="S796" t="s">
        <v>31</v>
      </c>
      <c r="T796" t="s">
        <v>16</v>
      </c>
    </row>
    <row r="797" spans="1:20" x14ac:dyDescent="0.3">
      <c r="A797" t="s">
        <v>846</v>
      </c>
      <c r="B797">
        <v>42</v>
      </c>
      <c r="C797" t="s">
        <v>18</v>
      </c>
      <c r="D797" t="s">
        <v>27</v>
      </c>
      <c r="E797" t="s">
        <v>20</v>
      </c>
      <c r="F797">
        <v>28</v>
      </c>
      <c r="G797" t="s">
        <v>8</v>
      </c>
      <c r="H797">
        <v>39</v>
      </c>
      <c r="I797">
        <v>13</v>
      </c>
      <c r="J797">
        <v>4</v>
      </c>
      <c r="K797" t="s">
        <v>47</v>
      </c>
      <c r="L797" t="s">
        <v>68</v>
      </c>
      <c r="M797" t="s">
        <v>11</v>
      </c>
      <c r="N797" t="s">
        <v>29</v>
      </c>
      <c r="O797">
        <v>4</v>
      </c>
      <c r="P797" t="s">
        <v>13</v>
      </c>
      <c r="Q797">
        <v>1</v>
      </c>
      <c r="R797" t="s">
        <v>49</v>
      </c>
      <c r="S797" t="s">
        <v>42</v>
      </c>
      <c r="T797" t="s">
        <v>58</v>
      </c>
    </row>
    <row r="798" spans="1:20" x14ac:dyDescent="0.3">
      <c r="A798" t="s">
        <v>847</v>
      </c>
      <c r="B798">
        <v>30</v>
      </c>
      <c r="C798" t="s">
        <v>5</v>
      </c>
      <c r="D798" t="s">
        <v>27</v>
      </c>
      <c r="E798" t="s">
        <v>35</v>
      </c>
      <c r="F798">
        <v>13</v>
      </c>
      <c r="G798" t="s">
        <v>36</v>
      </c>
      <c r="H798">
        <v>42</v>
      </c>
      <c r="I798">
        <v>10</v>
      </c>
      <c r="J798">
        <v>3</v>
      </c>
      <c r="K798" t="s">
        <v>47</v>
      </c>
      <c r="L798" t="s">
        <v>68</v>
      </c>
      <c r="M798" t="s">
        <v>11</v>
      </c>
      <c r="N798" t="s">
        <v>29</v>
      </c>
      <c r="O798">
        <v>5</v>
      </c>
      <c r="P798" t="s">
        <v>13</v>
      </c>
      <c r="Q798">
        <v>4</v>
      </c>
      <c r="R798" t="s">
        <v>30</v>
      </c>
      <c r="S798" t="s">
        <v>15</v>
      </c>
      <c r="T798" t="s">
        <v>16</v>
      </c>
    </row>
    <row r="799" spans="1:20" x14ac:dyDescent="0.3">
      <c r="A799" t="s">
        <v>848</v>
      </c>
      <c r="B799">
        <v>58</v>
      </c>
      <c r="C799" t="s">
        <v>34</v>
      </c>
      <c r="D799" t="s">
        <v>19</v>
      </c>
      <c r="E799" t="s">
        <v>20</v>
      </c>
      <c r="F799">
        <v>14</v>
      </c>
      <c r="G799" t="s">
        <v>21</v>
      </c>
      <c r="H799">
        <v>50</v>
      </c>
      <c r="I799">
        <v>1</v>
      </c>
      <c r="J799">
        <v>4</v>
      </c>
      <c r="K799" t="s">
        <v>9</v>
      </c>
      <c r="L799" t="s">
        <v>68</v>
      </c>
      <c r="M799" t="s">
        <v>38</v>
      </c>
      <c r="N799" t="s">
        <v>29</v>
      </c>
      <c r="O799">
        <v>4</v>
      </c>
      <c r="P799" t="s">
        <v>13</v>
      </c>
      <c r="Q799">
        <v>1</v>
      </c>
      <c r="R799" t="s">
        <v>30</v>
      </c>
      <c r="S799" t="s">
        <v>15</v>
      </c>
      <c r="T799" t="s">
        <v>58</v>
      </c>
    </row>
    <row r="800" spans="1:20" x14ac:dyDescent="0.3">
      <c r="A800" t="s">
        <v>849</v>
      </c>
      <c r="B800">
        <v>46</v>
      </c>
      <c r="C800" t="s">
        <v>34</v>
      </c>
      <c r="D800" t="s">
        <v>19</v>
      </c>
      <c r="E800" t="s">
        <v>28</v>
      </c>
      <c r="F800">
        <v>23</v>
      </c>
      <c r="G800" t="s">
        <v>36</v>
      </c>
      <c r="H800">
        <v>59</v>
      </c>
      <c r="I800">
        <v>6</v>
      </c>
      <c r="J800">
        <v>4</v>
      </c>
      <c r="K800" t="s">
        <v>37</v>
      </c>
      <c r="L800" t="s">
        <v>30</v>
      </c>
      <c r="M800" t="s">
        <v>38</v>
      </c>
      <c r="N800" t="s">
        <v>12</v>
      </c>
      <c r="O800">
        <v>3</v>
      </c>
      <c r="P800" t="s">
        <v>24</v>
      </c>
      <c r="Q800">
        <v>4</v>
      </c>
      <c r="R800" t="s">
        <v>30</v>
      </c>
      <c r="S800" t="s">
        <v>15</v>
      </c>
      <c r="T800" t="s">
        <v>16</v>
      </c>
    </row>
    <row r="801" spans="1:20" x14ac:dyDescent="0.3">
      <c r="A801" t="s">
        <v>850</v>
      </c>
      <c r="B801">
        <v>36</v>
      </c>
      <c r="C801" t="s">
        <v>18</v>
      </c>
      <c r="D801" t="s">
        <v>57</v>
      </c>
      <c r="E801" t="s">
        <v>41</v>
      </c>
      <c r="F801">
        <v>7</v>
      </c>
      <c r="G801" t="s">
        <v>36</v>
      </c>
      <c r="H801">
        <v>20</v>
      </c>
      <c r="I801">
        <v>8</v>
      </c>
      <c r="J801">
        <v>1</v>
      </c>
      <c r="K801" t="s">
        <v>47</v>
      </c>
      <c r="L801" t="s">
        <v>10</v>
      </c>
      <c r="M801" t="s">
        <v>38</v>
      </c>
      <c r="N801" t="s">
        <v>12</v>
      </c>
      <c r="O801">
        <v>3</v>
      </c>
      <c r="P801" t="s">
        <v>13</v>
      </c>
      <c r="Q801">
        <v>3</v>
      </c>
      <c r="R801" t="s">
        <v>49</v>
      </c>
      <c r="S801" t="s">
        <v>31</v>
      </c>
      <c r="T801" t="s">
        <v>58</v>
      </c>
    </row>
    <row r="802" spans="1:20" x14ac:dyDescent="0.3">
      <c r="A802" t="s">
        <v>851</v>
      </c>
      <c r="B802">
        <v>46</v>
      </c>
      <c r="C802" t="s">
        <v>18</v>
      </c>
      <c r="D802" t="s">
        <v>57</v>
      </c>
      <c r="E802" t="s">
        <v>51</v>
      </c>
      <c r="F802">
        <v>3</v>
      </c>
      <c r="G802" t="s">
        <v>21</v>
      </c>
      <c r="H802">
        <v>32</v>
      </c>
      <c r="I802">
        <v>10</v>
      </c>
      <c r="J802">
        <v>5</v>
      </c>
      <c r="K802" t="s">
        <v>9</v>
      </c>
      <c r="L802" t="s">
        <v>68</v>
      </c>
      <c r="M802" t="s">
        <v>38</v>
      </c>
      <c r="N802" t="s">
        <v>12</v>
      </c>
      <c r="O802">
        <v>5</v>
      </c>
      <c r="P802" t="s">
        <v>24</v>
      </c>
      <c r="Q802">
        <v>4</v>
      </c>
      <c r="R802" t="s">
        <v>49</v>
      </c>
      <c r="S802" t="s">
        <v>15</v>
      </c>
      <c r="T802" t="s">
        <v>16</v>
      </c>
    </row>
    <row r="803" spans="1:20" x14ac:dyDescent="0.3">
      <c r="A803" t="s">
        <v>852</v>
      </c>
      <c r="B803">
        <v>24</v>
      </c>
      <c r="C803" t="s">
        <v>34</v>
      </c>
      <c r="D803" t="s">
        <v>19</v>
      </c>
      <c r="E803" t="s">
        <v>51</v>
      </c>
      <c r="F803">
        <v>24</v>
      </c>
      <c r="G803" t="s">
        <v>8</v>
      </c>
      <c r="H803">
        <v>45</v>
      </c>
      <c r="I803">
        <v>7</v>
      </c>
      <c r="J803">
        <v>2</v>
      </c>
      <c r="K803" t="s">
        <v>37</v>
      </c>
      <c r="L803" t="s">
        <v>30</v>
      </c>
      <c r="M803" t="s">
        <v>38</v>
      </c>
      <c r="N803" t="s">
        <v>29</v>
      </c>
      <c r="O803">
        <v>1</v>
      </c>
      <c r="P803" t="s">
        <v>13</v>
      </c>
      <c r="Q803">
        <v>4</v>
      </c>
      <c r="R803" t="s">
        <v>30</v>
      </c>
      <c r="S803" t="s">
        <v>42</v>
      </c>
      <c r="T803" t="s">
        <v>58</v>
      </c>
    </row>
    <row r="804" spans="1:20" x14ac:dyDescent="0.3">
      <c r="A804" t="s">
        <v>853</v>
      </c>
      <c r="B804">
        <v>27</v>
      </c>
      <c r="C804" t="s">
        <v>34</v>
      </c>
      <c r="D804" t="s">
        <v>40</v>
      </c>
      <c r="E804" t="s">
        <v>28</v>
      </c>
      <c r="F804">
        <v>2</v>
      </c>
      <c r="G804" t="s">
        <v>36</v>
      </c>
      <c r="H804">
        <v>45</v>
      </c>
      <c r="I804">
        <v>13</v>
      </c>
      <c r="J804">
        <v>5</v>
      </c>
      <c r="K804" t="s">
        <v>9</v>
      </c>
      <c r="L804" t="s">
        <v>30</v>
      </c>
      <c r="M804" t="s">
        <v>38</v>
      </c>
      <c r="N804" t="s">
        <v>23</v>
      </c>
      <c r="O804">
        <v>2</v>
      </c>
      <c r="P804" t="s">
        <v>24</v>
      </c>
      <c r="Q804">
        <v>5</v>
      </c>
      <c r="R804" t="s">
        <v>14</v>
      </c>
      <c r="S804" t="s">
        <v>15</v>
      </c>
      <c r="T804" t="s">
        <v>55</v>
      </c>
    </row>
    <row r="805" spans="1:20" x14ac:dyDescent="0.3">
      <c r="A805" t="s">
        <v>854</v>
      </c>
      <c r="B805">
        <v>39</v>
      </c>
      <c r="C805" t="s">
        <v>46</v>
      </c>
      <c r="D805" t="s">
        <v>19</v>
      </c>
      <c r="E805" t="s">
        <v>20</v>
      </c>
      <c r="F805">
        <v>6</v>
      </c>
      <c r="G805" t="s">
        <v>36</v>
      </c>
      <c r="H805">
        <v>39</v>
      </c>
      <c r="I805">
        <v>7</v>
      </c>
      <c r="J805">
        <v>1</v>
      </c>
      <c r="K805" t="s">
        <v>47</v>
      </c>
      <c r="L805" t="s">
        <v>68</v>
      </c>
      <c r="M805" t="s">
        <v>38</v>
      </c>
      <c r="N805" t="s">
        <v>29</v>
      </c>
      <c r="O805">
        <v>5</v>
      </c>
      <c r="P805" t="s">
        <v>13</v>
      </c>
      <c r="Q805">
        <v>5</v>
      </c>
      <c r="R805" t="s">
        <v>14</v>
      </c>
      <c r="S805" t="s">
        <v>15</v>
      </c>
      <c r="T805" t="s">
        <v>55</v>
      </c>
    </row>
    <row r="806" spans="1:20" x14ac:dyDescent="0.3">
      <c r="A806" t="s">
        <v>855</v>
      </c>
      <c r="B806">
        <v>40</v>
      </c>
      <c r="C806" t="s">
        <v>5</v>
      </c>
      <c r="D806" t="s">
        <v>19</v>
      </c>
      <c r="E806" t="s">
        <v>64</v>
      </c>
      <c r="F806">
        <v>23</v>
      </c>
      <c r="G806" t="s">
        <v>8</v>
      </c>
      <c r="H806">
        <v>32</v>
      </c>
      <c r="I806">
        <v>11</v>
      </c>
      <c r="J806">
        <v>4</v>
      </c>
      <c r="K806" t="s">
        <v>37</v>
      </c>
      <c r="L806" t="s">
        <v>68</v>
      </c>
      <c r="M806" t="s">
        <v>11</v>
      </c>
      <c r="N806" t="s">
        <v>23</v>
      </c>
      <c r="O806">
        <v>5</v>
      </c>
      <c r="P806" t="s">
        <v>48</v>
      </c>
      <c r="Q806">
        <v>4</v>
      </c>
      <c r="R806" t="s">
        <v>14</v>
      </c>
      <c r="S806" t="s">
        <v>42</v>
      </c>
      <c r="T806" t="s">
        <v>25</v>
      </c>
    </row>
    <row r="807" spans="1:20" x14ac:dyDescent="0.3">
      <c r="A807" t="s">
        <v>856</v>
      </c>
      <c r="B807">
        <v>46</v>
      </c>
      <c r="C807" t="s">
        <v>34</v>
      </c>
      <c r="D807" t="s">
        <v>63</v>
      </c>
      <c r="E807" t="s">
        <v>64</v>
      </c>
      <c r="F807">
        <v>14</v>
      </c>
      <c r="G807" t="s">
        <v>36</v>
      </c>
      <c r="H807">
        <v>59</v>
      </c>
      <c r="I807">
        <v>14</v>
      </c>
      <c r="J807">
        <v>5</v>
      </c>
      <c r="K807" t="s">
        <v>37</v>
      </c>
      <c r="L807" t="s">
        <v>68</v>
      </c>
      <c r="M807" t="s">
        <v>38</v>
      </c>
      <c r="N807" t="s">
        <v>23</v>
      </c>
      <c r="O807">
        <v>4</v>
      </c>
      <c r="P807" t="s">
        <v>13</v>
      </c>
      <c r="Q807">
        <v>5</v>
      </c>
      <c r="R807" t="s">
        <v>30</v>
      </c>
      <c r="S807" t="s">
        <v>31</v>
      </c>
      <c r="T807" t="s">
        <v>25</v>
      </c>
    </row>
    <row r="808" spans="1:20" x14ac:dyDescent="0.3">
      <c r="A808" t="s">
        <v>857</v>
      </c>
      <c r="B808">
        <v>45</v>
      </c>
      <c r="C808" t="s">
        <v>46</v>
      </c>
      <c r="D808" t="s">
        <v>27</v>
      </c>
      <c r="E808" t="s">
        <v>7</v>
      </c>
      <c r="F808">
        <v>21</v>
      </c>
      <c r="G808" t="s">
        <v>21</v>
      </c>
      <c r="H808">
        <v>38</v>
      </c>
      <c r="I808">
        <v>12</v>
      </c>
      <c r="J808">
        <v>5</v>
      </c>
      <c r="K808" t="s">
        <v>9</v>
      </c>
      <c r="L808" t="s">
        <v>10</v>
      </c>
      <c r="M808" t="s">
        <v>11</v>
      </c>
      <c r="N808" t="s">
        <v>12</v>
      </c>
      <c r="O808">
        <v>2</v>
      </c>
      <c r="P808" t="s">
        <v>48</v>
      </c>
      <c r="Q808">
        <v>1</v>
      </c>
      <c r="R808" t="s">
        <v>14</v>
      </c>
      <c r="S808" t="s">
        <v>31</v>
      </c>
      <c r="T808" t="s">
        <v>25</v>
      </c>
    </row>
    <row r="809" spans="1:20" x14ac:dyDescent="0.3">
      <c r="A809" t="s">
        <v>858</v>
      </c>
      <c r="B809">
        <v>58</v>
      </c>
      <c r="C809" t="s">
        <v>46</v>
      </c>
      <c r="D809" t="s">
        <v>61</v>
      </c>
      <c r="E809" t="s">
        <v>28</v>
      </c>
      <c r="F809">
        <v>8</v>
      </c>
      <c r="G809" t="s">
        <v>21</v>
      </c>
      <c r="H809">
        <v>24</v>
      </c>
      <c r="I809">
        <v>9</v>
      </c>
      <c r="J809">
        <v>5</v>
      </c>
      <c r="K809" t="s">
        <v>47</v>
      </c>
      <c r="L809" t="s">
        <v>22</v>
      </c>
      <c r="M809" t="s">
        <v>38</v>
      </c>
      <c r="N809" t="s">
        <v>12</v>
      </c>
      <c r="O809">
        <v>5</v>
      </c>
      <c r="P809" t="s">
        <v>13</v>
      </c>
      <c r="Q809">
        <v>5</v>
      </c>
      <c r="R809" t="s">
        <v>30</v>
      </c>
      <c r="S809" t="s">
        <v>15</v>
      </c>
      <c r="T809" t="s">
        <v>16</v>
      </c>
    </row>
    <row r="810" spans="1:20" x14ac:dyDescent="0.3">
      <c r="A810" t="s">
        <v>859</v>
      </c>
      <c r="B810">
        <v>33</v>
      </c>
      <c r="C810" t="s">
        <v>18</v>
      </c>
      <c r="D810" t="s">
        <v>27</v>
      </c>
      <c r="E810" t="s">
        <v>64</v>
      </c>
      <c r="F810">
        <v>4</v>
      </c>
      <c r="G810" t="s">
        <v>36</v>
      </c>
      <c r="H810">
        <v>38</v>
      </c>
      <c r="I810">
        <v>7</v>
      </c>
      <c r="J810">
        <v>4</v>
      </c>
      <c r="K810" t="s">
        <v>9</v>
      </c>
      <c r="L810" t="s">
        <v>30</v>
      </c>
      <c r="M810" t="s">
        <v>11</v>
      </c>
      <c r="N810" t="s">
        <v>23</v>
      </c>
      <c r="O810">
        <v>4</v>
      </c>
      <c r="P810" t="s">
        <v>48</v>
      </c>
      <c r="Q810">
        <v>1</v>
      </c>
      <c r="R810" t="s">
        <v>30</v>
      </c>
      <c r="S810" t="s">
        <v>31</v>
      </c>
      <c r="T810" t="s">
        <v>25</v>
      </c>
    </row>
    <row r="811" spans="1:20" x14ac:dyDescent="0.3">
      <c r="A811" t="s">
        <v>860</v>
      </c>
      <c r="B811">
        <v>41</v>
      </c>
      <c r="C811" t="s">
        <v>46</v>
      </c>
      <c r="D811" t="s">
        <v>6</v>
      </c>
      <c r="E811" t="s">
        <v>51</v>
      </c>
      <c r="F811">
        <v>26</v>
      </c>
      <c r="G811" t="s">
        <v>8</v>
      </c>
      <c r="H811">
        <v>36</v>
      </c>
      <c r="I811">
        <v>2</v>
      </c>
      <c r="J811">
        <v>3</v>
      </c>
      <c r="K811" t="s">
        <v>47</v>
      </c>
      <c r="L811" t="s">
        <v>10</v>
      </c>
      <c r="M811" t="s">
        <v>11</v>
      </c>
      <c r="N811" t="s">
        <v>29</v>
      </c>
      <c r="O811">
        <v>4</v>
      </c>
      <c r="P811" t="s">
        <v>24</v>
      </c>
      <c r="Q811">
        <v>3</v>
      </c>
      <c r="R811" t="s">
        <v>14</v>
      </c>
      <c r="S811" t="s">
        <v>42</v>
      </c>
      <c r="T811" t="s">
        <v>55</v>
      </c>
    </row>
    <row r="812" spans="1:20" x14ac:dyDescent="0.3">
      <c r="A812" t="s">
        <v>861</v>
      </c>
      <c r="B812">
        <v>42</v>
      </c>
      <c r="C812" t="s">
        <v>5</v>
      </c>
      <c r="D812" t="s">
        <v>61</v>
      </c>
      <c r="E812" t="s">
        <v>20</v>
      </c>
      <c r="F812">
        <v>35</v>
      </c>
      <c r="G812" t="s">
        <v>8</v>
      </c>
      <c r="H812">
        <v>56</v>
      </c>
      <c r="I812">
        <v>5</v>
      </c>
      <c r="J812">
        <v>5</v>
      </c>
      <c r="K812" t="s">
        <v>47</v>
      </c>
      <c r="L812" t="s">
        <v>22</v>
      </c>
      <c r="M812" t="s">
        <v>11</v>
      </c>
      <c r="N812" t="s">
        <v>29</v>
      </c>
      <c r="O812">
        <v>4</v>
      </c>
      <c r="P812" t="s">
        <v>13</v>
      </c>
      <c r="Q812">
        <v>3</v>
      </c>
      <c r="R812" t="s">
        <v>14</v>
      </c>
      <c r="S812" t="s">
        <v>31</v>
      </c>
      <c r="T812" t="s">
        <v>16</v>
      </c>
    </row>
    <row r="813" spans="1:20" x14ac:dyDescent="0.3">
      <c r="A813" t="s">
        <v>862</v>
      </c>
      <c r="B813">
        <v>34</v>
      </c>
      <c r="C813" t="s">
        <v>5</v>
      </c>
      <c r="D813" t="s">
        <v>27</v>
      </c>
      <c r="E813" t="s">
        <v>7</v>
      </c>
      <c r="F813">
        <v>33</v>
      </c>
      <c r="G813" t="s">
        <v>8</v>
      </c>
      <c r="H813">
        <v>35</v>
      </c>
      <c r="I813">
        <v>7</v>
      </c>
      <c r="J813">
        <v>5</v>
      </c>
      <c r="K813" t="s">
        <v>37</v>
      </c>
      <c r="L813" t="s">
        <v>10</v>
      </c>
      <c r="M813" t="s">
        <v>11</v>
      </c>
      <c r="N813" t="s">
        <v>29</v>
      </c>
      <c r="O813">
        <v>4</v>
      </c>
      <c r="P813" t="s">
        <v>48</v>
      </c>
      <c r="Q813">
        <v>5</v>
      </c>
      <c r="R813" t="s">
        <v>14</v>
      </c>
      <c r="S813" t="s">
        <v>31</v>
      </c>
      <c r="T813" t="s">
        <v>44</v>
      </c>
    </row>
    <row r="814" spans="1:20" x14ac:dyDescent="0.3">
      <c r="A814" t="s">
        <v>863</v>
      </c>
      <c r="B814">
        <v>25</v>
      </c>
      <c r="C814" t="s">
        <v>5</v>
      </c>
      <c r="D814" t="s">
        <v>63</v>
      </c>
      <c r="E814" t="s">
        <v>41</v>
      </c>
      <c r="F814">
        <v>10</v>
      </c>
      <c r="G814" t="s">
        <v>36</v>
      </c>
      <c r="H814">
        <v>22</v>
      </c>
      <c r="I814">
        <v>9</v>
      </c>
      <c r="J814">
        <v>5</v>
      </c>
      <c r="K814" t="s">
        <v>9</v>
      </c>
      <c r="L814" t="s">
        <v>30</v>
      </c>
      <c r="M814" t="s">
        <v>38</v>
      </c>
      <c r="N814" t="s">
        <v>12</v>
      </c>
      <c r="O814">
        <v>2</v>
      </c>
      <c r="P814" t="s">
        <v>13</v>
      </c>
      <c r="Q814">
        <v>5</v>
      </c>
      <c r="R814" t="s">
        <v>49</v>
      </c>
      <c r="S814" t="s">
        <v>31</v>
      </c>
      <c r="T814" t="s">
        <v>25</v>
      </c>
    </row>
    <row r="815" spans="1:20" x14ac:dyDescent="0.3">
      <c r="A815" t="s">
        <v>864</v>
      </c>
      <c r="B815">
        <v>46</v>
      </c>
      <c r="C815" t="s">
        <v>18</v>
      </c>
      <c r="D815" t="s">
        <v>27</v>
      </c>
      <c r="E815" t="s">
        <v>64</v>
      </c>
      <c r="F815">
        <v>12</v>
      </c>
      <c r="G815" t="s">
        <v>21</v>
      </c>
      <c r="H815">
        <v>40</v>
      </c>
      <c r="I815">
        <v>10</v>
      </c>
      <c r="J815">
        <v>5</v>
      </c>
      <c r="K815" t="s">
        <v>47</v>
      </c>
      <c r="L815" t="s">
        <v>22</v>
      </c>
      <c r="M815" t="s">
        <v>11</v>
      </c>
      <c r="N815" t="s">
        <v>23</v>
      </c>
      <c r="O815">
        <v>2</v>
      </c>
      <c r="P815" t="s">
        <v>48</v>
      </c>
      <c r="Q815">
        <v>2</v>
      </c>
      <c r="R815" t="s">
        <v>49</v>
      </c>
      <c r="S815" t="s">
        <v>31</v>
      </c>
      <c r="T815" t="s">
        <v>25</v>
      </c>
    </row>
    <row r="816" spans="1:20" x14ac:dyDescent="0.3">
      <c r="A816" t="s">
        <v>865</v>
      </c>
      <c r="B816">
        <v>58</v>
      </c>
      <c r="C816" t="s">
        <v>18</v>
      </c>
      <c r="D816" t="s">
        <v>27</v>
      </c>
      <c r="E816" t="s">
        <v>51</v>
      </c>
      <c r="F816">
        <v>31</v>
      </c>
      <c r="G816" t="s">
        <v>8</v>
      </c>
      <c r="H816">
        <v>22</v>
      </c>
      <c r="I816">
        <v>6</v>
      </c>
      <c r="J816">
        <v>1</v>
      </c>
      <c r="K816" t="s">
        <v>9</v>
      </c>
      <c r="L816" t="s">
        <v>10</v>
      </c>
      <c r="M816" t="s">
        <v>11</v>
      </c>
      <c r="N816" t="s">
        <v>29</v>
      </c>
      <c r="O816">
        <v>2</v>
      </c>
      <c r="P816" t="s">
        <v>48</v>
      </c>
      <c r="Q816">
        <v>3</v>
      </c>
      <c r="R816" t="s">
        <v>30</v>
      </c>
      <c r="S816" t="s">
        <v>42</v>
      </c>
      <c r="T816" t="s">
        <v>16</v>
      </c>
    </row>
    <row r="817" spans="1:20" x14ac:dyDescent="0.3">
      <c r="A817" t="s">
        <v>866</v>
      </c>
      <c r="B817">
        <v>39</v>
      </c>
      <c r="C817" t="s">
        <v>46</v>
      </c>
      <c r="D817" t="s">
        <v>27</v>
      </c>
      <c r="E817" t="s">
        <v>51</v>
      </c>
      <c r="F817">
        <v>8</v>
      </c>
      <c r="G817" t="s">
        <v>8</v>
      </c>
      <c r="H817">
        <v>41</v>
      </c>
      <c r="I817">
        <v>13</v>
      </c>
      <c r="J817">
        <v>5</v>
      </c>
      <c r="K817" t="s">
        <v>9</v>
      </c>
      <c r="L817" t="s">
        <v>68</v>
      </c>
      <c r="M817" t="s">
        <v>11</v>
      </c>
      <c r="N817" t="s">
        <v>12</v>
      </c>
      <c r="O817">
        <v>3</v>
      </c>
      <c r="P817" t="s">
        <v>13</v>
      </c>
      <c r="Q817">
        <v>4</v>
      </c>
      <c r="R817" t="s">
        <v>49</v>
      </c>
      <c r="S817" t="s">
        <v>31</v>
      </c>
      <c r="T817" t="s">
        <v>32</v>
      </c>
    </row>
    <row r="818" spans="1:20" x14ac:dyDescent="0.3">
      <c r="A818" t="s">
        <v>867</v>
      </c>
      <c r="B818">
        <v>35</v>
      </c>
      <c r="C818" t="s">
        <v>5</v>
      </c>
      <c r="D818" t="s">
        <v>40</v>
      </c>
      <c r="E818" t="s">
        <v>64</v>
      </c>
      <c r="F818">
        <v>23</v>
      </c>
      <c r="G818" t="s">
        <v>21</v>
      </c>
      <c r="H818">
        <v>53</v>
      </c>
      <c r="I818">
        <v>4</v>
      </c>
      <c r="J818">
        <v>4</v>
      </c>
      <c r="K818" t="s">
        <v>47</v>
      </c>
      <c r="L818" t="s">
        <v>68</v>
      </c>
      <c r="M818" t="s">
        <v>11</v>
      </c>
      <c r="N818" t="s">
        <v>29</v>
      </c>
      <c r="O818">
        <v>1</v>
      </c>
      <c r="P818" t="s">
        <v>13</v>
      </c>
      <c r="Q818">
        <v>3</v>
      </c>
      <c r="R818" t="s">
        <v>49</v>
      </c>
      <c r="S818" t="s">
        <v>15</v>
      </c>
      <c r="T818" t="s">
        <v>58</v>
      </c>
    </row>
    <row r="819" spans="1:20" x14ac:dyDescent="0.3">
      <c r="A819" t="s">
        <v>868</v>
      </c>
      <c r="B819">
        <v>28</v>
      </c>
      <c r="C819" t="s">
        <v>5</v>
      </c>
      <c r="D819" t="s">
        <v>27</v>
      </c>
      <c r="E819" t="s">
        <v>64</v>
      </c>
      <c r="F819">
        <v>6</v>
      </c>
      <c r="G819" t="s">
        <v>8</v>
      </c>
      <c r="H819">
        <v>57</v>
      </c>
      <c r="I819">
        <v>15</v>
      </c>
      <c r="J819">
        <v>2</v>
      </c>
      <c r="K819" t="s">
        <v>47</v>
      </c>
      <c r="L819" t="s">
        <v>10</v>
      </c>
      <c r="M819" t="s">
        <v>38</v>
      </c>
      <c r="N819" t="s">
        <v>29</v>
      </c>
      <c r="O819">
        <v>2</v>
      </c>
      <c r="P819" t="s">
        <v>24</v>
      </c>
      <c r="Q819">
        <v>1</v>
      </c>
      <c r="R819" t="s">
        <v>30</v>
      </c>
      <c r="S819" t="s">
        <v>15</v>
      </c>
      <c r="T819" t="s">
        <v>44</v>
      </c>
    </row>
    <row r="820" spans="1:20" x14ac:dyDescent="0.3">
      <c r="A820" t="s">
        <v>869</v>
      </c>
      <c r="B820">
        <v>35</v>
      </c>
      <c r="C820" t="s">
        <v>34</v>
      </c>
      <c r="D820" t="s">
        <v>57</v>
      </c>
      <c r="E820" t="s">
        <v>28</v>
      </c>
      <c r="F820">
        <v>9</v>
      </c>
      <c r="G820" t="s">
        <v>21</v>
      </c>
      <c r="H820">
        <v>51</v>
      </c>
      <c r="I820">
        <v>7</v>
      </c>
      <c r="J820">
        <v>3</v>
      </c>
      <c r="K820" t="s">
        <v>9</v>
      </c>
      <c r="L820" t="s">
        <v>22</v>
      </c>
      <c r="M820" t="s">
        <v>38</v>
      </c>
      <c r="N820" t="s">
        <v>12</v>
      </c>
      <c r="O820">
        <v>3</v>
      </c>
      <c r="P820" t="s">
        <v>48</v>
      </c>
      <c r="Q820">
        <v>2</v>
      </c>
      <c r="R820" t="s">
        <v>49</v>
      </c>
      <c r="S820" t="s">
        <v>42</v>
      </c>
      <c r="T820" t="s">
        <v>58</v>
      </c>
    </row>
    <row r="821" spans="1:20" x14ac:dyDescent="0.3">
      <c r="A821" t="s">
        <v>870</v>
      </c>
      <c r="B821">
        <v>59</v>
      </c>
      <c r="C821" t="s">
        <v>34</v>
      </c>
      <c r="D821" t="s">
        <v>40</v>
      </c>
      <c r="E821" t="s">
        <v>7</v>
      </c>
      <c r="F821">
        <v>23</v>
      </c>
      <c r="G821" t="s">
        <v>36</v>
      </c>
      <c r="H821">
        <v>20</v>
      </c>
      <c r="I821">
        <v>15</v>
      </c>
      <c r="J821">
        <v>4</v>
      </c>
      <c r="K821" t="s">
        <v>9</v>
      </c>
      <c r="L821" t="s">
        <v>68</v>
      </c>
      <c r="M821" t="s">
        <v>38</v>
      </c>
      <c r="N821" t="s">
        <v>29</v>
      </c>
      <c r="O821">
        <v>4</v>
      </c>
      <c r="P821" t="s">
        <v>48</v>
      </c>
      <c r="Q821">
        <v>3</v>
      </c>
      <c r="R821" t="s">
        <v>30</v>
      </c>
      <c r="S821" t="s">
        <v>42</v>
      </c>
      <c r="T821" t="s">
        <v>25</v>
      </c>
    </row>
    <row r="822" spans="1:20" x14ac:dyDescent="0.3">
      <c r="A822" t="s">
        <v>871</v>
      </c>
      <c r="B822">
        <v>52</v>
      </c>
      <c r="C822" t="s">
        <v>46</v>
      </c>
      <c r="D822" t="s">
        <v>40</v>
      </c>
      <c r="E822" t="s">
        <v>20</v>
      </c>
      <c r="F822">
        <v>18</v>
      </c>
      <c r="G822" t="s">
        <v>21</v>
      </c>
      <c r="H822">
        <v>56</v>
      </c>
      <c r="I822">
        <v>12</v>
      </c>
      <c r="J822">
        <v>2</v>
      </c>
      <c r="K822" t="s">
        <v>37</v>
      </c>
      <c r="L822" t="s">
        <v>68</v>
      </c>
      <c r="M822" t="s">
        <v>11</v>
      </c>
      <c r="N822" t="s">
        <v>12</v>
      </c>
      <c r="O822">
        <v>1</v>
      </c>
      <c r="P822" t="s">
        <v>24</v>
      </c>
      <c r="Q822">
        <v>3</v>
      </c>
      <c r="R822" t="s">
        <v>30</v>
      </c>
      <c r="S822" t="s">
        <v>42</v>
      </c>
      <c r="T822" t="s">
        <v>25</v>
      </c>
    </row>
    <row r="823" spans="1:20" x14ac:dyDescent="0.3">
      <c r="A823" t="s">
        <v>872</v>
      </c>
      <c r="B823">
        <v>52</v>
      </c>
      <c r="C823" t="s">
        <v>34</v>
      </c>
      <c r="D823" t="s">
        <v>57</v>
      </c>
      <c r="E823" t="s">
        <v>51</v>
      </c>
      <c r="F823">
        <v>16</v>
      </c>
      <c r="G823" t="s">
        <v>36</v>
      </c>
      <c r="H823">
        <v>27</v>
      </c>
      <c r="I823">
        <v>7</v>
      </c>
      <c r="J823">
        <v>3</v>
      </c>
      <c r="K823" t="s">
        <v>47</v>
      </c>
      <c r="L823" t="s">
        <v>10</v>
      </c>
      <c r="M823" t="s">
        <v>38</v>
      </c>
      <c r="N823" t="s">
        <v>23</v>
      </c>
      <c r="O823">
        <v>1</v>
      </c>
      <c r="P823" t="s">
        <v>13</v>
      </c>
      <c r="Q823">
        <v>3</v>
      </c>
      <c r="R823" t="s">
        <v>14</v>
      </c>
      <c r="S823" t="s">
        <v>42</v>
      </c>
      <c r="T823" t="s">
        <v>25</v>
      </c>
    </row>
    <row r="824" spans="1:20" x14ac:dyDescent="0.3">
      <c r="A824" t="s">
        <v>873</v>
      </c>
      <c r="B824">
        <v>51</v>
      </c>
      <c r="C824" t="s">
        <v>5</v>
      </c>
      <c r="D824" t="s">
        <v>6</v>
      </c>
      <c r="E824" t="s">
        <v>7</v>
      </c>
      <c r="F824">
        <v>17</v>
      </c>
      <c r="G824" t="s">
        <v>36</v>
      </c>
      <c r="H824">
        <v>29</v>
      </c>
      <c r="I824">
        <v>15</v>
      </c>
      <c r="J824">
        <v>3</v>
      </c>
      <c r="K824" t="s">
        <v>37</v>
      </c>
      <c r="L824" t="s">
        <v>22</v>
      </c>
      <c r="M824" t="s">
        <v>11</v>
      </c>
      <c r="N824" t="s">
        <v>29</v>
      </c>
      <c r="O824">
        <v>2</v>
      </c>
      <c r="P824" t="s">
        <v>48</v>
      </c>
      <c r="Q824">
        <v>3</v>
      </c>
      <c r="R824" t="s">
        <v>30</v>
      </c>
      <c r="S824" t="s">
        <v>42</v>
      </c>
      <c r="T824" t="s">
        <v>25</v>
      </c>
    </row>
    <row r="825" spans="1:20" x14ac:dyDescent="0.3">
      <c r="A825" t="s">
        <v>874</v>
      </c>
      <c r="B825">
        <v>42</v>
      </c>
      <c r="C825" t="s">
        <v>18</v>
      </c>
      <c r="D825" t="s">
        <v>61</v>
      </c>
      <c r="E825" t="s">
        <v>64</v>
      </c>
      <c r="F825">
        <v>16</v>
      </c>
      <c r="G825" t="s">
        <v>36</v>
      </c>
      <c r="H825">
        <v>52</v>
      </c>
      <c r="I825">
        <v>7</v>
      </c>
      <c r="J825">
        <v>5</v>
      </c>
      <c r="K825" t="s">
        <v>47</v>
      </c>
      <c r="L825" t="s">
        <v>30</v>
      </c>
      <c r="M825" t="s">
        <v>38</v>
      </c>
      <c r="N825" t="s">
        <v>12</v>
      </c>
      <c r="O825">
        <v>2</v>
      </c>
      <c r="P825" t="s">
        <v>48</v>
      </c>
      <c r="Q825">
        <v>2</v>
      </c>
      <c r="R825" t="s">
        <v>14</v>
      </c>
      <c r="S825" t="s">
        <v>42</v>
      </c>
      <c r="T825" t="s">
        <v>55</v>
      </c>
    </row>
    <row r="826" spans="1:20" x14ac:dyDescent="0.3">
      <c r="A826" t="s">
        <v>875</v>
      </c>
      <c r="B826">
        <v>48</v>
      </c>
      <c r="C826" t="s">
        <v>46</v>
      </c>
      <c r="D826" t="s">
        <v>40</v>
      </c>
      <c r="E826" t="s">
        <v>7</v>
      </c>
      <c r="F826">
        <v>6</v>
      </c>
      <c r="G826" t="s">
        <v>36</v>
      </c>
      <c r="H826">
        <v>45</v>
      </c>
      <c r="I826">
        <v>3</v>
      </c>
      <c r="J826">
        <v>4</v>
      </c>
      <c r="K826" t="s">
        <v>47</v>
      </c>
      <c r="L826" t="s">
        <v>68</v>
      </c>
      <c r="M826" t="s">
        <v>38</v>
      </c>
      <c r="N826" t="s">
        <v>12</v>
      </c>
      <c r="O826">
        <v>5</v>
      </c>
      <c r="P826" t="s">
        <v>48</v>
      </c>
      <c r="Q826">
        <v>5</v>
      </c>
      <c r="R826" t="s">
        <v>14</v>
      </c>
      <c r="S826" t="s">
        <v>15</v>
      </c>
      <c r="T826" t="s">
        <v>16</v>
      </c>
    </row>
    <row r="827" spans="1:20" x14ac:dyDescent="0.3">
      <c r="A827" t="s">
        <v>876</v>
      </c>
      <c r="B827">
        <v>24</v>
      </c>
      <c r="C827" t="s">
        <v>18</v>
      </c>
      <c r="D827" t="s">
        <v>61</v>
      </c>
      <c r="E827" t="s">
        <v>64</v>
      </c>
      <c r="F827">
        <v>9</v>
      </c>
      <c r="G827" t="s">
        <v>21</v>
      </c>
      <c r="H827">
        <v>58</v>
      </c>
      <c r="I827">
        <v>7</v>
      </c>
      <c r="J827">
        <v>5</v>
      </c>
      <c r="K827" t="s">
        <v>47</v>
      </c>
      <c r="L827" t="s">
        <v>68</v>
      </c>
      <c r="M827" t="s">
        <v>11</v>
      </c>
      <c r="N827" t="s">
        <v>29</v>
      </c>
      <c r="O827">
        <v>4</v>
      </c>
      <c r="P827" t="s">
        <v>24</v>
      </c>
      <c r="Q827">
        <v>3</v>
      </c>
      <c r="R827" t="s">
        <v>14</v>
      </c>
      <c r="S827" t="s">
        <v>42</v>
      </c>
      <c r="T827" t="s">
        <v>44</v>
      </c>
    </row>
    <row r="828" spans="1:20" x14ac:dyDescent="0.3">
      <c r="A828" t="s">
        <v>877</v>
      </c>
      <c r="B828">
        <v>45</v>
      </c>
      <c r="C828" t="s">
        <v>46</v>
      </c>
      <c r="D828" t="s">
        <v>57</v>
      </c>
      <c r="E828" t="s">
        <v>64</v>
      </c>
      <c r="F828">
        <v>19</v>
      </c>
      <c r="G828" t="s">
        <v>8</v>
      </c>
      <c r="H828">
        <v>23</v>
      </c>
      <c r="I828">
        <v>3</v>
      </c>
      <c r="J828">
        <v>4</v>
      </c>
      <c r="K828" t="s">
        <v>37</v>
      </c>
      <c r="L828" t="s">
        <v>68</v>
      </c>
      <c r="M828" t="s">
        <v>11</v>
      </c>
      <c r="N828" t="s">
        <v>29</v>
      </c>
      <c r="O828">
        <v>2</v>
      </c>
      <c r="P828" t="s">
        <v>24</v>
      </c>
      <c r="Q828">
        <v>5</v>
      </c>
      <c r="R828" t="s">
        <v>14</v>
      </c>
      <c r="S828" t="s">
        <v>15</v>
      </c>
      <c r="T828" t="s">
        <v>55</v>
      </c>
    </row>
    <row r="829" spans="1:20" x14ac:dyDescent="0.3">
      <c r="A829" t="s">
        <v>878</v>
      </c>
      <c r="B829">
        <v>32</v>
      </c>
      <c r="C829" t="s">
        <v>18</v>
      </c>
      <c r="D829" t="s">
        <v>40</v>
      </c>
      <c r="E829" t="s">
        <v>20</v>
      </c>
      <c r="F829">
        <v>33</v>
      </c>
      <c r="G829" t="s">
        <v>36</v>
      </c>
      <c r="H829">
        <v>27</v>
      </c>
      <c r="I829">
        <v>14</v>
      </c>
      <c r="J829">
        <v>4</v>
      </c>
      <c r="K829" t="s">
        <v>9</v>
      </c>
      <c r="L829" t="s">
        <v>22</v>
      </c>
      <c r="M829" t="s">
        <v>38</v>
      </c>
      <c r="N829" t="s">
        <v>29</v>
      </c>
      <c r="O829">
        <v>2</v>
      </c>
      <c r="P829" t="s">
        <v>24</v>
      </c>
      <c r="Q829">
        <v>2</v>
      </c>
      <c r="R829" t="s">
        <v>30</v>
      </c>
      <c r="S829" t="s">
        <v>42</v>
      </c>
      <c r="T829" t="s">
        <v>44</v>
      </c>
    </row>
    <row r="830" spans="1:20" x14ac:dyDescent="0.3">
      <c r="A830" t="s">
        <v>879</v>
      </c>
      <c r="B830">
        <v>50</v>
      </c>
      <c r="C830" t="s">
        <v>46</v>
      </c>
      <c r="D830" t="s">
        <v>57</v>
      </c>
      <c r="E830" t="s">
        <v>7</v>
      </c>
      <c r="F830">
        <v>21</v>
      </c>
      <c r="G830" t="s">
        <v>8</v>
      </c>
      <c r="H830">
        <v>59</v>
      </c>
      <c r="I830">
        <v>10</v>
      </c>
      <c r="J830">
        <v>3</v>
      </c>
      <c r="K830" t="s">
        <v>9</v>
      </c>
      <c r="L830" t="s">
        <v>10</v>
      </c>
      <c r="M830" t="s">
        <v>38</v>
      </c>
      <c r="N830" t="s">
        <v>29</v>
      </c>
      <c r="O830">
        <v>4</v>
      </c>
      <c r="P830" t="s">
        <v>48</v>
      </c>
      <c r="Q830">
        <v>3</v>
      </c>
      <c r="R830" t="s">
        <v>49</v>
      </c>
      <c r="S830" t="s">
        <v>42</v>
      </c>
      <c r="T830" t="s">
        <v>44</v>
      </c>
    </row>
    <row r="831" spans="1:20" x14ac:dyDescent="0.3">
      <c r="A831" t="s">
        <v>880</v>
      </c>
      <c r="B831">
        <v>46</v>
      </c>
      <c r="C831" t="s">
        <v>5</v>
      </c>
      <c r="D831" t="s">
        <v>57</v>
      </c>
      <c r="E831" t="s">
        <v>7</v>
      </c>
      <c r="F831">
        <v>14</v>
      </c>
      <c r="G831" t="s">
        <v>36</v>
      </c>
      <c r="H831">
        <v>40</v>
      </c>
      <c r="I831">
        <v>12</v>
      </c>
      <c r="J831">
        <v>4</v>
      </c>
      <c r="K831" t="s">
        <v>9</v>
      </c>
      <c r="L831" t="s">
        <v>68</v>
      </c>
      <c r="M831" t="s">
        <v>38</v>
      </c>
      <c r="N831" t="s">
        <v>12</v>
      </c>
      <c r="O831">
        <v>3</v>
      </c>
      <c r="P831" t="s">
        <v>13</v>
      </c>
      <c r="Q831">
        <v>2</v>
      </c>
      <c r="R831" t="s">
        <v>14</v>
      </c>
      <c r="S831" t="s">
        <v>42</v>
      </c>
      <c r="T831" t="s">
        <v>55</v>
      </c>
    </row>
    <row r="832" spans="1:20" x14ac:dyDescent="0.3">
      <c r="A832" t="s">
        <v>881</v>
      </c>
      <c r="B832">
        <v>43</v>
      </c>
      <c r="C832" t="s">
        <v>46</v>
      </c>
      <c r="D832" t="s">
        <v>6</v>
      </c>
      <c r="E832" t="s">
        <v>20</v>
      </c>
      <c r="F832">
        <v>30</v>
      </c>
      <c r="G832" t="s">
        <v>36</v>
      </c>
      <c r="H832">
        <v>59</v>
      </c>
      <c r="I832">
        <v>11</v>
      </c>
      <c r="J832">
        <v>1</v>
      </c>
      <c r="K832" t="s">
        <v>37</v>
      </c>
      <c r="L832" t="s">
        <v>30</v>
      </c>
      <c r="M832" t="s">
        <v>38</v>
      </c>
      <c r="N832" t="s">
        <v>23</v>
      </c>
      <c r="O832">
        <v>3</v>
      </c>
      <c r="P832" t="s">
        <v>13</v>
      </c>
      <c r="Q832">
        <v>1</v>
      </c>
      <c r="R832" t="s">
        <v>49</v>
      </c>
      <c r="S832" t="s">
        <v>31</v>
      </c>
      <c r="T832" t="s">
        <v>16</v>
      </c>
    </row>
    <row r="833" spans="1:20" x14ac:dyDescent="0.3">
      <c r="A833" t="s">
        <v>882</v>
      </c>
      <c r="B833">
        <v>30</v>
      </c>
      <c r="C833" t="s">
        <v>18</v>
      </c>
      <c r="D833" t="s">
        <v>27</v>
      </c>
      <c r="E833" t="s">
        <v>51</v>
      </c>
      <c r="F833">
        <v>2</v>
      </c>
      <c r="G833" t="s">
        <v>21</v>
      </c>
      <c r="H833">
        <v>58</v>
      </c>
      <c r="I833">
        <v>4</v>
      </c>
      <c r="J833">
        <v>4</v>
      </c>
      <c r="K833" t="s">
        <v>37</v>
      </c>
      <c r="L833" t="s">
        <v>30</v>
      </c>
      <c r="M833" t="s">
        <v>38</v>
      </c>
      <c r="N833" t="s">
        <v>29</v>
      </c>
      <c r="O833">
        <v>1</v>
      </c>
      <c r="P833" t="s">
        <v>48</v>
      </c>
      <c r="Q833">
        <v>4</v>
      </c>
      <c r="R833" t="s">
        <v>49</v>
      </c>
      <c r="S833" t="s">
        <v>42</v>
      </c>
      <c r="T833" t="s">
        <v>55</v>
      </c>
    </row>
    <row r="834" spans="1:20" x14ac:dyDescent="0.3">
      <c r="A834" t="s">
        <v>883</v>
      </c>
      <c r="B834">
        <v>24</v>
      </c>
      <c r="C834" t="s">
        <v>34</v>
      </c>
      <c r="D834" t="s">
        <v>19</v>
      </c>
      <c r="E834" t="s">
        <v>20</v>
      </c>
      <c r="F834">
        <v>10</v>
      </c>
      <c r="G834" t="s">
        <v>21</v>
      </c>
      <c r="H834">
        <v>52</v>
      </c>
      <c r="I834">
        <v>3</v>
      </c>
      <c r="J834">
        <v>2</v>
      </c>
      <c r="K834" t="s">
        <v>37</v>
      </c>
      <c r="L834" t="s">
        <v>10</v>
      </c>
      <c r="M834" t="s">
        <v>38</v>
      </c>
      <c r="N834" t="s">
        <v>12</v>
      </c>
      <c r="O834">
        <v>1</v>
      </c>
      <c r="P834" t="s">
        <v>24</v>
      </c>
      <c r="Q834">
        <v>3</v>
      </c>
      <c r="R834" t="s">
        <v>14</v>
      </c>
      <c r="S834" t="s">
        <v>42</v>
      </c>
      <c r="T834" t="s">
        <v>25</v>
      </c>
    </row>
    <row r="835" spans="1:20" x14ac:dyDescent="0.3">
      <c r="A835" t="s">
        <v>884</v>
      </c>
      <c r="B835">
        <v>43</v>
      </c>
      <c r="C835" t="s">
        <v>18</v>
      </c>
      <c r="D835" t="s">
        <v>19</v>
      </c>
      <c r="E835" t="s">
        <v>41</v>
      </c>
      <c r="F835">
        <v>4</v>
      </c>
      <c r="G835" t="s">
        <v>8</v>
      </c>
      <c r="H835">
        <v>57</v>
      </c>
      <c r="I835">
        <v>12</v>
      </c>
      <c r="J835">
        <v>3</v>
      </c>
      <c r="K835" t="s">
        <v>37</v>
      </c>
      <c r="L835" t="s">
        <v>22</v>
      </c>
      <c r="M835" t="s">
        <v>38</v>
      </c>
      <c r="N835" t="s">
        <v>23</v>
      </c>
      <c r="O835">
        <v>3</v>
      </c>
      <c r="P835" t="s">
        <v>13</v>
      </c>
      <c r="Q835">
        <v>1</v>
      </c>
      <c r="R835" t="s">
        <v>49</v>
      </c>
      <c r="S835" t="s">
        <v>42</v>
      </c>
      <c r="T835" t="s">
        <v>25</v>
      </c>
    </row>
    <row r="836" spans="1:20" x14ac:dyDescent="0.3">
      <c r="A836" t="s">
        <v>885</v>
      </c>
      <c r="B836">
        <v>46</v>
      </c>
      <c r="C836" t="s">
        <v>34</v>
      </c>
      <c r="D836" t="s">
        <v>40</v>
      </c>
      <c r="E836" t="s">
        <v>51</v>
      </c>
      <c r="F836">
        <v>12</v>
      </c>
      <c r="G836" t="s">
        <v>36</v>
      </c>
      <c r="H836">
        <v>22</v>
      </c>
      <c r="I836">
        <v>1</v>
      </c>
      <c r="J836">
        <v>5</v>
      </c>
      <c r="K836" t="s">
        <v>9</v>
      </c>
      <c r="L836" t="s">
        <v>68</v>
      </c>
      <c r="M836" t="s">
        <v>38</v>
      </c>
      <c r="N836" t="s">
        <v>12</v>
      </c>
      <c r="O836">
        <v>2</v>
      </c>
      <c r="P836" t="s">
        <v>24</v>
      </c>
      <c r="Q836">
        <v>5</v>
      </c>
      <c r="R836" t="s">
        <v>30</v>
      </c>
      <c r="S836" t="s">
        <v>42</v>
      </c>
      <c r="T836" t="s">
        <v>32</v>
      </c>
    </row>
    <row r="837" spans="1:20" x14ac:dyDescent="0.3">
      <c r="A837" t="s">
        <v>886</v>
      </c>
      <c r="B837">
        <v>55</v>
      </c>
      <c r="C837" t="s">
        <v>5</v>
      </c>
      <c r="D837" t="s">
        <v>40</v>
      </c>
      <c r="E837" t="s">
        <v>20</v>
      </c>
      <c r="F837">
        <v>23</v>
      </c>
      <c r="G837" t="s">
        <v>21</v>
      </c>
      <c r="H837">
        <v>25</v>
      </c>
      <c r="I837">
        <v>10</v>
      </c>
      <c r="J837">
        <v>5</v>
      </c>
      <c r="K837" t="s">
        <v>47</v>
      </c>
      <c r="L837" t="s">
        <v>22</v>
      </c>
      <c r="M837" t="s">
        <v>11</v>
      </c>
      <c r="N837" t="s">
        <v>29</v>
      </c>
      <c r="O837">
        <v>3</v>
      </c>
      <c r="P837" t="s">
        <v>48</v>
      </c>
      <c r="Q837">
        <v>5</v>
      </c>
      <c r="R837" t="s">
        <v>49</v>
      </c>
      <c r="S837" t="s">
        <v>15</v>
      </c>
      <c r="T837" t="s">
        <v>16</v>
      </c>
    </row>
    <row r="838" spans="1:20" x14ac:dyDescent="0.3">
      <c r="A838" t="s">
        <v>887</v>
      </c>
      <c r="B838">
        <v>46</v>
      </c>
      <c r="C838" t="s">
        <v>5</v>
      </c>
      <c r="D838" t="s">
        <v>6</v>
      </c>
      <c r="E838" t="s">
        <v>35</v>
      </c>
      <c r="F838">
        <v>4</v>
      </c>
      <c r="G838" t="s">
        <v>8</v>
      </c>
      <c r="H838">
        <v>57</v>
      </c>
      <c r="I838">
        <v>14</v>
      </c>
      <c r="J838">
        <v>1</v>
      </c>
      <c r="K838" t="s">
        <v>9</v>
      </c>
      <c r="L838" t="s">
        <v>30</v>
      </c>
      <c r="M838" t="s">
        <v>11</v>
      </c>
      <c r="N838" t="s">
        <v>29</v>
      </c>
      <c r="O838">
        <v>1</v>
      </c>
      <c r="P838" t="s">
        <v>24</v>
      </c>
      <c r="Q838">
        <v>5</v>
      </c>
      <c r="R838" t="s">
        <v>14</v>
      </c>
      <c r="S838" t="s">
        <v>31</v>
      </c>
      <c r="T838" t="s">
        <v>32</v>
      </c>
    </row>
    <row r="839" spans="1:20" x14ac:dyDescent="0.3">
      <c r="A839" t="s">
        <v>888</v>
      </c>
      <c r="B839">
        <v>50</v>
      </c>
      <c r="C839" t="s">
        <v>46</v>
      </c>
      <c r="D839" t="s">
        <v>63</v>
      </c>
      <c r="E839" t="s">
        <v>35</v>
      </c>
      <c r="F839">
        <v>22</v>
      </c>
      <c r="G839" t="s">
        <v>8</v>
      </c>
      <c r="H839">
        <v>55</v>
      </c>
      <c r="I839">
        <v>14</v>
      </c>
      <c r="J839">
        <v>3</v>
      </c>
      <c r="K839" t="s">
        <v>9</v>
      </c>
      <c r="L839" t="s">
        <v>10</v>
      </c>
      <c r="M839" t="s">
        <v>38</v>
      </c>
      <c r="N839" t="s">
        <v>23</v>
      </c>
      <c r="O839">
        <v>2</v>
      </c>
      <c r="P839" t="s">
        <v>48</v>
      </c>
      <c r="Q839">
        <v>2</v>
      </c>
      <c r="R839" t="s">
        <v>14</v>
      </c>
      <c r="S839" t="s">
        <v>15</v>
      </c>
      <c r="T839" t="s">
        <v>32</v>
      </c>
    </row>
    <row r="840" spans="1:20" x14ac:dyDescent="0.3">
      <c r="A840" t="s">
        <v>889</v>
      </c>
      <c r="B840">
        <v>54</v>
      </c>
      <c r="C840" t="s">
        <v>18</v>
      </c>
      <c r="D840" t="s">
        <v>6</v>
      </c>
      <c r="E840" t="s">
        <v>64</v>
      </c>
      <c r="F840">
        <v>9</v>
      </c>
      <c r="G840" t="s">
        <v>36</v>
      </c>
      <c r="H840">
        <v>51</v>
      </c>
      <c r="I840">
        <v>1</v>
      </c>
      <c r="J840">
        <v>4</v>
      </c>
      <c r="K840" t="s">
        <v>9</v>
      </c>
      <c r="L840" t="s">
        <v>22</v>
      </c>
      <c r="M840" t="s">
        <v>11</v>
      </c>
      <c r="N840" t="s">
        <v>12</v>
      </c>
      <c r="O840">
        <v>2</v>
      </c>
      <c r="P840" t="s">
        <v>48</v>
      </c>
      <c r="Q840">
        <v>4</v>
      </c>
      <c r="R840" t="s">
        <v>14</v>
      </c>
      <c r="S840" t="s">
        <v>31</v>
      </c>
      <c r="T840" t="s">
        <v>25</v>
      </c>
    </row>
    <row r="841" spans="1:20" x14ac:dyDescent="0.3">
      <c r="A841" t="s">
        <v>890</v>
      </c>
      <c r="B841">
        <v>31</v>
      </c>
      <c r="C841" t="s">
        <v>46</v>
      </c>
      <c r="D841" t="s">
        <v>40</v>
      </c>
      <c r="E841" t="s">
        <v>64</v>
      </c>
      <c r="F841">
        <v>15</v>
      </c>
      <c r="G841" t="s">
        <v>36</v>
      </c>
      <c r="H841">
        <v>32</v>
      </c>
      <c r="I841">
        <v>9</v>
      </c>
      <c r="J841">
        <v>1</v>
      </c>
      <c r="K841" t="s">
        <v>37</v>
      </c>
      <c r="L841" t="s">
        <v>30</v>
      </c>
      <c r="M841" t="s">
        <v>38</v>
      </c>
      <c r="N841" t="s">
        <v>12</v>
      </c>
      <c r="O841">
        <v>3</v>
      </c>
      <c r="P841" t="s">
        <v>13</v>
      </c>
      <c r="Q841">
        <v>1</v>
      </c>
      <c r="R841" t="s">
        <v>49</v>
      </c>
      <c r="S841" t="s">
        <v>31</v>
      </c>
      <c r="T841" t="s">
        <v>55</v>
      </c>
    </row>
    <row r="842" spans="1:20" x14ac:dyDescent="0.3">
      <c r="A842" t="s">
        <v>891</v>
      </c>
      <c r="B842">
        <v>51</v>
      </c>
      <c r="C842" t="s">
        <v>5</v>
      </c>
      <c r="D842" t="s">
        <v>40</v>
      </c>
      <c r="E842" t="s">
        <v>28</v>
      </c>
      <c r="F842">
        <v>1</v>
      </c>
      <c r="G842" t="s">
        <v>8</v>
      </c>
      <c r="H842">
        <v>47</v>
      </c>
      <c r="I842">
        <v>12</v>
      </c>
      <c r="J842">
        <v>5</v>
      </c>
      <c r="K842" t="s">
        <v>9</v>
      </c>
      <c r="L842" t="s">
        <v>68</v>
      </c>
      <c r="M842" t="s">
        <v>38</v>
      </c>
      <c r="N842" t="s">
        <v>23</v>
      </c>
      <c r="O842">
        <v>3</v>
      </c>
      <c r="P842" t="s">
        <v>13</v>
      </c>
      <c r="Q842">
        <v>5</v>
      </c>
      <c r="R842" t="s">
        <v>30</v>
      </c>
      <c r="S842" t="s">
        <v>42</v>
      </c>
      <c r="T842" t="s">
        <v>32</v>
      </c>
    </row>
    <row r="843" spans="1:20" x14ac:dyDescent="0.3">
      <c r="A843" t="s">
        <v>892</v>
      </c>
      <c r="B843">
        <v>51</v>
      </c>
      <c r="C843" t="s">
        <v>5</v>
      </c>
      <c r="D843" t="s">
        <v>61</v>
      </c>
      <c r="E843" t="s">
        <v>51</v>
      </c>
      <c r="F843">
        <v>3</v>
      </c>
      <c r="G843" t="s">
        <v>36</v>
      </c>
      <c r="H843">
        <v>42</v>
      </c>
      <c r="I843">
        <v>12</v>
      </c>
      <c r="J843">
        <v>3</v>
      </c>
      <c r="K843" t="s">
        <v>47</v>
      </c>
      <c r="L843" t="s">
        <v>10</v>
      </c>
      <c r="M843" t="s">
        <v>11</v>
      </c>
      <c r="N843" t="s">
        <v>12</v>
      </c>
      <c r="O843">
        <v>5</v>
      </c>
      <c r="P843" t="s">
        <v>24</v>
      </c>
      <c r="Q843">
        <v>2</v>
      </c>
      <c r="R843" t="s">
        <v>30</v>
      </c>
      <c r="S843" t="s">
        <v>15</v>
      </c>
      <c r="T843" t="s">
        <v>44</v>
      </c>
    </row>
    <row r="844" spans="1:20" x14ac:dyDescent="0.3">
      <c r="A844" t="s">
        <v>893</v>
      </c>
      <c r="B844">
        <v>41</v>
      </c>
      <c r="C844" t="s">
        <v>46</v>
      </c>
      <c r="D844" t="s">
        <v>61</v>
      </c>
      <c r="E844" t="s">
        <v>35</v>
      </c>
      <c r="F844">
        <v>25</v>
      </c>
      <c r="G844" t="s">
        <v>21</v>
      </c>
      <c r="H844">
        <v>56</v>
      </c>
      <c r="I844">
        <v>15</v>
      </c>
      <c r="J844">
        <v>2</v>
      </c>
      <c r="K844" t="s">
        <v>37</v>
      </c>
      <c r="L844" t="s">
        <v>68</v>
      </c>
      <c r="M844" t="s">
        <v>38</v>
      </c>
      <c r="N844" t="s">
        <v>12</v>
      </c>
      <c r="O844">
        <v>4</v>
      </c>
      <c r="P844" t="s">
        <v>48</v>
      </c>
      <c r="Q844">
        <v>2</v>
      </c>
      <c r="R844" t="s">
        <v>14</v>
      </c>
      <c r="S844" t="s">
        <v>31</v>
      </c>
      <c r="T844" t="s">
        <v>25</v>
      </c>
    </row>
    <row r="845" spans="1:20" x14ac:dyDescent="0.3">
      <c r="A845" t="s">
        <v>894</v>
      </c>
      <c r="B845">
        <v>60</v>
      </c>
      <c r="C845" t="s">
        <v>46</v>
      </c>
      <c r="D845" t="s">
        <v>63</v>
      </c>
      <c r="E845" t="s">
        <v>28</v>
      </c>
      <c r="F845">
        <v>12</v>
      </c>
      <c r="G845" t="s">
        <v>36</v>
      </c>
      <c r="H845">
        <v>40</v>
      </c>
      <c r="I845">
        <v>7</v>
      </c>
      <c r="J845">
        <v>2</v>
      </c>
      <c r="K845" t="s">
        <v>37</v>
      </c>
      <c r="L845" t="s">
        <v>30</v>
      </c>
      <c r="M845" t="s">
        <v>38</v>
      </c>
      <c r="N845" t="s">
        <v>12</v>
      </c>
      <c r="O845">
        <v>1</v>
      </c>
      <c r="P845" t="s">
        <v>13</v>
      </c>
      <c r="Q845">
        <v>3</v>
      </c>
      <c r="R845" t="s">
        <v>30</v>
      </c>
      <c r="S845" t="s">
        <v>42</v>
      </c>
      <c r="T845" t="s">
        <v>55</v>
      </c>
    </row>
    <row r="846" spans="1:20" x14ac:dyDescent="0.3">
      <c r="A846" t="s">
        <v>895</v>
      </c>
      <c r="B846">
        <v>27</v>
      </c>
      <c r="C846" t="s">
        <v>46</v>
      </c>
      <c r="D846" t="s">
        <v>61</v>
      </c>
      <c r="E846" t="s">
        <v>7</v>
      </c>
      <c r="F846">
        <v>28</v>
      </c>
      <c r="G846" t="s">
        <v>36</v>
      </c>
      <c r="H846">
        <v>36</v>
      </c>
      <c r="I846">
        <v>12</v>
      </c>
      <c r="J846">
        <v>1</v>
      </c>
      <c r="K846" t="s">
        <v>37</v>
      </c>
      <c r="L846" t="s">
        <v>68</v>
      </c>
      <c r="M846" t="s">
        <v>38</v>
      </c>
      <c r="N846" t="s">
        <v>29</v>
      </c>
      <c r="O846">
        <v>4</v>
      </c>
      <c r="P846" t="s">
        <v>13</v>
      </c>
      <c r="Q846">
        <v>5</v>
      </c>
      <c r="R846" t="s">
        <v>49</v>
      </c>
      <c r="S846" t="s">
        <v>42</v>
      </c>
      <c r="T846" t="s">
        <v>55</v>
      </c>
    </row>
    <row r="847" spans="1:20" x14ac:dyDescent="0.3">
      <c r="A847" t="s">
        <v>896</v>
      </c>
      <c r="B847">
        <v>39</v>
      </c>
      <c r="C847" t="s">
        <v>34</v>
      </c>
      <c r="D847" t="s">
        <v>63</v>
      </c>
      <c r="E847" t="s">
        <v>35</v>
      </c>
      <c r="F847">
        <v>5</v>
      </c>
      <c r="G847" t="s">
        <v>8</v>
      </c>
      <c r="H847">
        <v>31</v>
      </c>
      <c r="I847">
        <v>5</v>
      </c>
      <c r="J847">
        <v>5</v>
      </c>
      <c r="K847" t="s">
        <v>47</v>
      </c>
      <c r="L847" t="s">
        <v>10</v>
      </c>
      <c r="M847" t="s">
        <v>11</v>
      </c>
      <c r="N847" t="s">
        <v>12</v>
      </c>
      <c r="O847">
        <v>3</v>
      </c>
      <c r="P847" t="s">
        <v>13</v>
      </c>
      <c r="Q847">
        <v>1</v>
      </c>
      <c r="R847" t="s">
        <v>49</v>
      </c>
      <c r="S847" t="s">
        <v>31</v>
      </c>
      <c r="T847" t="s">
        <v>58</v>
      </c>
    </row>
    <row r="848" spans="1:20" x14ac:dyDescent="0.3">
      <c r="A848" t="s">
        <v>897</v>
      </c>
      <c r="B848">
        <v>57</v>
      </c>
      <c r="C848" t="s">
        <v>46</v>
      </c>
      <c r="D848" t="s">
        <v>6</v>
      </c>
      <c r="E848" t="s">
        <v>64</v>
      </c>
      <c r="F848">
        <v>5</v>
      </c>
      <c r="G848" t="s">
        <v>36</v>
      </c>
      <c r="H848">
        <v>42</v>
      </c>
      <c r="I848">
        <v>1</v>
      </c>
      <c r="J848">
        <v>5</v>
      </c>
      <c r="K848" t="s">
        <v>9</v>
      </c>
      <c r="L848" t="s">
        <v>68</v>
      </c>
      <c r="M848" t="s">
        <v>11</v>
      </c>
      <c r="N848" t="s">
        <v>29</v>
      </c>
      <c r="O848">
        <v>3</v>
      </c>
      <c r="P848" t="s">
        <v>48</v>
      </c>
      <c r="Q848">
        <v>5</v>
      </c>
      <c r="R848" t="s">
        <v>14</v>
      </c>
      <c r="S848" t="s">
        <v>15</v>
      </c>
      <c r="T848" t="s">
        <v>25</v>
      </c>
    </row>
    <row r="849" spans="1:20" x14ac:dyDescent="0.3">
      <c r="A849" t="s">
        <v>898</v>
      </c>
      <c r="B849">
        <v>32</v>
      </c>
      <c r="C849" t="s">
        <v>46</v>
      </c>
      <c r="D849" t="s">
        <v>57</v>
      </c>
      <c r="E849" t="s">
        <v>20</v>
      </c>
      <c r="F849">
        <v>4</v>
      </c>
      <c r="G849" t="s">
        <v>21</v>
      </c>
      <c r="H849">
        <v>34</v>
      </c>
      <c r="I849">
        <v>7</v>
      </c>
      <c r="J849">
        <v>5</v>
      </c>
      <c r="K849" t="s">
        <v>37</v>
      </c>
      <c r="L849" t="s">
        <v>68</v>
      </c>
      <c r="M849" t="s">
        <v>38</v>
      </c>
      <c r="N849" t="s">
        <v>23</v>
      </c>
      <c r="O849">
        <v>1</v>
      </c>
      <c r="P849" t="s">
        <v>13</v>
      </c>
      <c r="Q849">
        <v>1</v>
      </c>
      <c r="R849" t="s">
        <v>49</v>
      </c>
      <c r="S849" t="s">
        <v>15</v>
      </c>
      <c r="T849" t="s">
        <v>16</v>
      </c>
    </row>
    <row r="850" spans="1:20" x14ac:dyDescent="0.3">
      <c r="A850" t="s">
        <v>899</v>
      </c>
      <c r="B850">
        <v>42</v>
      </c>
      <c r="C850" t="s">
        <v>5</v>
      </c>
      <c r="D850" t="s">
        <v>6</v>
      </c>
      <c r="E850" t="s">
        <v>41</v>
      </c>
      <c r="F850">
        <v>25</v>
      </c>
      <c r="G850" t="s">
        <v>36</v>
      </c>
      <c r="H850">
        <v>56</v>
      </c>
      <c r="I850">
        <v>9</v>
      </c>
      <c r="J850">
        <v>3</v>
      </c>
      <c r="K850" t="s">
        <v>37</v>
      </c>
      <c r="L850" t="s">
        <v>30</v>
      </c>
      <c r="M850" t="s">
        <v>38</v>
      </c>
      <c r="N850" t="s">
        <v>12</v>
      </c>
      <c r="O850">
        <v>4</v>
      </c>
      <c r="P850" t="s">
        <v>48</v>
      </c>
      <c r="Q850">
        <v>2</v>
      </c>
      <c r="R850" t="s">
        <v>49</v>
      </c>
      <c r="S850" t="s">
        <v>31</v>
      </c>
      <c r="T850" t="s">
        <v>55</v>
      </c>
    </row>
    <row r="851" spans="1:20" x14ac:dyDescent="0.3">
      <c r="A851" t="s">
        <v>900</v>
      </c>
      <c r="B851">
        <v>43</v>
      </c>
      <c r="C851" t="s">
        <v>5</v>
      </c>
      <c r="D851" t="s">
        <v>27</v>
      </c>
      <c r="E851" t="s">
        <v>51</v>
      </c>
      <c r="F851">
        <v>10</v>
      </c>
      <c r="G851" t="s">
        <v>21</v>
      </c>
      <c r="H851">
        <v>53</v>
      </c>
      <c r="I851">
        <v>15</v>
      </c>
      <c r="J851">
        <v>2</v>
      </c>
      <c r="K851" t="s">
        <v>9</v>
      </c>
      <c r="L851" t="s">
        <v>30</v>
      </c>
      <c r="M851" t="s">
        <v>11</v>
      </c>
      <c r="N851" t="s">
        <v>23</v>
      </c>
      <c r="O851">
        <v>4</v>
      </c>
      <c r="P851" t="s">
        <v>48</v>
      </c>
      <c r="Q851">
        <v>1</v>
      </c>
      <c r="R851" t="s">
        <v>49</v>
      </c>
      <c r="S851" t="s">
        <v>42</v>
      </c>
      <c r="T851" t="s">
        <v>32</v>
      </c>
    </row>
    <row r="852" spans="1:20" x14ac:dyDescent="0.3">
      <c r="A852" t="s">
        <v>901</v>
      </c>
      <c r="B852">
        <v>58</v>
      </c>
      <c r="C852" t="s">
        <v>46</v>
      </c>
      <c r="D852" t="s">
        <v>19</v>
      </c>
      <c r="E852" t="s">
        <v>35</v>
      </c>
      <c r="F852">
        <v>32</v>
      </c>
      <c r="G852" t="s">
        <v>36</v>
      </c>
      <c r="H852">
        <v>25</v>
      </c>
      <c r="I852">
        <v>15</v>
      </c>
      <c r="J852">
        <v>1</v>
      </c>
      <c r="K852" t="s">
        <v>37</v>
      </c>
      <c r="L852" t="s">
        <v>22</v>
      </c>
      <c r="M852" t="s">
        <v>11</v>
      </c>
      <c r="N852" t="s">
        <v>29</v>
      </c>
      <c r="O852">
        <v>4</v>
      </c>
      <c r="P852" t="s">
        <v>48</v>
      </c>
      <c r="Q852">
        <v>4</v>
      </c>
      <c r="R852" t="s">
        <v>49</v>
      </c>
      <c r="S852" t="s">
        <v>15</v>
      </c>
      <c r="T852" t="s">
        <v>58</v>
      </c>
    </row>
    <row r="853" spans="1:20" x14ac:dyDescent="0.3">
      <c r="A853" t="s">
        <v>902</v>
      </c>
      <c r="B853">
        <v>25</v>
      </c>
      <c r="C853" t="s">
        <v>34</v>
      </c>
      <c r="D853" t="s">
        <v>40</v>
      </c>
      <c r="E853" t="s">
        <v>20</v>
      </c>
      <c r="F853">
        <v>32</v>
      </c>
      <c r="G853" t="s">
        <v>21</v>
      </c>
      <c r="H853">
        <v>31</v>
      </c>
      <c r="I853">
        <v>15</v>
      </c>
      <c r="J853">
        <v>3</v>
      </c>
      <c r="K853" t="s">
        <v>47</v>
      </c>
      <c r="L853" t="s">
        <v>22</v>
      </c>
      <c r="M853" t="s">
        <v>11</v>
      </c>
      <c r="N853" t="s">
        <v>12</v>
      </c>
      <c r="O853">
        <v>2</v>
      </c>
      <c r="P853" t="s">
        <v>24</v>
      </c>
      <c r="Q853">
        <v>1</v>
      </c>
      <c r="R853" t="s">
        <v>14</v>
      </c>
      <c r="S853" t="s">
        <v>31</v>
      </c>
      <c r="T853" t="s">
        <v>55</v>
      </c>
    </row>
    <row r="854" spans="1:20" x14ac:dyDescent="0.3">
      <c r="A854" t="s">
        <v>903</v>
      </c>
      <c r="B854">
        <v>59</v>
      </c>
      <c r="C854" t="s">
        <v>18</v>
      </c>
      <c r="D854" t="s">
        <v>57</v>
      </c>
      <c r="E854" t="s">
        <v>7</v>
      </c>
      <c r="F854">
        <v>30</v>
      </c>
      <c r="G854" t="s">
        <v>8</v>
      </c>
      <c r="H854">
        <v>21</v>
      </c>
      <c r="I854">
        <v>3</v>
      </c>
      <c r="J854">
        <v>2</v>
      </c>
      <c r="K854" t="s">
        <v>37</v>
      </c>
      <c r="L854" t="s">
        <v>30</v>
      </c>
      <c r="M854" t="s">
        <v>11</v>
      </c>
      <c r="N854" t="s">
        <v>23</v>
      </c>
      <c r="O854">
        <v>2</v>
      </c>
      <c r="P854" t="s">
        <v>48</v>
      </c>
      <c r="Q854">
        <v>1</v>
      </c>
      <c r="R854" t="s">
        <v>30</v>
      </c>
      <c r="S854" t="s">
        <v>31</v>
      </c>
      <c r="T854" t="s">
        <v>55</v>
      </c>
    </row>
    <row r="855" spans="1:20" x14ac:dyDescent="0.3">
      <c r="A855" t="s">
        <v>904</v>
      </c>
      <c r="B855">
        <v>28</v>
      </c>
      <c r="C855" t="s">
        <v>46</v>
      </c>
      <c r="D855" t="s">
        <v>6</v>
      </c>
      <c r="E855" t="s">
        <v>35</v>
      </c>
      <c r="F855">
        <v>19</v>
      </c>
      <c r="G855" t="s">
        <v>21</v>
      </c>
      <c r="H855">
        <v>58</v>
      </c>
      <c r="I855">
        <v>9</v>
      </c>
      <c r="J855">
        <v>1</v>
      </c>
      <c r="K855" t="s">
        <v>9</v>
      </c>
      <c r="L855" t="s">
        <v>30</v>
      </c>
      <c r="M855" t="s">
        <v>11</v>
      </c>
      <c r="N855" t="s">
        <v>29</v>
      </c>
      <c r="O855">
        <v>4</v>
      </c>
      <c r="P855" t="s">
        <v>48</v>
      </c>
      <c r="Q855">
        <v>4</v>
      </c>
      <c r="R855" t="s">
        <v>30</v>
      </c>
      <c r="S855" t="s">
        <v>31</v>
      </c>
      <c r="T855" t="s">
        <v>25</v>
      </c>
    </row>
    <row r="856" spans="1:20" x14ac:dyDescent="0.3">
      <c r="A856" t="s">
        <v>905</v>
      </c>
      <c r="B856">
        <v>41</v>
      </c>
      <c r="C856" t="s">
        <v>18</v>
      </c>
      <c r="D856" t="s">
        <v>6</v>
      </c>
      <c r="E856" t="s">
        <v>20</v>
      </c>
      <c r="F856">
        <v>5</v>
      </c>
      <c r="G856" t="s">
        <v>21</v>
      </c>
      <c r="H856">
        <v>29</v>
      </c>
      <c r="I856">
        <v>13</v>
      </c>
      <c r="J856">
        <v>1</v>
      </c>
      <c r="K856" t="s">
        <v>37</v>
      </c>
      <c r="L856" t="s">
        <v>30</v>
      </c>
      <c r="M856" t="s">
        <v>11</v>
      </c>
      <c r="N856" t="s">
        <v>23</v>
      </c>
      <c r="O856">
        <v>3</v>
      </c>
      <c r="P856" t="s">
        <v>24</v>
      </c>
      <c r="Q856">
        <v>1</v>
      </c>
      <c r="R856" t="s">
        <v>30</v>
      </c>
      <c r="S856" t="s">
        <v>31</v>
      </c>
      <c r="T856" t="s">
        <v>16</v>
      </c>
    </row>
    <row r="857" spans="1:20" x14ac:dyDescent="0.3">
      <c r="A857" t="s">
        <v>906</v>
      </c>
      <c r="B857">
        <v>45</v>
      </c>
      <c r="C857" t="s">
        <v>5</v>
      </c>
      <c r="D857" t="s">
        <v>61</v>
      </c>
      <c r="E857" t="s">
        <v>51</v>
      </c>
      <c r="F857">
        <v>28</v>
      </c>
      <c r="G857" t="s">
        <v>21</v>
      </c>
      <c r="H857">
        <v>56</v>
      </c>
      <c r="I857">
        <v>5</v>
      </c>
      <c r="J857">
        <v>1</v>
      </c>
      <c r="K857" t="s">
        <v>37</v>
      </c>
      <c r="L857" t="s">
        <v>68</v>
      </c>
      <c r="M857" t="s">
        <v>11</v>
      </c>
      <c r="N857" t="s">
        <v>23</v>
      </c>
      <c r="O857">
        <v>4</v>
      </c>
      <c r="P857" t="s">
        <v>13</v>
      </c>
      <c r="Q857">
        <v>1</v>
      </c>
      <c r="R857" t="s">
        <v>14</v>
      </c>
      <c r="S857" t="s">
        <v>42</v>
      </c>
      <c r="T857" t="s">
        <v>25</v>
      </c>
    </row>
    <row r="858" spans="1:20" x14ac:dyDescent="0.3">
      <c r="A858" t="s">
        <v>907</v>
      </c>
      <c r="B858">
        <v>37</v>
      </c>
      <c r="C858" t="s">
        <v>34</v>
      </c>
      <c r="D858" t="s">
        <v>40</v>
      </c>
      <c r="E858" t="s">
        <v>7</v>
      </c>
      <c r="F858">
        <v>14</v>
      </c>
      <c r="G858" t="s">
        <v>21</v>
      </c>
      <c r="H858">
        <v>48</v>
      </c>
      <c r="I858">
        <v>1</v>
      </c>
      <c r="J858">
        <v>1</v>
      </c>
      <c r="K858" t="s">
        <v>47</v>
      </c>
      <c r="L858" t="s">
        <v>22</v>
      </c>
      <c r="M858" t="s">
        <v>38</v>
      </c>
      <c r="N858" t="s">
        <v>29</v>
      </c>
      <c r="O858">
        <v>3</v>
      </c>
      <c r="P858" t="s">
        <v>24</v>
      </c>
      <c r="Q858">
        <v>2</v>
      </c>
      <c r="R858" t="s">
        <v>14</v>
      </c>
      <c r="S858" t="s">
        <v>31</v>
      </c>
      <c r="T858" t="s">
        <v>55</v>
      </c>
    </row>
    <row r="859" spans="1:20" x14ac:dyDescent="0.3">
      <c r="A859" t="s">
        <v>908</v>
      </c>
      <c r="B859">
        <v>27</v>
      </c>
      <c r="C859" t="s">
        <v>5</v>
      </c>
      <c r="D859" t="s">
        <v>27</v>
      </c>
      <c r="E859" t="s">
        <v>51</v>
      </c>
      <c r="F859">
        <v>2</v>
      </c>
      <c r="G859" t="s">
        <v>8</v>
      </c>
      <c r="H859">
        <v>60</v>
      </c>
      <c r="I859">
        <v>2</v>
      </c>
      <c r="J859">
        <v>1</v>
      </c>
      <c r="K859" t="s">
        <v>47</v>
      </c>
      <c r="L859" t="s">
        <v>10</v>
      </c>
      <c r="M859" t="s">
        <v>11</v>
      </c>
      <c r="N859" t="s">
        <v>23</v>
      </c>
      <c r="O859">
        <v>3</v>
      </c>
      <c r="P859" t="s">
        <v>13</v>
      </c>
      <c r="Q859">
        <v>4</v>
      </c>
      <c r="R859" t="s">
        <v>49</v>
      </c>
      <c r="S859" t="s">
        <v>42</v>
      </c>
      <c r="T859" t="s">
        <v>44</v>
      </c>
    </row>
    <row r="860" spans="1:20" x14ac:dyDescent="0.3">
      <c r="A860" t="s">
        <v>909</v>
      </c>
      <c r="B860">
        <v>46</v>
      </c>
      <c r="C860" t="s">
        <v>18</v>
      </c>
      <c r="D860" t="s">
        <v>63</v>
      </c>
      <c r="E860" t="s">
        <v>64</v>
      </c>
      <c r="F860">
        <v>29</v>
      </c>
      <c r="G860" t="s">
        <v>8</v>
      </c>
      <c r="H860">
        <v>26</v>
      </c>
      <c r="I860">
        <v>8</v>
      </c>
      <c r="J860">
        <v>5</v>
      </c>
      <c r="K860" t="s">
        <v>37</v>
      </c>
      <c r="L860" t="s">
        <v>10</v>
      </c>
      <c r="M860" t="s">
        <v>38</v>
      </c>
      <c r="N860" t="s">
        <v>29</v>
      </c>
      <c r="O860">
        <v>3</v>
      </c>
      <c r="P860" t="s">
        <v>48</v>
      </c>
      <c r="Q860">
        <v>4</v>
      </c>
      <c r="R860" t="s">
        <v>14</v>
      </c>
      <c r="S860" t="s">
        <v>15</v>
      </c>
      <c r="T860" t="s">
        <v>25</v>
      </c>
    </row>
    <row r="861" spans="1:20" x14ac:dyDescent="0.3">
      <c r="A861" t="s">
        <v>910</v>
      </c>
      <c r="B861">
        <v>48</v>
      </c>
      <c r="C861" t="s">
        <v>46</v>
      </c>
      <c r="D861" t="s">
        <v>19</v>
      </c>
      <c r="E861" t="s">
        <v>20</v>
      </c>
      <c r="F861">
        <v>15</v>
      </c>
      <c r="G861" t="s">
        <v>36</v>
      </c>
      <c r="H861">
        <v>21</v>
      </c>
      <c r="I861">
        <v>8</v>
      </c>
      <c r="J861">
        <v>1</v>
      </c>
      <c r="K861" t="s">
        <v>37</v>
      </c>
      <c r="L861" t="s">
        <v>30</v>
      </c>
      <c r="M861" t="s">
        <v>38</v>
      </c>
      <c r="N861" t="s">
        <v>29</v>
      </c>
      <c r="O861">
        <v>3</v>
      </c>
      <c r="P861" t="s">
        <v>24</v>
      </c>
      <c r="Q861">
        <v>2</v>
      </c>
      <c r="R861" t="s">
        <v>14</v>
      </c>
      <c r="S861" t="s">
        <v>15</v>
      </c>
      <c r="T861" t="s">
        <v>16</v>
      </c>
    </row>
    <row r="862" spans="1:20" x14ac:dyDescent="0.3">
      <c r="A862" t="s">
        <v>911</v>
      </c>
      <c r="B862">
        <v>35</v>
      </c>
      <c r="C862" t="s">
        <v>46</v>
      </c>
      <c r="D862" t="s">
        <v>57</v>
      </c>
      <c r="E862" t="s">
        <v>7</v>
      </c>
      <c r="F862">
        <v>27</v>
      </c>
      <c r="G862" t="s">
        <v>36</v>
      </c>
      <c r="H862">
        <v>20</v>
      </c>
      <c r="I862">
        <v>8</v>
      </c>
      <c r="J862">
        <v>3</v>
      </c>
      <c r="K862" t="s">
        <v>37</v>
      </c>
      <c r="L862" t="s">
        <v>68</v>
      </c>
      <c r="M862" t="s">
        <v>11</v>
      </c>
      <c r="N862" t="s">
        <v>29</v>
      </c>
      <c r="O862">
        <v>3</v>
      </c>
      <c r="P862" t="s">
        <v>13</v>
      </c>
      <c r="Q862">
        <v>4</v>
      </c>
      <c r="R862" t="s">
        <v>30</v>
      </c>
      <c r="S862" t="s">
        <v>31</v>
      </c>
      <c r="T862" t="s">
        <v>16</v>
      </c>
    </row>
    <row r="863" spans="1:20" x14ac:dyDescent="0.3">
      <c r="A863" t="s">
        <v>912</v>
      </c>
      <c r="B863">
        <v>32</v>
      </c>
      <c r="C863" t="s">
        <v>34</v>
      </c>
      <c r="D863" t="s">
        <v>19</v>
      </c>
      <c r="E863" t="s">
        <v>35</v>
      </c>
      <c r="F863">
        <v>26</v>
      </c>
      <c r="G863" t="s">
        <v>36</v>
      </c>
      <c r="H863">
        <v>58</v>
      </c>
      <c r="I863">
        <v>9</v>
      </c>
      <c r="J863">
        <v>1</v>
      </c>
      <c r="K863" t="s">
        <v>47</v>
      </c>
      <c r="L863" t="s">
        <v>10</v>
      </c>
      <c r="M863" t="s">
        <v>38</v>
      </c>
      <c r="N863" t="s">
        <v>23</v>
      </c>
      <c r="O863">
        <v>3</v>
      </c>
      <c r="P863" t="s">
        <v>48</v>
      </c>
      <c r="Q863">
        <v>4</v>
      </c>
      <c r="R863" t="s">
        <v>30</v>
      </c>
      <c r="S863" t="s">
        <v>31</v>
      </c>
      <c r="T863" t="s">
        <v>44</v>
      </c>
    </row>
    <row r="864" spans="1:20" x14ac:dyDescent="0.3">
      <c r="A864" t="s">
        <v>913</v>
      </c>
      <c r="B864">
        <v>36</v>
      </c>
      <c r="C864" t="s">
        <v>18</v>
      </c>
      <c r="D864" t="s">
        <v>57</v>
      </c>
      <c r="E864" t="s">
        <v>64</v>
      </c>
      <c r="F864">
        <v>10</v>
      </c>
      <c r="G864" t="s">
        <v>8</v>
      </c>
      <c r="H864">
        <v>39</v>
      </c>
      <c r="I864">
        <v>10</v>
      </c>
      <c r="J864">
        <v>3</v>
      </c>
      <c r="K864" t="s">
        <v>9</v>
      </c>
      <c r="L864" t="s">
        <v>22</v>
      </c>
      <c r="M864" t="s">
        <v>11</v>
      </c>
      <c r="N864" t="s">
        <v>23</v>
      </c>
      <c r="O864">
        <v>5</v>
      </c>
      <c r="P864" t="s">
        <v>48</v>
      </c>
      <c r="Q864">
        <v>1</v>
      </c>
      <c r="R864" t="s">
        <v>49</v>
      </c>
      <c r="S864" t="s">
        <v>31</v>
      </c>
      <c r="T864" t="s">
        <v>32</v>
      </c>
    </row>
    <row r="865" spans="1:20" x14ac:dyDescent="0.3">
      <c r="A865" t="s">
        <v>914</v>
      </c>
      <c r="B865">
        <v>24</v>
      </c>
      <c r="C865" t="s">
        <v>5</v>
      </c>
      <c r="D865" t="s">
        <v>19</v>
      </c>
      <c r="E865" t="s">
        <v>7</v>
      </c>
      <c r="F865">
        <v>6</v>
      </c>
      <c r="G865" t="s">
        <v>36</v>
      </c>
      <c r="H865">
        <v>43</v>
      </c>
      <c r="I865">
        <v>11</v>
      </c>
      <c r="J865">
        <v>2</v>
      </c>
      <c r="K865" t="s">
        <v>37</v>
      </c>
      <c r="L865" t="s">
        <v>10</v>
      </c>
      <c r="M865" t="s">
        <v>38</v>
      </c>
      <c r="N865" t="s">
        <v>29</v>
      </c>
      <c r="O865">
        <v>4</v>
      </c>
      <c r="P865" t="s">
        <v>24</v>
      </c>
      <c r="Q865">
        <v>1</v>
      </c>
      <c r="R865" t="s">
        <v>49</v>
      </c>
      <c r="S865" t="s">
        <v>31</v>
      </c>
      <c r="T865" t="s">
        <v>25</v>
      </c>
    </row>
    <row r="866" spans="1:20" x14ac:dyDescent="0.3">
      <c r="A866" t="s">
        <v>915</v>
      </c>
      <c r="B866">
        <v>58</v>
      </c>
      <c r="C866" t="s">
        <v>18</v>
      </c>
      <c r="D866" t="s">
        <v>40</v>
      </c>
      <c r="E866" t="s">
        <v>7</v>
      </c>
      <c r="F866">
        <v>19</v>
      </c>
      <c r="G866" t="s">
        <v>21</v>
      </c>
      <c r="H866">
        <v>43</v>
      </c>
      <c r="I866">
        <v>13</v>
      </c>
      <c r="J866">
        <v>3</v>
      </c>
      <c r="K866" t="s">
        <v>9</v>
      </c>
      <c r="L866" t="s">
        <v>30</v>
      </c>
      <c r="M866" t="s">
        <v>38</v>
      </c>
      <c r="N866" t="s">
        <v>29</v>
      </c>
      <c r="O866">
        <v>3</v>
      </c>
      <c r="P866" t="s">
        <v>13</v>
      </c>
      <c r="Q866">
        <v>4</v>
      </c>
      <c r="R866" t="s">
        <v>49</v>
      </c>
      <c r="S866" t="s">
        <v>31</v>
      </c>
      <c r="T866" t="s">
        <v>32</v>
      </c>
    </row>
    <row r="867" spans="1:20" x14ac:dyDescent="0.3">
      <c r="A867" t="s">
        <v>916</v>
      </c>
      <c r="B867">
        <v>53</v>
      </c>
      <c r="C867" t="s">
        <v>5</v>
      </c>
      <c r="D867" t="s">
        <v>57</v>
      </c>
      <c r="E867" t="s">
        <v>41</v>
      </c>
      <c r="F867">
        <v>25</v>
      </c>
      <c r="G867" t="s">
        <v>36</v>
      </c>
      <c r="H867">
        <v>28</v>
      </c>
      <c r="I867">
        <v>5</v>
      </c>
      <c r="J867">
        <v>2</v>
      </c>
      <c r="K867" t="s">
        <v>47</v>
      </c>
      <c r="L867" t="s">
        <v>30</v>
      </c>
      <c r="M867" t="s">
        <v>38</v>
      </c>
      <c r="N867" t="s">
        <v>29</v>
      </c>
      <c r="O867">
        <v>5</v>
      </c>
      <c r="P867" t="s">
        <v>13</v>
      </c>
      <c r="Q867">
        <v>3</v>
      </c>
      <c r="R867" t="s">
        <v>14</v>
      </c>
      <c r="S867" t="s">
        <v>42</v>
      </c>
      <c r="T867" t="s">
        <v>44</v>
      </c>
    </row>
    <row r="868" spans="1:20" x14ac:dyDescent="0.3">
      <c r="A868" t="s">
        <v>917</v>
      </c>
      <c r="B868">
        <v>35</v>
      </c>
      <c r="C868" t="s">
        <v>46</v>
      </c>
      <c r="D868" t="s">
        <v>6</v>
      </c>
      <c r="E868" t="s">
        <v>41</v>
      </c>
      <c r="F868">
        <v>32</v>
      </c>
      <c r="G868" t="s">
        <v>8</v>
      </c>
      <c r="H868">
        <v>24</v>
      </c>
      <c r="I868">
        <v>13</v>
      </c>
      <c r="J868">
        <v>3</v>
      </c>
      <c r="K868" t="s">
        <v>47</v>
      </c>
      <c r="L868" t="s">
        <v>30</v>
      </c>
      <c r="M868" t="s">
        <v>11</v>
      </c>
      <c r="N868" t="s">
        <v>12</v>
      </c>
      <c r="O868">
        <v>4</v>
      </c>
      <c r="P868" t="s">
        <v>13</v>
      </c>
      <c r="Q868">
        <v>1</v>
      </c>
      <c r="R868" t="s">
        <v>14</v>
      </c>
      <c r="S868" t="s">
        <v>42</v>
      </c>
      <c r="T868" t="s">
        <v>58</v>
      </c>
    </row>
    <row r="869" spans="1:20" x14ac:dyDescent="0.3">
      <c r="A869" t="s">
        <v>918</v>
      </c>
      <c r="B869">
        <v>26</v>
      </c>
      <c r="C869" t="s">
        <v>46</v>
      </c>
      <c r="D869" t="s">
        <v>63</v>
      </c>
      <c r="E869" t="s">
        <v>28</v>
      </c>
      <c r="F869">
        <v>5</v>
      </c>
      <c r="G869" t="s">
        <v>8</v>
      </c>
      <c r="H869">
        <v>51</v>
      </c>
      <c r="I869">
        <v>0</v>
      </c>
      <c r="J869">
        <v>4</v>
      </c>
      <c r="K869" t="s">
        <v>47</v>
      </c>
      <c r="L869" t="s">
        <v>30</v>
      </c>
      <c r="M869" t="s">
        <v>38</v>
      </c>
      <c r="N869" t="s">
        <v>12</v>
      </c>
      <c r="O869">
        <v>2</v>
      </c>
      <c r="P869" t="s">
        <v>13</v>
      </c>
      <c r="Q869">
        <v>1</v>
      </c>
      <c r="R869" t="s">
        <v>49</v>
      </c>
      <c r="S869" t="s">
        <v>15</v>
      </c>
      <c r="T869" t="s">
        <v>32</v>
      </c>
    </row>
    <row r="870" spans="1:20" x14ac:dyDescent="0.3">
      <c r="A870" t="s">
        <v>919</v>
      </c>
      <c r="B870">
        <v>50</v>
      </c>
      <c r="C870" t="s">
        <v>5</v>
      </c>
      <c r="D870" t="s">
        <v>19</v>
      </c>
      <c r="E870" t="s">
        <v>7</v>
      </c>
      <c r="F870">
        <v>29</v>
      </c>
      <c r="G870" t="s">
        <v>21</v>
      </c>
      <c r="H870">
        <v>29</v>
      </c>
      <c r="I870">
        <v>14</v>
      </c>
      <c r="J870">
        <v>1</v>
      </c>
      <c r="K870" t="s">
        <v>9</v>
      </c>
      <c r="L870" t="s">
        <v>22</v>
      </c>
      <c r="M870" t="s">
        <v>11</v>
      </c>
      <c r="N870" t="s">
        <v>29</v>
      </c>
      <c r="O870">
        <v>2</v>
      </c>
      <c r="P870" t="s">
        <v>48</v>
      </c>
      <c r="Q870">
        <v>1</v>
      </c>
      <c r="R870" t="s">
        <v>14</v>
      </c>
      <c r="S870" t="s">
        <v>31</v>
      </c>
      <c r="T870" t="s">
        <v>58</v>
      </c>
    </row>
    <row r="871" spans="1:20" x14ac:dyDescent="0.3">
      <c r="A871" t="s">
        <v>920</v>
      </c>
      <c r="B871">
        <v>33</v>
      </c>
      <c r="C871" t="s">
        <v>5</v>
      </c>
      <c r="D871" t="s">
        <v>40</v>
      </c>
      <c r="E871" t="s">
        <v>51</v>
      </c>
      <c r="F871">
        <v>16</v>
      </c>
      <c r="G871" t="s">
        <v>36</v>
      </c>
      <c r="H871">
        <v>55</v>
      </c>
      <c r="I871">
        <v>4</v>
      </c>
      <c r="J871">
        <v>3</v>
      </c>
      <c r="K871" t="s">
        <v>47</v>
      </c>
      <c r="L871" t="s">
        <v>68</v>
      </c>
      <c r="M871" t="s">
        <v>38</v>
      </c>
      <c r="N871" t="s">
        <v>12</v>
      </c>
      <c r="O871">
        <v>3</v>
      </c>
      <c r="P871" t="s">
        <v>48</v>
      </c>
      <c r="Q871">
        <v>4</v>
      </c>
      <c r="R871" t="s">
        <v>49</v>
      </c>
      <c r="S871" t="s">
        <v>15</v>
      </c>
      <c r="T871" t="s">
        <v>32</v>
      </c>
    </row>
    <row r="872" spans="1:20" x14ac:dyDescent="0.3">
      <c r="A872" t="s">
        <v>921</v>
      </c>
      <c r="B872">
        <v>30</v>
      </c>
      <c r="C872" t="s">
        <v>18</v>
      </c>
      <c r="D872" t="s">
        <v>40</v>
      </c>
      <c r="E872" t="s">
        <v>35</v>
      </c>
      <c r="F872">
        <v>6</v>
      </c>
      <c r="G872" t="s">
        <v>21</v>
      </c>
      <c r="H872">
        <v>40</v>
      </c>
      <c r="I872">
        <v>3</v>
      </c>
      <c r="J872">
        <v>5</v>
      </c>
      <c r="K872" t="s">
        <v>9</v>
      </c>
      <c r="L872" t="s">
        <v>22</v>
      </c>
      <c r="M872" t="s">
        <v>38</v>
      </c>
      <c r="N872" t="s">
        <v>29</v>
      </c>
      <c r="O872">
        <v>5</v>
      </c>
      <c r="P872" t="s">
        <v>13</v>
      </c>
      <c r="Q872">
        <v>1</v>
      </c>
      <c r="R872" t="s">
        <v>30</v>
      </c>
      <c r="S872" t="s">
        <v>15</v>
      </c>
      <c r="T872" t="s">
        <v>44</v>
      </c>
    </row>
    <row r="873" spans="1:20" x14ac:dyDescent="0.3">
      <c r="A873" t="s">
        <v>922</v>
      </c>
      <c r="B873">
        <v>60</v>
      </c>
      <c r="C873" t="s">
        <v>5</v>
      </c>
      <c r="D873" t="s">
        <v>57</v>
      </c>
      <c r="E873" t="s">
        <v>35</v>
      </c>
      <c r="F873">
        <v>12</v>
      </c>
      <c r="G873" t="s">
        <v>36</v>
      </c>
      <c r="H873">
        <v>43</v>
      </c>
      <c r="I873">
        <v>3</v>
      </c>
      <c r="J873">
        <v>1</v>
      </c>
      <c r="K873" t="s">
        <v>37</v>
      </c>
      <c r="L873" t="s">
        <v>68</v>
      </c>
      <c r="M873" t="s">
        <v>38</v>
      </c>
      <c r="N873" t="s">
        <v>12</v>
      </c>
      <c r="O873">
        <v>3</v>
      </c>
      <c r="P873" t="s">
        <v>24</v>
      </c>
      <c r="Q873">
        <v>2</v>
      </c>
      <c r="R873" t="s">
        <v>30</v>
      </c>
      <c r="S873" t="s">
        <v>31</v>
      </c>
      <c r="T873" t="s">
        <v>25</v>
      </c>
    </row>
    <row r="874" spans="1:20" x14ac:dyDescent="0.3">
      <c r="A874" t="s">
        <v>923</v>
      </c>
      <c r="B874">
        <v>59</v>
      </c>
      <c r="C874" t="s">
        <v>18</v>
      </c>
      <c r="D874" t="s">
        <v>27</v>
      </c>
      <c r="E874" t="s">
        <v>28</v>
      </c>
      <c r="F874">
        <v>22</v>
      </c>
      <c r="G874" t="s">
        <v>8</v>
      </c>
      <c r="H874">
        <v>29</v>
      </c>
      <c r="I874">
        <v>2</v>
      </c>
      <c r="J874">
        <v>1</v>
      </c>
      <c r="K874" t="s">
        <v>9</v>
      </c>
      <c r="L874" t="s">
        <v>22</v>
      </c>
      <c r="M874" t="s">
        <v>11</v>
      </c>
      <c r="N874" t="s">
        <v>23</v>
      </c>
      <c r="O874">
        <v>5</v>
      </c>
      <c r="P874" t="s">
        <v>48</v>
      </c>
      <c r="Q874">
        <v>2</v>
      </c>
      <c r="R874" t="s">
        <v>14</v>
      </c>
      <c r="S874" t="s">
        <v>42</v>
      </c>
      <c r="T874" t="s">
        <v>16</v>
      </c>
    </row>
    <row r="875" spans="1:20" x14ac:dyDescent="0.3">
      <c r="A875" t="s">
        <v>924</v>
      </c>
      <c r="B875">
        <v>57</v>
      </c>
      <c r="C875" t="s">
        <v>5</v>
      </c>
      <c r="D875" t="s">
        <v>61</v>
      </c>
      <c r="E875" t="s">
        <v>7</v>
      </c>
      <c r="F875">
        <v>35</v>
      </c>
      <c r="G875" t="s">
        <v>8</v>
      </c>
      <c r="H875">
        <v>48</v>
      </c>
      <c r="I875">
        <v>9</v>
      </c>
      <c r="J875">
        <v>1</v>
      </c>
      <c r="K875" t="s">
        <v>37</v>
      </c>
      <c r="L875" t="s">
        <v>68</v>
      </c>
      <c r="M875" t="s">
        <v>38</v>
      </c>
      <c r="N875" t="s">
        <v>29</v>
      </c>
      <c r="O875">
        <v>4</v>
      </c>
      <c r="P875" t="s">
        <v>48</v>
      </c>
      <c r="Q875">
        <v>1</v>
      </c>
      <c r="R875" t="s">
        <v>14</v>
      </c>
      <c r="S875" t="s">
        <v>31</v>
      </c>
      <c r="T875" t="s">
        <v>58</v>
      </c>
    </row>
    <row r="876" spans="1:20" x14ac:dyDescent="0.3">
      <c r="A876" t="s">
        <v>925</v>
      </c>
      <c r="B876">
        <v>47</v>
      </c>
      <c r="C876" t="s">
        <v>46</v>
      </c>
      <c r="D876" t="s">
        <v>61</v>
      </c>
      <c r="E876" t="s">
        <v>51</v>
      </c>
      <c r="F876">
        <v>1</v>
      </c>
      <c r="G876" t="s">
        <v>8</v>
      </c>
      <c r="H876">
        <v>38</v>
      </c>
      <c r="I876">
        <v>10</v>
      </c>
      <c r="J876">
        <v>4</v>
      </c>
      <c r="K876" t="s">
        <v>47</v>
      </c>
      <c r="L876" t="s">
        <v>30</v>
      </c>
      <c r="M876" t="s">
        <v>11</v>
      </c>
      <c r="N876" t="s">
        <v>29</v>
      </c>
      <c r="O876">
        <v>4</v>
      </c>
      <c r="P876" t="s">
        <v>48</v>
      </c>
      <c r="Q876">
        <v>3</v>
      </c>
      <c r="R876" t="s">
        <v>49</v>
      </c>
      <c r="S876" t="s">
        <v>31</v>
      </c>
      <c r="T876" t="s">
        <v>32</v>
      </c>
    </row>
    <row r="877" spans="1:20" x14ac:dyDescent="0.3">
      <c r="A877" t="s">
        <v>926</v>
      </c>
      <c r="B877">
        <v>37</v>
      </c>
      <c r="C877" t="s">
        <v>46</v>
      </c>
      <c r="D877" t="s">
        <v>61</v>
      </c>
      <c r="E877" t="s">
        <v>41</v>
      </c>
      <c r="F877">
        <v>33</v>
      </c>
      <c r="G877" t="s">
        <v>8</v>
      </c>
      <c r="H877">
        <v>42</v>
      </c>
      <c r="I877">
        <v>1</v>
      </c>
      <c r="J877">
        <v>3</v>
      </c>
      <c r="K877" t="s">
        <v>47</v>
      </c>
      <c r="L877" t="s">
        <v>68</v>
      </c>
      <c r="M877" t="s">
        <v>38</v>
      </c>
      <c r="N877" t="s">
        <v>12</v>
      </c>
      <c r="O877">
        <v>4</v>
      </c>
      <c r="P877" t="s">
        <v>24</v>
      </c>
      <c r="Q877">
        <v>5</v>
      </c>
      <c r="R877" t="s">
        <v>30</v>
      </c>
      <c r="S877" t="s">
        <v>42</v>
      </c>
      <c r="T877" t="s">
        <v>32</v>
      </c>
    </row>
    <row r="878" spans="1:20" x14ac:dyDescent="0.3">
      <c r="A878" t="s">
        <v>927</v>
      </c>
      <c r="B878">
        <v>37</v>
      </c>
      <c r="C878" t="s">
        <v>5</v>
      </c>
      <c r="D878" t="s">
        <v>27</v>
      </c>
      <c r="E878" t="s">
        <v>64</v>
      </c>
      <c r="F878">
        <v>2</v>
      </c>
      <c r="G878" t="s">
        <v>21</v>
      </c>
      <c r="H878">
        <v>34</v>
      </c>
      <c r="I878">
        <v>14</v>
      </c>
      <c r="J878">
        <v>3</v>
      </c>
      <c r="K878" t="s">
        <v>47</v>
      </c>
      <c r="L878" t="s">
        <v>10</v>
      </c>
      <c r="M878" t="s">
        <v>11</v>
      </c>
      <c r="N878" t="s">
        <v>29</v>
      </c>
      <c r="O878">
        <v>2</v>
      </c>
      <c r="P878" t="s">
        <v>24</v>
      </c>
      <c r="Q878">
        <v>2</v>
      </c>
      <c r="R878" t="s">
        <v>49</v>
      </c>
      <c r="S878" t="s">
        <v>42</v>
      </c>
      <c r="T878" t="s">
        <v>16</v>
      </c>
    </row>
    <row r="879" spans="1:20" x14ac:dyDescent="0.3">
      <c r="A879" t="s">
        <v>928</v>
      </c>
      <c r="B879">
        <v>35</v>
      </c>
      <c r="C879" t="s">
        <v>34</v>
      </c>
      <c r="D879" t="s">
        <v>6</v>
      </c>
      <c r="E879" t="s">
        <v>41</v>
      </c>
      <c r="F879">
        <v>8</v>
      </c>
      <c r="G879" t="s">
        <v>8</v>
      </c>
      <c r="H879">
        <v>48</v>
      </c>
      <c r="I879">
        <v>7</v>
      </c>
      <c r="J879">
        <v>3</v>
      </c>
      <c r="K879" t="s">
        <v>37</v>
      </c>
      <c r="L879" t="s">
        <v>10</v>
      </c>
      <c r="M879" t="s">
        <v>11</v>
      </c>
      <c r="N879" t="s">
        <v>29</v>
      </c>
      <c r="O879">
        <v>1</v>
      </c>
      <c r="P879" t="s">
        <v>48</v>
      </c>
      <c r="Q879">
        <v>4</v>
      </c>
      <c r="R879" t="s">
        <v>30</v>
      </c>
      <c r="S879" t="s">
        <v>15</v>
      </c>
      <c r="T879" t="s">
        <v>58</v>
      </c>
    </row>
    <row r="880" spans="1:20" x14ac:dyDescent="0.3">
      <c r="A880" t="s">
        <v>929</v>
      </c>
      <c r="B880">
        <v>49</v>
      </c>
      <c r="C880" t="s">
        <v>5</v>
      </c>
      <c r="D880" t="s">
        <v>40</v>
      </c>
      <c r="E880" t="s">
        <v>51</v>
      </c>
      <c r="F880">
        <v>26</v>
      </c>
      <c r="G880" t="s">
        <v>21</v>
      </c>
      <c r="H880">
        <v>57</v>
      </c>
      <c r="I880">
        <v>3</v>
      </c>
      <c r="J880">
        <v>4</v>
      </c>
      <c r="K880" t="s">
        <v>47</v>
      </c>
      <c r="L880" t="s">
        <v>22</v>
      </c>
      <c r="M880" t="s">
        <v>11</v>
      </c>
      <c r="N880" t="s">
        <v>29</v>
      </c>
      <c r="O880">
        <v>3</v>
      </c>
      <c r="P880" t="s">
        <v>24</v>
      </c>
      <c r="Q880">
        <v>4</v>
      </c>
      <c r="R880" t="s">
        <v>49</v>
      </c>
      <c r="S880" t="s">
        <v>42</v>
      </c>
      <c r="T880" t="s">
        <v>44</v>
      </c>
    </row>
    <row r="881" spans="1:20" x14ac:dyDescent="0.3">
      <c r="A881" t="s">
        <v>930</v>
      </c>
      <c r="B881">
        <v>42</v>
      </c>
      <c r="C881" t="s">
        <v>18</v>
      </c>
      <c r="D881" t="s">
        <v>57</v>
      </c>
      <c r="E881" t="s">
        <v>64</v>
      </c>
      <c r="F881">
        <v>22</v>
      </c>
      <c r="G881" t="s">
        <v>36</v>
      </c>
      <c r="H881">
        <v>59</v>
      </c>
      <c r="I881">
        <v>8</v>
      </c>
      <c r="J881">
        <v>5</v>
      </c>
      <c r="K881" t="s">
        <v>37</v>
      </c>
      <c r="L881" t="s">
        <v>22</v>
      </c>
      <c r="M881" t="s">
        <v>11</v>
      </c>
      <c r="N881" t="s">
        <v>12</v>
      </c>
      <c r="O881">
        <v>4</v>
      </c>
      <c r="P881" t="s">
        <v>13</v>
      </c>
      <c r="Q881">
        <v>1</v>
      </c>
      <c r="R881" t="s">
        <v>49</v>
      </c>
      <c r="S881" t="s">
        <v>42</v>
      </c>
      <c r="T881" t="s">
        <v>58</v>
      </c>
    </row>
    <row r="882" spans="1:20" x14ac:dyDescent="0.3">
      <c r="A882" t="s">
        <v>931</v>
      </c>
      <c r="B882">
        <v>53</v>
      </c>
      <c r="C882" t="s">
        <v>5</v>
      </c>
      <c r="D882" t="s">
        <v>63</v>
      </c>
      <c r="E882" t="s">
        <v>28</v>
      </c>
      <c r="F882">
        <v>17</v>
      </c>
      <c r="G882" t="s">
        <v>36</v>
      </c>
      <c r="H882">
        <v>30</v>
      </c>
      <c r="I882">
        <v>10</v>
      </c>
      <c r="J882">
        <v>2</v>
      </c>
      <c r="K882" t="s">
        <v>47</v>
      </c>
      <c r="L882" t="s">
        <v>30</v>
      </c>
      <c r="M882" t="s">
        <v>11</v>
      </c>
      <c r="N882" t="s">
        <v>23</v>
      </c>
      <c r="O882">
        <v>2</v>
      </c>
      <c r="P882" t="s">
        <v>24</v>
      </c>
      <c r="Q882">
        <v>4</v>
      </c>
      <c r="R882" t="s">
        <v>14</v>
      </c>
      <c r="S882" t="s">
        <v>31</v>
      </c>
      <c r="T882" t="s">
        <v>58</v>
      </c>
    </row>
    <row r="883" spans="1:20" x14ac:dyDescent="0.3">
      <c r="A883" t="s">
        <v>932</v>
      </c>
      <c r="B883">
        <v>29</v>
      </c>
      <c r="C883" t="s">
        <v>34</v>
      </c>
      <c r="D883" t="s">
        <v>27</v>
      </c>
      <c r="E883" t="s">
        <v>20</v>
      </c>
      <c r="F883">
        <v>28</v>
      </c>
      <c r="G883" t="s">
        <v>36</v>
      </c>
      <c r="H883">
        <v>29</v>
      </c>
      <c r="I883">
        <v>9</v>
      </c>
      <c r="J883">
        <v>5</v>
      </c>
      <c r="K883" t="s">
        <v>47</v>
      </c>
      <c r="L883" t="s">
        <v>30</v>
      </c>
      <c r="M883" t="s">
        <v>38</v>
      </c>
      <c r="N883" t="s">
        <v>23</v>
      </c>
      <c r="O883">
        <v>4</v>
      </c>
      <c r="P883" t="s">
        <v>13</v>
      </c>
      <c r="Q883">
        <v>5</v>
      </c>
      <c r="R883" t="s">
        <v>14</v>
      </c>
      <c r="S883" t="s">
        <v>15</v>
      </c>
      <c r="T883" t="s">
        <v>55</v>
      </c>
    </row>
    <row r="884" spans="1:20" x14ac:dyDescent="0.3">
      <c r="A884" t="s">
        <v>933</v>
      </c>
      <c r="B884">
        <v>31</v>
      </c>
      <c r="C884" t="s">
        <v>18</v>
      </c>
      <c r="D884" t="s">
        <v>63</v>
      </c>
      <c r="E884" t="s">
        <v>28</v>
      </c>
      <c r="F884">
        <v>25</v>
      </c>
      <c r="G884" t="s">
        <v>21</v>
      </c>
      <c r="H884">
        <v>21</v>
      </c>
      <c r="I884">
        <v>10</v>
      </c>
      <c r="J884">
        <v>1</v>
      </c>
      <c r="K884" t="s">
        <v>37</v>
      </c>
      <c r="L884" t="s">
        <v>10</v>
      </c>
      <c r="M884" t="s">
        <v>38</v>
      </c>
      <c r="N884" t="s">
        <v>23</v>
      </c>
      <c r="O884">
        <v>5</v>
      </c>
      <c r="P884" t="s">
        <v>13</v>
      </c>
      <c r="Q884">
        <v>5</v>
      </c>
      <c r="R884" t="s">
        <v>14</v>
      </c>
      <c r="S884" t="s">
        <v>31</v>
      </c>
      <c r="T884" t="s">
        <v>58</v>
      </c>
    </row>
    <row r="885" spans="1:20" x14ac:dyDescent="0.3">
      <c r="A885" t="s">
        <v>934</v>
      </c>
      <c r="B885">
        <v>47</v>
      </c>
      <c r="C885" t="s">
        <v>5</v>
      </c>
      <c r="D885" t="s">
        <v>63</v>
      </c>
      <c r="E885" t="s">
        <v>64</v>
      </c>
      <c r="F885">
        <v>30</v>
      </c>
      <c r="G885" t="s">
        <v>21</v>
      </c>
      <c r="H885">
        <v>23</v>
      </c>
      <c r="I885">
        <v>14</v>
      </c>
      <c r="J885">
        <v>1</v>
      </c>
      <c r="K885" t="s">
        <v>37</v>
      </c>
      <c r="L885" t="s">
        <v>22</v>
      </c>
      <c r="M885" t="s">
        <v>38</v>
      </c>
      <c r="N885" t="s">
        <v>23</v>
      </c>
      <c r="O885">
        <v>4</v>
      </c>
      <c r="P885" t="s">
        <v>13</v>
      </c>
      <c r="Q885">
        <v>1</v>
      </c>
      <c r="R885" t="s">
        <v>49</v>
      </c>
      <c r="S885" t="s">
        <v>31</v>
      </c>
      <c r="T885" t="s">
        <v>55</v>
      </c>
    </row>
    <row r="886" spans="1:20" x14ac:dyDescent="0.3">
      <c r="A886" t="s">
        <v>935</v>
      </c>
      <c r="B886">
        <v>57</v>
      </c>
      <c r="C886" t="s">
        <v>34</v>
      </c>
      <c r="D886" t="s">
        <v>27</v>
      </c>
      <c r="E886" t="s">
        <v>41</v>
      </c>
      <c r="F886">
        <v>34</v>
      </c>
      <c r="G886" t="s">
        <v>21</v>
      </c>
      <c r="H886">
        <v>53</v>
      </c>
      <c r="I886">
        <v>1</v>
      </c>
      <c r="J886">
        <v>2</v>
      </c>
      <c r="K886" t="s">
        <v>37</v>
      </c>
      <c r="L886" t="s">
        <v>22</v>
      </c>
      <c r="M886" t="s">
        <v>11</v>
      </c>
      <c r="N886" t="s">
        <v>23</v>
      </c>
      <c r="O886">
        <v>3</v>
      </c>
      <c r="P886" t="s">
        <v>13</v>
      </c>
      <c r="Q886">
        <v>2</v>
      </c>
      <c r="R886" t="s">
        <v>30</v>
      </c>
      <c r="S886" t="s">
        <v>42</v>
      </c>
      <c r="T886" t="s">
        <v>44</v>
      </c>
    </row>
    <row r="887" spans="1:20" x14ac:dyDescent="0.3">
      <c r="A887" t="s">
        <v>936</v>
      </c>
      <c r="B887">
        <v>59</v>
      </c>
      <c r="C887" t="s">
        <v>5</v>
      </c>
      <c r="D887" t="s">
        <v>61</v>
      </c>
      <c r="E887" t="s">
        <v>35</v>
      </c>
      <c r="F887">
        <v>13</v>
      </c>
      <c r="G887" t="s">
        <v>8</v>
      </c>
      <c r="H887">
        <v>30</v>
      </c>
      <c r="I887">
        <v>6</v>
      </c>
      <c r="J887">
        <v>1</v>
      </c>
      <c r="K887" t="s">
        <v>37</v>
      </c>
      <c r="L887" t="s">
        <v>30</v>
      </c>
      <c r="M887" t="s">
        <v>11</v>
      </c>
      <c r="N887" t="s">
        <v>29</v>
      </c>
      <c r="O887">
        <v>3</v>
      </c>
      <c r="P887" t="s">
        <v>13</v>
      </c>
      <c r="Q887">
        <v>2</v>
      </c>
      <c r="R887" t="s">
        <v>49</v>
      </c>
      <c r="S887" t="s">
        <v>31</v>
      </c>
      <c r="T887" t="s">
        <v>32</v>
      </c>
    </row>
    <row r="888" spans="1:20" x14ac:dyDescent="0.3">
      <c r="A888" t="s">
        <v>937</v>
      </c>
      <c r="B888">
        <v>51</v>
      </c>
      <c r="C888" t="s">
        <v>18</v>
      </c>
      <c r="D888" t="s">
        <v>57</v>
      </c>
      <c r="E888" t="s">
        <v>64</v>
      </c>
      <c r="F888">
        <v>19</v>
      </c>
      <c r="G888" t="s">
        <v>36</v>
      </c>
      <c r="H888">
        <v>60</v>
      </c>
      <c r="I888">
        <v>10</v>
      </c>
      <c r="J888">
        <v>5</v>
      </c>
      <c r="K888" t="s">
        <v>9</v>
      </c>
      <c r="L888" t="s">
        <v>10</v>
      </c>
      <c r="M888" t="s">
        <v>11</v>
      </c>
      <c r="N888" t="s">
        <v>29</v>
      </c>
      <c r="O888">
        <v>4</v>
      </c>
      <c r="P888" t="s">
        <v>48</v>
      </c>
      <c r="Q888">
        <v>2</v>
      </c>
      <c r="R888" t="s">
        <v>14</v>
      </c>
      <c r="S888" t="s">
        <v>42</v>
      </c>
      <c r="T888" t="s">
        <v>25</v>
      </c>
    </row>
    <row r="889" spans="1:20" x14ac:dyDescent="0.3">
      <c r="A889" t="s">
        <v>938</v>
      </c>
      <c r="B889">
        <v>30</v>
      </c>
      <c r="C889" t="s">
        <v>18</v>
      </c>
      <c r="D889" t="s">
        <v>27</v>
      </c>
      <c r="E889" t="s">
        <v>41</v>
      </c>
      <c r="F889">
        <v>20</v>
      </c>
      <c r="G889" t="s">
        <v>36</v>
      </c>
      <c r="H889">
        <v>50</v>
      </c>
      <c r="I889">
        <v>5</v>
      </c>
      <c r="J889">
        <v>2</v>
      </c>
      <c r="K889" t="s">
        <v>47</v>
      </c>
      <c r="L889" t="s">
        <v>68</v>
      </c>
      <c r="M889" t="s">
        <v>38</v>
      </c>
      <c r="N889" t="s">
        <v>23</v>
      </c>
      <c r="O889">
        <v>2</v>
      </c>
      <c r="P889" t="s">
        <v>48</v>
      </c>
      <c r="Q889">
        <v>5</v>
      </c>
      <c r="R889" t="s">
        <v>30</v>
      </c>
      <c r="S889" t="s">
        <v>15</v>
      </c>
      <c r="T889" t="s">
        <v>55</v>
      </c>
    </row>
    <row r="890" spans="1:20" x14ac:dyDescent="0.3">
      <c r="A890" t="s">
        <v>939</v>
      </c>
      <c r="B890">
        <v>46</v>
      </c>
      <c r="C890" t="s">
        <v>46</v>
      </c>
      <c r="D890" t="s">
        <v>57</v>
      </c>
      <c r="E890" t="s">
        <v>20</v>
      </c>
      <c r="F890">
        <v>25</v>
      </c>
      <c r="G890" t="s">
        <v>21</v>
      </c>
      <c r="H890">
        <v>31</v>
      </c>
      <c r="I890">
        <v>14</v>
      </c>
      <c r="J890">
        <v>4</v>
      </c>
      <c r="K890" t="s">
        <v>47</v>
      </c>
      <c r="L890" t="s">
        <v>22</v>
      </c>
      <c r="M890" t="s">
        <v>38</v>
      </c>
      <c r="N890" t="s">
        <v>12</v>
      </c>
      <c r="O890">
        <v>3</v>
      </c>
      <c r="P890" t="s">
        <v>13</v>
      </c>
      <c r="Q890">
        <v>4</v>
      </c>
      <c r="R890" t="s">
        <v>14</v>
      </c>
      <c r="S890" t="s">
        <v>42</v>
      </c>
      <c r="T890" t="s">
        <v>58</v>
      </c>
    </row>
    <row r="891" spans="1:20" x14ac:dyDescent="0.3">
      <c r="A891" t="s">
        <v>940</v>
      </c>
      <c r="B891">
        <v>39</v>
      </c>
      <c r="C891" t="s">
        <v>18</v>
      </c>
      <c r="D891" t="s">
        <v>27</v>
      </c>
      <c r="E891" t="s">
        <v>51</v>
      </c>
      <c r="F891">
        <v>19</v>
      </c>
      <c r="G891" t="s">
        <v>8</v>
      </c>
      <c r="H891">
        <v>49</v>
      </c>
      <c r="I891">
        <v>0</v>
      </c>
      <c r="J891">
        <v>4</v>
      </c>
      <c r="K891" t="s">
        <v>9</v>
      </c>
      <c r="L891" t="s">
        <v>68</v>
      </c>
      <c r="M891" t="s">
        <v>11</v>
      </c>
      <c r="N891" t="s">
        <v>12</v>
      </c>
      <c r="O891">
        <v>2</v>
      </c>
      <c r="P891" t="s">
        <v>24</v>
      </c>
      <c r="Q891">
        <v>5</v>
      </c>
      <c r="R891" t="s">
        <v>14</v>
      </c>
      <c r="S891" t="s">
        <v>15</v>
      </c>
      <c r="T891" t="s">
        <v>58</v>
      </c>
    </row>
    <row r="892" spans="1:20" x14ac:dyDescent="0.3">
      <c r="A892" t="s">
        <v>941</v>
      </c>
      <c r="B892">
        <v>57</v>
      </c>
      <c r="C892" t="s">
        <v>46</v>
      </c>
      <c r="D892" t="s">
        <v>6</v>
      </c>
      <c r="E892" t="s">
        <v>41</v>
      </c>
      <c r="F892">
        <v>2</v>
      </c>
      <c r="G892" t="s">
        <v>21</v>
      </c>
      <c r="H892">
        <v>35</v>
      </c>
      <c r="I892">
        <v>4</v>
      </c>
      <c r="J892">
        <v>4</v>
      </c>
      <c r="K892" t="s">
        <v>47</v>
      </c>
      <c r="L892" t="s">
        <v>30</v>
      </c>
      <c r="M892" t="s">
        <v>38</v>
      </c>
      <c r="N892" t="s">
        <v>23</v>
      </c>
      <c r="O892">
        <v>4</v>
      </c>
      <c r="P892" t="s">
        <v>48</v>
      </c>
      <c r="Q892">
        <v>5</v>
      </c>
      <c r="R892" t="s">
        <v>14</v>
      </c>
      <c r="S892" t="s">
        <v>42</v>
      </c>
      <c r="T892" t="s">
        <v>55</v>
      </c>
    </row>
    <row r="893" spans="1:20" x14ac:dyDescent="0.3">
      <c r="A893" t="s">
        <v>942</v>
      </c>
      <c r="B893">
        <v>36</v>
      </c>
      <c r="C893" t="s">
        <v>18</v>
      </c>
      <c r="D893" t="s">
        <v>6</v>
      </c>
      <c r="E893" t="s">
        <v>28</v>
      </c>
      <c r="F893">
        <v>35</v>
      </c>
      <c r="G893" t="s">
        <v>21</v>
      </c>
      <c r="H893">
        <v>26</v>
      </c>
      <c r="I893">
        <v>14</v>
      </c>
      <c r="J893">
        <v>1</v>
      </c>
      <c r="K893" t="s">
        <v>9</v>
      </c>
      <c r="L893" t="s">
        <v>22</v>
      </c>
      <c r="M893" t="s">
        <v>11</v>
      </c>
      <c r="N893" t="s">
        <v>23</v>
      </c>
      <c r="O893">
        <v>1</v>
      </c>
      <c r="P893" t="s">
        <v>24</v>
      </c>
      <c r="Q893">
        <v>1</v>
      </c>
      <c r="R893" t="s">
        <v>30</v>
      </c>
      <c r="S893" t="s">
        <v>42</v>
      </c>
      <c r="T893" t="s">
        <v>32</v>
      </c>
    </row>
    <row r="894" spans="1:20" x14ac:dyDescent="0.3">
      <c r="A894" t="s">
        <v>943</v>
      </c>
      <c r="B894">
        <v>28</v>
      </c>
      <c r="C894" t="s">
        <v>46</v>
      </c>
      <c r="D894" t="s">
        <v>57</v>
      </c>
      <c r="E894" t="s">
        <v>64</v>
      </c>
      <c r="F894">
        <v>23</v>
      </c>
      <c r="G894" t="s">
        <v>36</v>
      </c>
      <c r="H894">
        <v>60</v>
      </c>
      <c r="I894">
        <v>15</v>
      </c>
      <c r="J894">
        <v>2</v>
      </c>
      <c r="K894" t="s">
        <v>9</v>
      </c>
      <c r="L894" t="s">
        <v>30</v>
      </c>
      <c r="M894" t="s">
        <v>38</v>
      </c>
      <c r="N894" t="s">
        <v>29</v>
      </c>
      <c r="O894">
        <v>4</v>
      </c>
      <c r="P894" t="s">
        <v>48</v>
      </c>
      <c r="Q894">
        <v>1</v>
      </c>
      <c r="R894" t="s">
        <v>30</v>
      </c>
      <c r="S894" t="s">
        <v>31</v>
      </c>
      <c r="T894" t="s">
        <v>55</v>
      </c>
    </row>
    <row r="895" spans="1:20" x14ac:dyDescent="0.3">
      <c r="A895" t="s">
        <v>944</v>
      </c>
      <c r="B895">
        <v>60</v>
      </c>
      <c r="C895" t="s">
        <v>46</v>
      </c>
      <c r="D895" t="s">
        <v>63</v>
      </c>
      <c r="E895" t="s">
        <v>7</v>
      </c>
      <c r="F895">
        <v>3</v>
      </c>
      <c r="G895" t="s">
        <v>36</v>
      </c>
      <c r="H895">
        <v>30</v>
      </c>
      <c r="I895">
        <v>10</v>
      </c>
      <c r="J895">
        <v>1</v>
      </c>
      <c r="K895" t="s">
        <v>9</v>
      </c>
      <c r="L895" t="s">
        <v>10</v>
      </c>
      <c r="M895" t="s">
        <v>38</v>
      </c>
      <c r="N895" t="s">
        <v>12</v>
      </c>
      <c r="O895">
        <v>1</v>
      </c>
      <c r="P895" t="s">
        <v>13</v>
      </c>
      <c r="Q895">
        <v>5</v>
      </c>
      <c r="R895" t="s">
        <v>30</v>
      </c>
      <c r="S895" t="s">
        <v>42</v>
      </c>
      <c r="T895" t="s">
        <v>16</v>
      </c>
    </row>
    <row r="896" spans="1:20" x14ac:dyDescent="0.3">
      <c r="A896" t="s">
        <v>945</v>
      </c>
      <c r="B896">
        <v>38</v>
      </c>
      <c r="C896" t="s">
        <v>46</v>
      </c>
      <c r="D896" t="s">
        <v>19</v>
      </c>
      <c r="E896" t="s">
        <v>41</v>
      </c>
      <c r="F896">
        <v>21</v>
      </c>
      <c r="G896" t="s">
        <v>21</v>
      </c>
      <c r="H896">
        <v>25</v>
      </c>
      <c r="I896">
        <v>6</v>
      </c>
      <c r="J896">
        <v>4</v>
      </c>
      <c r="K896" t="s">
        <v>37</v>
      </c>
      <c r="L896" t="s">
        <v>22</v>
      </c>
      <c r="M896" t="s">
        <v>38</v>
      </c>
      <c r="N896" t="s">
        <v>23</v>
      </c>
      <c r="O896">
        <v>3</v>
      </c>
      <c r="P896" t="s">
        <v>48</v>
      </c>
      <c r="Q896">
        <v>2</v>
      </c>
      <c r="R896" t="s">
        <v>30</v>
      </c>
      <c r="S896" t="s">
        <v>42</v>
      </c>
      <c r="T896" t="s">
        <v>44</v>
      </c>
    </row>
    <row r="897" spans="1:20" x14ac:dyDescent="0.3">
      <c r="A897" t="s">
        <v>946</v>
      </c>
      <c r="B897">
        <v>45</v>
      </c>
      <c r="C897" t="s">
        <v>34</v>
      </c>
      <c r="D897" t="s">
        <v>57</v>
      </c>
      <c r="E897" t="s">
        <v>64</v>
      </c>
      <c r="F897">
        <v>9</v>
      </c>
      <c r="G897" t="s">
        <v>21</v>
      </c>
      <c r="H897">
        <v>42</v>
      </c>
      <c r="I897">
        <v>2</v>
      </c>
      <c r="J897">
        <v>2</v>
      </c>
      <c r="K897" t="s">
        <v>9</v>
      </c>
      <c r="L897" t="s">
        <v>68</v>
      </c>
      <c r="M897" t="s">
        <v>11</v>
      </c>
      <c r="N897" t="s">
        <v>23</v>
      </c>
      <c r="O897">
        <v>1</v>
      </c>
      <c r="P897" t="s">
        <v>48</v>
      </c>
      <c r="Q897">
        <v>2</v>
      </c>
      <c r="R897" t="s">
        <v>30</v>
      </c>
      <c r="S897" t="s">
        <v>42</v>
      </c>
      <c r="T897" t="s">
        <v>25</v>
      </c>
    </row>
    <row r="898" spans="1:20" x14ac:dyDescent="0.3">
      <c r="A898" t="s">
        <v>947</v>
      </c>
      <c r="B898">
        <v>53</v>
      </c>
      <c r="C898" t="s">
        <v>34</v>
      </c>
      <c r="D898" t="s">
        <v>40</v>
      </c>
      <c r="E898" t="s">
        <v>35</v>
      </c>
      <c r="F898">
        <v>9</v>
      </c>
      <c r="G898" t="s">
        <v>21</v>
      </c>
      <c r="H898">
        <v>46</v>
      </c>
      <c r="I898">
        <v>13</v>
      </c>
      <c r="J898">
        <v>1</v>
      </c>
      <c r="K898" t="s">
        <v>9</v>
      </c>
      <c r="L898" t="s">
        <v>68</v>
      </c>
      <c r="M898" t="s">
        <v>38</v>
      </c>
      <c r="N898" t="s">
        <v>29</v>
      </c>
      <c r="O898">
        <v>5</v>
      </c>
      <c r="P898" t="s">
        <v>24</v>
      </c>
      <c r="Q898">
        <v>3</v>
      </c>
      <c r="R898" t="s">
        <v>30</v>
      </c>
      <c r="S898" t="s">
        <v>15</v>
      </c>
      <c r="T898" t="s">
        <v>32</v>
      </c>
    </row>
    <row r="899" spans="1:20" x14ac:dyDescent="0.3">
      <c r="A899" t="s">
        <v>948</v>
      </c>
      <c r="B899">
        <v>57</v>
      </c>
      <c r="C899" t="s">
        <v>5</v>
      </c>
      <c r="D899" t="s">
        <v>27</v>
      </c>
      <c r="E899" t="s">
        <v>7</v>
      </c>
      <c r="F899">
        <v>10</v>
      </c>
      <c r="G899" t="s">
        <v>36</v>
      </c>
      <c r="H899">
        <v>41</v>
      </c>
      <c r="I899">
        <v>9</v>
      </c>
      <c r="J899">
        <v>3</v>
      </c>
      <c r="K899" t="s">
        <v>37</v>
      </c>
      <c r="L899" t="s">
        <v>68</v>
      </c>
      <c r="M899" t="s">
        <v>11</v>
      </c>
      <c r="N899" t="s">
        <v>23</v>
      </c>
      <c r="O899">
        <v>4</v>
      </c>
      <c r="P899" t="s">
        <v>48</v>
      </c>
      <c r="Q899">
        <v>3</v>
      </c>
      <c r="R899" t="s">
        <v>49</v>
      </c>
      <c r="S899" t="s">
        <v>31</v>
      </c>
      <c r="T899" t="s">
        <v>44</v>
      </c>
    </row>
    <row r="900" spans="1:20" x14ac:dyDescent="0.3">
      <c r="A900" t="s">
        <v>949</v>
      </c>
      <c r="B900">
        <v>56</v>
      </c>
      <c r="C900" t="s">
        <v>34</v>
      </c>
      <c r="D900" t="s">
        <v>57</v>
      </c>
      <c r="E900" t="s">
        <v>64</v>
      </c>
      <c r="F900">
        <v>1</v>
      </c>
      <c r="G900" t="s">
        <v>36</v>
      </c>
      <c r="H900">
        <v>39</v>
      </c>
      <c r="I900">
        <v>10</v>
      </c>
      <c r="J900">
        <v>4</v>
      </c>
      <c r="K900" t="s">
        <v>37</v>
      </c>
      <c r="L900" t="s">
        <v>10</v>
      </c>
      <c r="M900" t="s">
        <v>11</v>
      </c>
      <c r="N900" t="s">
        <v>29</v>
      </c>
      <c r="O900">
        <v>4</v>
      </c>
      <c r="P900" t="s">
        <v>24</v>
      </c>
      <c r="Q900">
        <v>5</v>
      </c>
      <c r="R900" t="s">
        <v>14</v>
      </c>
      <c r="S900" t="s">
        <v>15</v>
      </c>
      <c r="T900" t="s">
        <v>25</v>
      </c>
    </row>
    <row r="901" spans="1:20" x14ac:dyDescent="0.3">
      <c r="A901" t="s">
        <v>950</v>
      </c>
      <c r="B901">
        <v>33</v>
      </c>
      <c r="C901" t="s">
        <v>34</v>
      </c>
      <c r="D901" t="s">
        <v>19</v>
      </c>
      <c r="E901" t="s">
        <v>20</v>
      </c>
      <c r="F901">
        <v>11</v>
      </c>
      <c r="G901" t="s">
        <v>36</v>
      </c>
      <c r="H901">
        <v>58</v>
      </c>
      <c r="I901">
        <v>2</v>
      </c>
      <c r="J901">
        <v>4</v>
      </c>
      <c r="K901" t="s">
        <v>37</v>
      </c>
      <c r="L901" t="s">
        <v>10</v>
      </c>
      <c r="M901" t="s">
        <v>11</v>
      </c>
      <c r="N901" t="s">
        <v>23</v>
      </c>
      <c r="O901">
        <v>1</v>
      </c>
      <c r="P901" t="s">
        <v>24</v>
      </c>
      <c r="Q901">
        <v>2</v>
      </c>
      <c r="R901" t="s">
        <v>14</v>
      </c>
      <c r="S901" t="s">
        <v>42</v>
      </c>
      <c r="T901" t="s">
        <v>16</v>
      </c>
    </row>
    <row r="902" spans="1:20" x14ac:dyDescent="0.3">
      <c r="A902" t="s">
        <v>951</v>
      </c>
      <c r="B902">
        <v>33</v>
      </c>
      <c r="C902" t="s">
        <v>18</v>
      </c>
      <c r="D902" t="s">
        <v>63</v>
      </c>
      <c r="E902" t="s">
        <v>20</v>
      </c>
      <c r="F902">
        <v>5</v>
      </c>
      <c r="G902" t="s">
        <v>21</v>
      </c>
      <c r="H902">
        <v>51</v>
      </c>
      <c r="I902">
        <v>0</v>
      </c>
      <c r="J902">
        <v>3</v>
      </c>
      <c r="K902" t="s">
        <v>9</v>
      </c>
      <c r="L902" t="s">
        <v>68</v>
      </c>
      <c r="M902" t="s">
        <v>11</v>
      </c>
      <c r="N902" t="s">
        <v>12</v>
      </c>
      <c r="O902">
        <v>1</v>
      </c>
      <c r="P902" t="s">
        <v>13</v>
      </c>
      <c r="Q902">
        <v>1</v>
      </c>
      <c r="R902" t="s">
        <v>49</v>
      </c>
      <c r="S902" t="s">
        <v>42</v>
      </c>
      <c r="T902" t="s">
        <v>16</v>
      </c>
    </row>
    <row r="903" spans="1:20" x14ac:dyDescent="0.3">
      <c r="A903" t="s">
        <v>952</v>
      </c>
      <c r="B903">
        <v>60</v>
      </c>
      <c r="C903" t="s">
        <v>18</v>
      </c>
      <c r="D903" t="s">
        <v>40</v>
      </c>
      <c r="E903" t="s">
        <v>35</v>
      </c>
      <c r="F903">
        <v>8</v>
      </c>
      <c r="G903" t="s">
        <v>36</v>
      </c>
      <c r="H903">
        <v>22</v>
      </c>
      <c r="I903">
        <v>14</v>
      </c>
      <c r="J903">
        <v>2</v>
      </c>
      <c r="K903" t="s">
        <v>9</v>
      </c>
      <c r="L903" t="s">
        <v>10</v>
      </c>
      <c r="M903" t="s">
        <v>11</v>
      </c>
      <c r="N903" t="s">
        <v>29</v>
      </c>
      <c r="O903">
        <v>3</v>
      </c>
      <c r="P903" t="s">
        <v>48</v>
      </c>
      <c r="Q903">
        <v>1</v>
      </c>
      <c r="R903" t="s">
        <v>14</v>
      </c>
      <c r="S903" t="s">
        <v>42</v>
      </c>
      <c r="T903" t="s">
        <v>58</v>
      </c>
    </row>
    <row r="904" spans="1:20" x14ac:dyDescent="0.3">
      <c r="A904" t="s">
        <v>953</v>
      </c>
      <c r="B904">
        <v>39</v>
      </c>
      <c r="C904" t="s">
        <v>5</v>
      </c>
      <c r="D904" t="s">
        <v>27</v>
      </c>
      <c r="E904" t="s">
        <v>51</v>
      </c>
      <c r="F904">
        <v>22</v>
      </c>
      <c r="G904" t="s">
        <v>36</v>
      </c>
      <c r="H904">
        <v>26</v>
      </c>
      <c r="I904">
        <v>7</v>
      </c>
      <c r="J904">
        <v>3</v>
      </c>
      <c r="K904" t="s">
        <v>9</v>
      </c>
      <c r="L904" t="s">
        <v>10</v>
      </c>
      <c r="M904" t="s">
        <v>38</v>
      </c>
      <c r="N904" t="s">
        <v>23</v>
      </c>
      <c r="O904">
        <v>4</v>
      </c>
      <c r="P904" t="s">
        <v>24</v>
      </c>
      <c r="Q904">
        <v>5</v>
      </c>
      <c r="R904" t="s">
        <v>14</v>
      </c>
      <c r="S904" t="s">
        <v>31</v>
      </c>
      <c r="T904" t="s">
        <v>25</v>
      </c>
    </row>
    <row r="905" spans="1:20" x14ac:dyDescent="0.3">
      <c r="A905" t="s">
        <v>954</v>
      </c>
      <c r="B905">
        <v>58</v>
      </c>
      <c r="C905" t="s">
        <v>34</v>
      </c>
      <c r="D905" t="s">
        <v>19</v>
      </c>
      <c r="E905" t="s">
        <v>7</v>
      </c>
      <c r="F905">
        <v>20</v>
      </c>
      <c r="G905" t="s">
        <v>21</v>
      </c>
      <c r="H905">
        <v>25</v>
      </c>
      <c r="I905">
        <v>11</v>
      </c>
      <c r="J905">
        <v>4</v>
      </c>
      <c r="K905" t="s">
        <v>37</v>
      </c>
      <c r="L905" t="s">
        <v>68</v>
      </c>
      <c r="M905" t="s">
        <v>38</v>
      </c>
      <c r="N905" t="s">
        <v>29</v>
      </c>
      <c r="O905">
        <v>1</v>
      </c>
      <c r="P905" t="s">
        <v>48</v>
      </c>
      <c r="Q905">
        <v>1</v>
      </c>
      <c r="R905" t="s">
        <v>49</v>
      </c>
      <c r="S905" t="s">
        <v>15</v>
      </c>
      <c r="T905" t="s">
        <v>25</v>
      </c>
    </row>
    <row r="906" spans="1:20" x14ac:dyDescent="0.3">
      <c r="A906" t="s">
        <v>955</v>
      </c>
      <c r="B906">
        <v>60</v>
      </c>
      <c r="C906" t="s">
        <v>5</v>
      </c>
      <c r="D906" t="s">
        <v>6</v>
      </c>
      <c r="E906" t="s">
        <v>41</v>
      </c>
      <c r="F906">
        <v>32</v>
      </c>
      <c r="G906" t="s">
        <v>8</v>
      </c>
      <c r="H906">
        <v>28</v>
      </c>
      <c r="I906">
        <v>1</v>
      </c>
      <c r="J906">
        <v>4</v>
      </c>
      <c r="K906" t="s">
        <v>37</v>
      </c>
      <c r="L906" t="s">
        <v>22</v>
      </c>
      <c r="M906" t="s">
        <v>11</v>
      </c>
      <c r="N906" t="s">
        <v>12</v>
      </c>
      <c r="O906">
        <v>1</v>
      </c>
      <c r="P906" t="s">
        <v>13</v>
      </c>
      <c r="Q906">
        <v>1</v>
      </c>
      <c r="R906" t="s">
        <v>49</v>
      </c>
      <c r="S906" t="s">
        <v>42</v>
      </c>
      <c r="T906" t="s">
        <v>58</v>
      </c>
    </row>
    <row r="907" spans="1:20" x14ac:dyDescent="0.3">
      <c r="A907" t="s">
        <v>956</v>
      </c>
      <c r="B907">
        <v>43</v>
      </c>
      <c r="C907" t="s">
        <v>34</v>
      </c>
      <c r="D907" t="s">
        <v>63</v>
      </c>
      <c r="E907" t="s">
        <v>20</v>
      </c>
      <c r="F907">
        <v>30</v>
      </c>
      <c r="G907" t="s">
        <v>21</v>
      </c>
      <c r="H907">
        <v>54</v>
      </c>
      <c r="I907">
        <v>3</v>
      </c>
      <c r="J907">
        <v>5</v>
      </c>
      <c r="K907" t="s">
        <v>47</v>
      </c>
      <c r="L907" t="s">
        <v>68</v>
      </c>
      <c r="M907" t="s">
        <v>11</v>
      </c>
      <c r="N907" t="s">
        <v>29</v>
      </c>
      <c r="O907">
        <v>1</v>
      </c>
      <c r="P907" t="s">
        <v>48</v>
      </c>
      <c r="Q907">
        <v>1</v>
      </c>
      <c r="R907" t="s">
        <v>49</v>
      </c>
      <c r="S907" t="s">
        <v>15</v>
      </c>
      <c r="T907" t="s">
        <v>32</v>
      </c>
    </row>
    <row r="908" spans="1:20" x14ac:dyDescent="0.3">
      <c r="A908" t="s">
        <v>957</v>
      </c>
      <c r="B908">
        <v>48</v>
      </c>
      <c r="C908" t="s">
        <v>5</v>
      </c>
      <c r="D908" t="s">
        <v>61</v>
      </c>
      <c r="E908" t="s">
        <v>41</v>
      </c>
      <c r="F908">
        <v>3</v>
      </c>
      <c r="G908" t="s">
        <v>21</v>
      </c>
      <c r="H908">
        <v>34</v>
      </c>
      <c r="I908">
        <v>13</v>
      </c>
      <c r="J908">
        <v>5</v>
      </c>
      <c r="K908" t="s">
        <v>9</v>
      </c>
      <c r="L908" t="s">
        <v>30</v>
      </c>
      <c r="M908" t="s">
        <v>38</v>
      </c>
      <c r="N908" t="s">
        <v>12</v>
      </c>
      <c r="O908">
        <v>5</v>
      </c>
      <c r="P908" t="s">
        <v>48</v>
      </c>
      <c r="Q908">
        <v>3</v>
      </c>
      <c r="R908" t="s">
        <v>49</v>
      </c>
      <c r="S908" t="s">
        <v>31</v>
      </c>
      <c r="T908" t="s">
        <v>58</v>
      </c>
    </row>
    <row r="909" spans="1:20" x14ac:dyDescent="0.3">
      <c r="A909" t="s">
        <v>958</v>
      </c>
      <c r="B909">
        <v>60</v>
      </c>
      <c r="C909" t="s">
        <v>34</v>
      </c>
      <c r="D909" t="s">
        <v>27</v>
      </c>
      <c r="E909" t="s">
        <v>64</v>
      </c>
      <c r="F909">
        <v>9</v>
      </c>
      <c r="G909" t="s">
        <v>8</v>
      </c>
      <c r="H909">
        <v>28</v>
      </c>
      <c r="I909">
        <v>12</v>
      </c>
      <c r="J909">
        <v>5</v>
      </c>
      <c r="K909" t="s">
        <v>9</v>
      </c>
      <c r="L909" t="s">
        <v>22</v>
      </c>
      <c r="M909" t="s">
        <v>38</v>
      </c>
      <c r="N909" t="s">
        <v>23</v>
      </c>
      <c r="O909">
        <v>1</v>
      </c>
      <c r="P909" t="s">
        <v>13</v>
      </c>
      <c r="Q909">
        <v>3</v>
      </c>
      <c r="R909" t="s">
        <v>14</v>
      </c>
      <c r="S909" t="s">
        <v>15</v>
      </c>
      <c r="T909" t="s">
        <v>58</v>
      </c>
    </row>
    <row r="910" spans="1:20" x14ac:dyDescent="0.3">
      <c r="A910" t="s">
        <v>959</v>
      </c>
      <c r="B910">
        <v>45</v>
      </c>
      <c r="C910" t="s">
        <v>18</v>
      </c>
      <c r="D910" t="s">
        <v>27</v>
      </c>
      <c r="E910" t="s">
        <v>64</v>
      </c>
      <c r="F910">
        <v>15</v>
      </c>
      <c r="G910" t="s">
        <v>36</v>
      </c>
      <c r="H910">
        <v>37</v>
      </c>
      <c r="I910">
        <v>12</v>
      </c>
      <c r="J910">
        <v>2</v>
      </c>
      <c r="K910" t="s">
        <v>47</v>
      </c>
      <c r="L910" t="s">
        <v>68</v>
      </c>
      <c r="M910" t="s">
        <v>11</v>
      </c>
      <c r="N910" t="s">
        <v>23</v>
      </c>
      <c r="O910">
        <v>3</v>
      </c>
      <c r="P910" t="s">
        <v>24</v>
      </c>
      <c r="Q910">
        <v>5</v>
      </c>
      <c r="R910" t="s">
        <v>14</v>
      </c>
      <c r="S910" t="s">
        <v>31</v>
      </c>
      <c r="T910" t="s">
        <v>58</v>
      </c>
    </row>
    <row r="911" spans="1:20" x14ac:dyDescent="0.3">
      <c r="A911" t="s">
        <v>960</v>
      </c>
      <c r="B911">
        <v>58</v>
      </c>
      <c r="C911" t="s">
        <v>46</v>
      </c>
      <c r="D911" t="s">
        <v>27</v>
      </c>
      <c r="E911" t="s">
        <v>20</v>
      </c>
      <c r="F911">
        <v>5</v>
      </c>
      <c r="G911" t="s">
        <v>21</v>
      </c>
      <c r="H911">
        <v>50</v>
      </c>
      <c r="I911">
        <v>8</v>
      </c>
      <c r="J911">
        <v>3</v>
      </c>
      <c r="K911" t="s">
        <v>47</v>
      </c>
      <c r="L911" t="s">
        <v>22</v>
      </c>
      <c r="M911" t="s">
        <v>38</v>
      </c>
      <c r="N911" t="s">
        <v>12</v>
      </c>
      <c r="O911">
        <v>3</v>
      </c>
      <c r="P911" t="s">
        <v>48</v>
      </c>
      <c r="Q911">
        <v>2</v>
      </c>
      <c r="R911" t="s">
        <v>14</v>
      </c>
      <c r="S911" t="s">
        <v>15</v>
      </c>
      <c r="T911" t="s">
        <v>44</v>
      </c>
    </row>
    <row r="912" spans="1:20" x14ac:dyDescent="0.3">
      <c r="A912" t="s">
        <v>961</v>
      </c>
      <c r="B912">
        <v>22</v>
      </c>
      <c r="C912" t="s">
        <v>46</v>
      </c>
      <c r="D912" t="s">
        <v>61</v>
      </c>
      <c r="E912" t="s">
        <v>20</v>
      </c>
      <c r="F912">
        <v>29</v>
      </c>
      <c r="G912" t="s">
        <v>8</v>
      </c>
      <c r="H912">
        <v>21</v>
      </c>
      <c r="I912">
        <v>5</v>
      </c>
      <c r="J912">
        <v>5</v>
      </c>
      <c r="K912" t="s">
        <v>47</v>
      </c>
      <c r="L912" t="s">
        <v>30</v>
      </c>
      <c r="M912" t="s">
        <v>38</v>
      </c>
      <c r="N912" t="s">
        <v>29</v>
      </c>
      <c r="O912">
        <v>1</v>
      </c>
      <c r="P912" t="s">
        <v>13</v>
      </c>
      <c r="Q912">
        <v>1</v>
      </c>
      <c r="R912" t="s">
        <v>14</v>
      </c>
      <c r="S912" t="s">
        <v>15</v>
      </c>
      <c r="T912" t="s">
        <v>16</v>
      </c>
    </row>
    <row r="913" spans="1:20" x14ac:dyDescent="0.3">
      <c r="A913" t="s">
        <v>962</v>
      </c>
      <c r="B913">
        <v>42</v>
      </c>
      <c r="C913" t="s">
        <v>5</v>
      </c>
      <c r="D913" t="s">
        <v>19</v>
      </c>
      <c r="E913" t="s">
        <v>64</v>
      </c>
      <c r="F913">
        <v>3</v>
      </c>
      <c r="G913" t="s">
        <v>21</v>
      </c>
      <c r="H913">
        <v>32</v>
      </c>
      <c r="I913">
        <v>0</v>
      </c>
      <c r="J913">
        <v>5</v>
      </c>
      <c r="K913" t="s">
        <v>9</v>
      </c>
      <c r="L913" t="s">
        <v>10</v>
      </c>
      <c r="M913" t="s">
        <v>38</v>
      </c>
      <c r="N913" t="s">
        <v>29</v>
      </c>
      <c r="O913">
        <v>2</v>
      </c>
      <c r="P913" t="s">
        <v>24</v>
      </c>
      <c r="Q913">
        <v>5</v>
      </c>
      <c r="R913" t="s">
        <v>14</v>
      </c>
      <c r="S913" t="s">
        <v>15</v>
      </c>
      <c r="T913" t="s">
        <v>25</v>
      </c>
    </row>
    <row r="914" spans="1:20" x14ac:dyDescent="0.3">
      <c r="A914" t="s">
        <v>963</v>
      </c>
      <c r="B914">
        <v>44</v>
      </c>
      <c r="C914" t="s">
        <v>5</v>
      </c>
      <c r="D914" t="s">
        <v>40</v>
      </c>
      <c r="E914" t="s">
        <v>64</v>
      </c>
      <c r="F914">
        <v>28</v>
      </c>
      <c r="G914" t="s">
        <v>8</v>
      </c>
      <c r="H914">
        <v>56</v>
      </c>
      <c r="I914">
        <v>10</v>
      </c>
      <c r="J914">
        <v>3</v>
      </c>
      <c r="K914" t="s">
        <v>47</v>
      </c>
      <c r="L914" t="s">
        <v>22</v>
      </c>
      <c r="M914" t="s">
        <v>11</v>
      </c>
      <c r="N914" t="s">
        <v>29</v>
      </c>
      <c r="O914">
        <v>4</v>
      </c>
      <c r="P914" t="s">
        <v>24</v>
      </c>
      <c r="Q914">
        <v>1</v>
      </c>
      <c r="R914" t="s">
        <v>49</v>
      </c>
      <c r="S914" t="s">
        <v>31</v>
      </c>
      <c r="T914" t="s">
        <v>25</v>
      </c>
    </row>
    <row r="915" spans="1:20" x14ac:dyDescent="0.3">
      <c r="A915" t="s">
        <v>964</v>
      </c>
      <c r="B915">
        <v>43</v>
      </c>
      <c r="C915" t="s">
        <v>46</v>
      </c>
      <c r="D915" t="s">
        <v>19</v>
      </c>
      <c r="E915" t="s">
        <v>20</v>
      </c>
      <c r="F915">
        <v>34</v>
      </c>
      <c r="G915" t="s">
        <v>36</v>
      </c>
      <c r="H915">
        <v>42</v>
      </c>
      <c r="I915">
        <v>7</v>
      </c>
      <c r="J915">
        <v>5</v>
      </c>
      <c r="K915" t="s">
        <v>9</v>
      </c>
      <c r="L915" t="s">
        <v>68</v>
      </c>
      <c r="M915" t="s">
        <v>38</v>
      </c>
      <c r="N915" t="s">
        <v>29</v>
      </c>
      <c r="O915">
        <v>3</v>
      </c>
      <c r="P915" t="s">
        <v>24</v>
      </c>
      <c r="Q915">
        <v>3</v>
      </c>
      <c r="R915" t="s">
        <v>49</v>
      </c>
      <c r="S915" t="s">
        <v>31</v>
      </c>
      <c r="T915" t="s">
        <v>25</v>
      </c>
    </row>
    <row r="916" spans="1:20" x14ac:dyDescent="0.3">
      <c r="A916" t="s">
        <v>965</v>
      </c>
      <c r="B916">
        <v>35</v>
      </c>
      <c r="C916" t="s">
        <v>34</v>
      </c>
      <c r="D916" t="s">
        <v>61</v>
      </c>
      <c r="E916" t="s">
        <v>41</v>
      </c>
      <c r="F916">
        <v>33</v>
      </c>
      <c r="G916" t="s">
        <v>8</v>
      </c>
      <c r="H916">
        <v>22</v>
      </c>
      <c r="I916">
        <v>1</v>
      </c>
      <c r="J916">
        <v>3</v>
      </c>
      <c r="K916" t="s">
        <v>9</v>
      </c>
      <c r="L916" t="s">
        <v>68</v>
      </c>
      <c r="M916" t="s">
        <v>38</v>
      </c>
      <c r="N916" t="s">
        <v>12</v>
      </c>
      <c r="O916">
        <v>3</v>
      </c>
      <c r="P916" t="s">
        <v>24</v>
      </c>
      <c r="Q916">
        <v>3</v>
      </c>
      <c r="R916" t="s">
        <v>49</v>
      </c>
      <c r="S916" t="s">
        <v>31</v>
      </c>
      <c r="T916" t="s">
        <v>32</v>
      </c>
    </row>
    <row r="917" spans="1:20" x14ac:dyDescent="0.3">
      <c r="A917" t="s">
        <v>966</v>
      </c>
      <c r="B917">
        <v>47</v>
      </c>
      <c r="C917" t="s">
        <v>46</v>
      </c>
      <c r="D917" t="s">
        <v>27</v>
      </c>
      <c r="E917" t="s">
        <v>28</v>
      </c>
      <c r="F917">
        <v>23</v>
      </c>
      <c r="G917" t="s">
        <v>21</v>
      </c>
      <c r="H917">
        <v>28</v>
      </c>
      <c r="I917">
        <v>10</v>
      </c>
      <c r="J917">
        <v>5</v>
      </c>
      <c r="K917" t="s">
        <v>47</v>
      </c>
      <c r="L917" t="s">
        <v>30</v>
      </c>
      <c r="M917" t="s">
        <v>11</v>
      </c>
      <c r="N917" t="s">
        <v>12</v>
      </c>
      <c r="O917">
        <v>2</v>
      </c>
      <c r="P917" t="s">
        <v>24</v>
      </c>
      <c r="Q917">
        <v>1</v>
      </c>
      <c r="R917" t="s">
        <v>30</v>
      </c>
      <c r="S917" t="s">
        <v>42</v>
      </c>
      <c r="T917" t="s">
        <v>58</v>
      </c>
    </row>
    <row r="918" spans="1:20" x14ac:dyDescent="0.3">
      <c r="A918" t="s">
        <v>967</v>
      </c>
      <c r="B918">
        <v>49</v>
      </c>
      <c r="C918" t="s">
        <v>5</v>
      </c>
      <c r="D918" t="s">
        <v>63</v>
      </c>
      <c r="E918" t="s">
        <v>51</v>
      </c>
      <c r="F918">
        <v>9</v>
      </c>
      <c r="G918" t="s">
        <v>8</v>
      </c>
      <c r="H918">
        <v>31</v>
      </c>
      <c r="I918">
        <v>8</v>
      </c>
      <c r="J918">
        <v>5</v>
      </c>
      <c r="K918" t="s">
        <v>9</v>
      </c>
      <c r="L918" t="s">
        <v>68</v>
      </c>
      <c r="M918" t="s">
        <v>11</v>
      </c>
      <c r="N918" t="s">
        <v>23</v>
      </c>
      <c r="O918">
        <v>3</v>
      </c>
      <c r="P918" t="s">
        <v>48</v>
      </c>
      <c r="Q918">
        <v>5</v>
      </c>
      <c r="R918" t="s">
        <v>14</v>
      </c>
      <c r="S918" t="s">
        <v>42</v>
      </c>
      <c r="T918" t="s">
        <v>32</v>
      </c>
    </row>
    <row r="919" spans="1:20" x14ac:dyDescent="0.3">
      <c r="A919" t="s">
        <v>968</v>
      </c>
      <c r="B919">
        <v>49</v>
      </c>
      <c r="C919" t="s">
        <v>18</v>
      </c>
      <c r="D919" t="s">
        <v>27</v>
      </c>
      <c r="E919" t="s">
        <v>35</v>
      </c>
      <c r="F919">
        <v>34</v>
      </c>
      <c r="G919" t="s">
        <v>8</v>
      </c>
      <c r="H919">
        <v>59</v>
      </c>
      <c r="I919">
        <v>0</v>
      </c>
      <c r="J919">
        <v>5</v>
      </c>
      <c r="K919" t="s">
        <v>37</v>
      </c>
      <c r="L919" t="s">
        <v>30</v>
      </c>
      <c r="M919" t="s">
        <v>11</v>
      </c>
      <c r="N919" t="s">
        <v>12</v>
      </c>
      <c r="O919">
        <v>1</v>
      </c>
      <c r="P919" t="s">
        <v>48</v>
      </c>
      <c r="Q919">
        <v>1</v>
      </c>
      <c r="R919" t="s">
        <v>49</v>
      </c>
      <c r="S919" t="s">
        <v>42</v>
      </c>
      <c r="T919" t="s">
        <v>25</v>
      </c>
    </row>
    <row r="920" spans="1:20" x14ac:dyDescent="0.3">
      <c r="A920" t="s">
        <v>969</v>
      </c>
      <c r="B920">
        <v>40</v>
      </c>
      <c r="C920" t="s">
        <v>5</v>
      </c>
      <c r="D920" t="s">
        <v>19</v>
      </c>
      <c r="E920" t="s">
        <v>28</v>
      </c>
      <c r="F920">
        <v>30</v>
      </c>
      <c r="G920" t="s">
        <v>21</v>
      </c>
      <c r="H920">
        <v>22</v>
      </c>
      <c r="I920">
        <v>13</v>
      </c>
      <c r="J920">
        <v>5</v>
      </c>
      <c r="K920" t="s">
        <v>47</v>
      </c>
      <c r="L920" t="s">
        <v>22</v>
      </c>
      <c r="M920" t="s">
        <v>38</v>
      </c>
      <c r="N920" t="s">
        <v>23</v>
      </c>
      <c r="O920">
        <v>1</v>
      </c>
      <c r="P920" t="s">
        <v>13</v>
      </c>
      <c r="Q920">
        <v>3</v>
      </c>
      <c r="R920" t="s">
        <v>49</v>
      </c>
      <c r="S920" t="s">
        <v>42</v>
      </c>
      <c r="T920" t="s">
        <v>16</v>
      </c>
    </row>
    <row r="921" spans="1:20" x14ac:dyDescent="0.3">
      <c r="A921" t="s">
        <v>970</v>
      </c>
      <c r="B921">
        <v>27</v>
      </c>
      <c r="C921" t="s">
        <v>18</v>
      </c>
      <c r="D921" t="s">
        <v>6</v>
      </c>
      <c r="E921" t="s">
        <v>41</v>
      </c>
      <c r="F921">
        <v>4</v>
      </c>
      <c r="G921" t="s">
        <v>8</v>
      </c>
      <c r="H921">
        <v>21</v>
      </c>
      <c r="I921">
        <v>3</v>
      </c>
      <c r="J921">
        <v>1</v>
      </c>
      <c r="K921" t="s">
        <v>47</v>
      </c>
      <c r="L921" t="s">
        <v>68</v>
      </c>
      <c r="M921" t="s">
        <v>38</v>
      </c>
      <c r="N921" t="s">
        <v>23</v>
      </c>
      <c r="O921">
        <v>4</v>
      </c>
      <c r="P921" t="s">
        <v>13</v>
      </c>
      <c r="Q921">
        <v>2</v>
      </c>
      <c r="R921" t="s">
        <v>14</v>
      </c>
      <c r="S921" t="s">
        <v>15</v>
      </c>
      <c r="T921" t="s">
        <v>25</v>
      </c>
    </row>
    <row r="922" spans="1:20" x14ac:dyDescent="0.3">
      <c r="A922" t="s">
        <v>971</v>
      </c>
      <c r="B922">
        <v>34</v>
      </c>
      <c r="C922" t="s">
        <v>34</v>
      </c>
      <c r="D922" t="s">
        <v>27</v>
      </c>
      <c r="E922" t="s">
        <v>7</v>
      </c>
      <c r="F922">
        <v>25</v>
      </c>
      <c r="G922" t="s">
        <v>21</v>
      </c>
      <c r="H922">
        <v>54</v>
      </c>
      <c r="I922">
        <v>8</v>
      </c>
      <c r="J922">
        <v>4</v>
      </c>
      <c r="K922" t="s">
        <v>9</v>
      </c>
      <c r="L922" t="s">
        <v>10</v>
      </c>
      <c r="M922" t="s">
        <v>11</v>
      </c>
      <c r="N922" t="s">
        <v>23</v>
      </c>
      <c r="O922">
        <v>1</v>
      </c>
      <c r="P922" t="s">
        <v>48</v>
      </c>
      <c r="Q922">
        <v>1</v>
      </c>
      <c r="R922" t="s">
        <v>49</v>
      </c>
      <c r="S922" t="s">
        <v>42</v>
      </c>
      <c r="T922" t="s">
        <v>58</v>
      </c>
    </row>
    <row r="923" spans="1:20" x14ac:dyDescent="0.3">
      <c r="A923" t="s">
        <v>972</v>
      </c>
      <c r="B923">
        <v>48</v>
      </c>
      <c r="C923" t="s">
        <v>46</v>
      </c>
      <c r="D923" t="s">
        <v>40</v>
      </c>
      <c r="E923" t="s">
        <v>7</v>
      </c>
      <c r="F923">
        <v>20</v>
      </c>
      <c r="G923" t="s">
        <v>8</v>
      </c>
      <c r="H923">
        <v>46</v>
      </c>
      <c r="I923">
        <v>7</v>
      </c>
      <c r="J923">
        <v>5</v>
      </c>
      <c r="K923" t="s">
        <v>9</v>
      </c>
      <c r="L923" t="s">
        <v>10</v>
      </c>
      <c r="M923" t="s">
        <v>38</v>
      </c>
      <c r="N923" t="s">
        <v>12</v>
      </c>
      <c r="O923">
        <v>2</v>
      </c>
      <c r="P923" t="s">
        <v>24</v>
      </c>
      <c r="Q923">
        <v>5</v>
      </c>
      <c r="R923" t="s">
        <v>14</v>
      </c>
      <c r="S923" t="s">
        <v>42</v>
      </c>
      <c r="T923" t="s">
        <v>55</v>
      </c>
    </row>
    <row r="924" spans="1:20" x14ac:dyDescent="0.3">
      <c r="A924" t="s">
        <v>973</v>
      </c>
      <c r="B924">
        <v>46</v>
      </c>
      <c r="C924" t="s">
        <v>34</v>
      </c>
      <c r="D924" t="s">
        <v>40</v>
      </c>
      <c r="E924" t="s">
        <v>64</v>
      </c>
      <c r="F924">
        <v>14</v>
      </c>
      <c r="G924" t="s">
        <v>21</v>
      </c>
      <c r="H924">
        <v>56</v>
      </c>
      <c r="I924">
        <v>2</v>
      </c>
      <c r="J924">
        <v>5</v>
      </c>
      <c r="K924" t="s">
        <v>47</v>
      </c>
      <c r="L924" t="s">
        <v>22</v>
      </c>
      <c r="M924" t="s">
        <v>11</v>
      </c>
      <c r="N924" t="s">
        <v>23</v>
      </c>
      <c r="O924">
        <v>2</v>
      </c>
      <c r="P924" t="s">
        <v>24</v>
      </c>
      <c r="Q924">
        <v>1</v>
      </c>
      <c r="R924" t="s">
        <v>14</v>
      </c>
      <c r="S924" t="s">
        <v>42</v>
      </c>
      <c r="T924" t="s">
        <v>25</v>
      </c>
    </row>
    <row r="925" spans="1:20" x14ac:dyDescent="0.3">
      <c r="A925" t="s">
        <v>974</v>
      </c>
      <c r="B925">
        <v>27</v>
      </c>
      <c r="C925" t="s">
        <v>18</v>
      </c>
      <c r="D925" t="s">
        <v>19</v>
      </c>
      <c r="E925" t="s">
        <v>35</v>
      </c>
      <c r="F925">
        <v>9</v>
      </c>
      <c r="G925" t="s">
        <v>8</v>
      </c>
      <c r="H925">
        <v>48</v>
      </c>
      <c r="I925">
        <v>3</v>
      </c>
      <c r="J925">
        <v>3</v>
      </c>
      <c r="K925" t="s">
        <v>37</v>
      </c>
      <c r="L925" t="s">
        <v>10</v>
      </c>
      <c r="M925" t="s">
        <v>38</v>
      </c>
      <c r="N925" t="s">
        <v>12</v>
      </c>
      <c r="O925">
        <v>3</v>
      </c>
      <c r="P925" t="s">
        <v>24</v>
      </c>
      <c r="Q925">
        <v>4</v>
      </c>
      <c r="R925" t="s">
        <v>30</v>
      </c>
      <c r="S925" t="s">
        <v>31</v>
      </c>
      <c r="T925" t="s">
        <v>55</v>
      </c>
    </row>
    <row r="926" spans="1:20" x14ac:dyDescent="0.3">
      <c r="A926" t="s">
        <v>975</v>
      </c>
      <c r="B926">
        <v>50</v>
      </c>
      <c r="C926" t="s">
        <v>46</v>
      </c>
      <c r="D926" t="s">
        <v>61</v>
      </c>
      <c r="E926" t="s">
        <v>28</v>
      </c>
      <c r="F926">
        <v>7</v>
      </c>
      <c r="G926" t="s">
        <v>8</v>
      </c>
      <c r="H926">
        <v>29</v>
      </c>
      <c r="I926">
        <v>8</v>
      </c>
      <c r="J926">
        <v>3</v>
      </c>
      <c r="K926" t="s">
        <v>37</v>
      </c>
      <c r="L926" t="s">
        <v>22</v>
      </c>
      <c r="M926" t="s">
        <v>38</v>
      </c>
      <c r="N926" t="s">
        <v>23</v>
      </c>
      <c r="O926">
        <v>5</v>
      </c>
      <c r="P926" t="s">
        <v>13</v>
      </c>
      <c r="Q926">
        <v>5</v>
      </c>
      <c r="R926" t="s">
        <v>49</v>
      </c>
      <c r="S926" t="s">
        <v>15</v>
      </c>
      <c r="T926" t="s">
        <v>58</v>
      </c>
    </row>
    <row r="927" spans="1:20" x14ac:dyDescent="0.3">
      <c r="A927" t="s">
        <v>976</v>
      </c>
      <c r="B927">
        <v>23</v>
      </c>
      <c r="C927" t="s">
        <v>5</v>
      </c>
      <c r="D927" t="s">
        <v>19</v>
      </c>
      <c r="E927" t="s">
        <v>51</v>
      </c>
      <c r="F927">
        <v>24</v>
      </c>
      <c r="G927" t="s">
        <v>36</v>
      </c>
      <c r="H927">
        <v>59</v>
      </c>
      <c r="I927">
        <v>9</v>
      </c>
      <c r="J927">
        <v>5</v>
      </c>
      <c r="K927" t="s">
        <v>9</v>
      </c>
      <c r="L927" t="s">
        <v>30</v>
      </c>
      <c r="M927" t="s">
        <v>11</v>
      </c>
      <c r="N927" t="s">
        <v>29</v>
      </c>
      <c r="O927">
        <v>2</v>
      </c>
      <c r="P927" t="s">
        <v>13</v>
      </c>
      <c r="Q927">
        <v>3</v>
      </c>
      <c r="R927" t="s">
        <v>49</v>
      </c>
      <c r="S927" t="s">
        <v>31</v>
      </c>
      <c r="T927" t="s">
        <v>44</v>
      </c>
    </row>
    <row r="928" spans="1:20" x14ac:dyDescent="0.3">
      <c r="A928" t="s">
        <v>977</v>
      </c>
      <c r="B928">
        <v>35</v>
      </c>
      <c r="C928" t="s">
        <v>46</v>
      </c>
      <c r="D928" t="s">
        <v>61</v>
      </c>
      <c r="E928" t="s">
        <v>7</v>
      </c>
      <c r="F928">
        <v>10</v>
      </c>
      <c r="G928" t="s">
        <v>21</v>
      </c>
      <c r="H928">
        <v>46</v>
      </c>
      <c r="I928">
        <v>15</v>
      </c>
      <c r="J928">
        <v>5</v>
      </c>
      <c r="K928" t="s">
        <v>37</v>
      </c>
      <c r="L928" t="s">
        <v>10</v>
      </c>
      <c r="M928" t="s">
        <v>38</v>
      </c>
      <c r="N928" t="s">
        <v>12</v>
      </c>
      <c r="O928">
        <v>2</v>
      </c>
      <c r="P928" t="s">
        <v>24</v>
      </c>
      <c r="Q928">
        <v>3</v>
      </c>
      <c r="R928" t="s">
        <v>49</v>
      </c>
      <c r="S928" t="s">
        <v>42</v>
      </c>
      <c r="T928" t="s">
        <v>44</v>
      </c>
    </row>
    <row r="929" spans="1:20" x14ac:dyDescent="0.3">
      <c r="A929" t="s">
        <v>978</v>
      </c>
      <c r="B929">
        <v>59</v>
      </c>
      <c r="C929" t="s">
        <v>46</v>
      </c>
      <c r="D929" t="s">
        <v>40</v>
      </c>
      <c r="E929" t="s">
        <v>20</v>
      </c>
      <c r="F929">
        <v>27</v>
      </c>
      <c r="G929" t="s">
        <v>36</v>
      </c>
      <c r="H929">
        <v>27</v>
      </c>
      <c r="I929">
        <v>7</v>
      </c>
      <c r="J929">
        <v>4</v>
      </c>
      <c r="K929" t="s">
        <v>9</v>
      </c>
      <c r="L929" t="s">
        <v>10</v>
      </c>
      <c r="M929" t="s">
        <v>11</v>
      </c>
      <c r="N929" t="s">
        <v>12</v>
      </c>
      <c r="O929">
        <v>3</v>
      </c>
      <c r="P929" t="s">
        <v>48</v>
      </c>
      <c r="Q929">
        <v>4</v>
      </c>
      <c r="R929" t="s">
        <v>14</v>
      </c>
      <c r="S929" t="s">
        <v>15</v>
      </c>
      <c r="T929" t="s">
        <v>25</v>
      </c>
    </row>
    <row r="930" spans="1:20" x14ac:dyDescent="0.3">
      <c r="A930" t="s">
        <v>979</v>
      </c>
      <c r="B930">
        <v>27</v>
      </c>
      <c r="C930" t="s">
        <v>34</v>
      </c>
      <c r="D930" t="s">
        <v>63</v>
      </c>
      <c r="E930" t="s">
        <v>28</v>
      </c>
      <c r="F930">
        <v>22</v>
      </c>
      <c r="G930" t="s">
        <v>8</v>
      </c>
      <c r="H930">
        <v>42</v>
      </c>
      <c r="I930">
        <v>6</v>
      </c>
      <c r="J930">
        <v>4</v>
      </c>
      <c r="K930" t="s">
        <v>47</v>
      </c>
      <c r="L930" t="s">
        <v>22</v>
      </c>
      <c r="M930" t="s">
        <v>11</v>
      </c>
      <c r="N930" t="s">
        <v>23</v>
      </c>
      <c r="O930">
        <v>1</v>
      </c>
      <c r="P930" t="s">
        <v>24</v>
      </c>
      <c r="Q930">
        <v>4</v>
      </c>
      <c r="R930" t="s">
        <v>30</v>
      </c>
      <c r="S930" t="s">
        <v>15</v>
      </c>
      <c r="T930" t="s">
        <v>55</v>
      </c>
    </row>
    <row r="931" spans="1:20" x14ac:dyDescent="0.3">
      <c r="A931" t="s">
        <v>980</v>
      </c>
      <c r="B931">
        <v>22</v>
      </c>
      <c r="C931" t="s">
        <v>34</v>
      </c>
      <c r="D931" t="s">
        <v>63</v>
      </c>
      <c r="E931" t="s">
        <v>35</v>
      </c>
      <c r="F931">
        <v>15</v>
      </c>
      <c r="G931" t="s">
        <v>21</v>
      </c>
      <c r="H931">
        <v>39</v>
      </c>
      <c r="I931">
        <v>10</v>
      </c>
      <c r="J931">
        <v>4</v>
      </c>
      <c r="K931" t="s">
        <v>47</v>
      </c>
      <c r="L931" t="s">
        <v>22</v>
      </c>
      <c r="M931" t="s">
        <v>11</v>
      </c>
      <c r="N931" t="s">
        <v>29</v>
      </c>
      <c r="O931">
        <v>4</v>
      </c>
      <c r="P931" t="s">
        <v>48</v>
      </c>
      <c r="Q931">
        <v>1</v>
      </c>
      <c r="R931" t="s">
        <v>14</v>
      </c>
      <c r="S931" t="s">
        <v>42</v>
      </c>
      <c r="T931" t="s">
        <v>44</v>
      </c>
    </row>
    <row r="932" spans="1:20" x14ac:dyDescent="0.3">
      <c r="A932" t="s">
        <v>981</v>
      </c>
      <c r="B932">
        <v>41</v>
      </c>
      <c r="C932" t="s">
        <v>46</v>
      </c>
      <c r="D932" t="s">
        <v>61</v>
      </c>
      <c r="E932" t="s">
        <v>28</v>
      </c>
      <c r="F932">
        <v>23</v>
      </c>
      <c r="G932" t="s">
        <v>21</v>
      </c>
      <c r="H932">
        <v>34</v>
      </c>
      <c r="I932">
        <v>8</v>
      </c>
      <c r="J932">
        <v>1</v>
      </c>
      <c r="K932" t="s">
        <v>47</v>
      </c>
      <c r="L932" t="s">
        <v>10</v>
      </c>
      <c r="M932" t="s">
        <v>11</v>
      </c>
      <c r="N932" t="s">
        <v>29</v>
      </c>
      <c r="O932">
        <v>2</v>
      </c>
      <c r="P932" t="s">
        <v>48</v>
      </c>
      <c r="Q932">
        <v>2</v>
      </c>
      <c r="R932" t="s">
        <v>14</v>
      </c>
      <c r="S932" t="s">
        <v>31</v>
      </c>
      <c r="T932" t="s">
        <v>25</v>
      </c>
    </row>
    <row r="933" spans="1:20" x14ac:dyDescent="0.3">
      <c r="A933" t="s">
        <v>982</v>
      </c>
      <c r="B933">
        <v>58</v>
      </c>
      <c r="C933" t="s">
        <v>34</v>
      </c>
      <c r="D933" t="s">
        <v>61</v>
      </c>
      <c r="E933" t="s">
        <v>64</v>
      </c>
      <c r="F933">
        <v>28</v>
      </c>
      <c r="G933" t="s">
        <v>21</v>
      </c>
      <c r="H933">
        <v>58</v>
      </c>
      <c r="I933">
        <v>15</v>
      </c>
      <c r="J933">
        <v>2</v>
      </c>
      <c r="K933" t="s">
        <v>47</v>
      </c>
      <c r="L933" t="s">
        <v>22</v>
      </c>
      <c r="M933" t="s">
        <v>11</v>
      </c>
      <c r="N933" t="s">
        <v>23</v>
      </c>
      <c r="O933">
        <v>4</v>
      </c>
      <c r="P933" t="s">
        <v>48</v>
      </c>
      <c r="Q933">
        <v>3</v>
      </c>
      <c r="R933" t="s">
        <v>14</v>
      </c>
      <c r="S933" t="s">
        <v>31</v>
      </c>
      <c r="T933" t="s">
        <v>55</v>
      </c>
    </row>
    <row r="934" spans="1:20" x14ac:dyDescent="0.3">
      <c r="A934" t="s">
        <v>983</v>
      </c>
      <c r="B934">
        <v>30</v>
      </c>
      <c r="C934" t="s">
        <v>34</v>
      </c>
      <c r="D934" t="s">
        <v>6</v>
      </c>
      <c r="E934" t="s">
        <v>64</v>
      </c>
      <c r="F934">
        <v>23</v>
      </c>
      <c r="G934" t="s">
        <v>21</v>
      </c>
      <c r="H934">
        <v>36</v>
      </c>
      <c r="I934">
        <v>3</v>
      </c>
      <c r="J934">
        <v>4</v>
      </c>
      <c r="K934" t="s">
        <v>47</v>
      </c>
      <c r="L934" t="s">
        <v>10</v>
      </c>
      <c r="M934" t="s">
        <v>38</v>
      </c>
      <c r="N934" t="s">
        <v>29</v>
      </c>
      <c r="O934">
        <v>4</v>
      </c>
      <c r="P934" t="s">
        <v>48</v>
      </c>
      <c r="Q934">
        <v>3</v>
      </c>
      <c r="R934" t="s">
        <v>14</v>
      </c>
      <c r="S934" t="s">
        <v>31</v>
      </c>
      <c r="T934" t="s">
        <v>58</v>
      </c>
    </row>
    <row r="935" spans="1:20" x14ac:dyDescent="0.3">
      <c r="A935" t="s">
        <v>984</v>
      </c>
      <c r="B935">
        <v>22</v>
      </c>
      <c r="C935" t="s">
        <v>46</v>
      </c>
      <c r="D935" t="s">
        <v>63</v>
      </c>
      <c r="E935" t="s">
        <v>51</v>
      </c>
      <c r="F935">
        <v>15</v>
      </c>
      <c r="G935" t="s">
        <v>21</v>
      </c>
      <c r="H935">
        <v>52</v>
      </c>
      <c r="I935">
        <v>15</v>
      </c>
      <c r="J935">
        <v>2</v>
      </c>
      <c r="K935" t="s">
        <v>9</v>
      </c>
      <c r="L935" t="s">
        <v>10</v>
      </c>
      <c r="M935" t="s">
        <v>11</v>
      </c>
      <c r="N935" t="s">
        <v>23</v>
      </c>
      <c r="O935">
        <v>1</v>
      </c>
      <c r="P935" t="s">
        <v>24</v>
      </c>
      <c r="Q935">
        <v>5</v>
      </c>
      <c r="R935" t="s">
        <v>30</v>
      </c>
      <c r="S935" t="s">
        <v>15</v>
      </c>
      <c r="T935" t="s">
        <v>44</v>
      </c>
    </row>
    <row r="936" spans="1:20" x14ac:dyDescent="0.3">
      <c r="A936" t="s">
        <v>985</v>
      </c>
      <c r="B936">
        <v>34</v>
      </c>
      <c r="C936" t="s">
        <v>34</v>
      </c>
      <c r="D936" t="s">
        <v>27</v>
      </c>
      <c r="E936" t="s">
        <v>51</v>
      </c>
      <c r="F936">
        <v>8</v>
      </c>
      <c r="G936" t="s">
        <v>21</v>
      </c>
      <c r="H936">
        <v>51</v>
      </c>
      <c r="I936">
        <v>5</v>
      </c>
      <c r="J936">
        <v>2</v>
      </c>
      <c r="K936" t="s">
        <v>9</v>
      </c>
      <c r="L936" t="s">
        <v>22</v>
      </c>
      <c r="M936" t="s">
        <v>11</v>
      </c>
      <c r="N936" t="s">
        <v>12</v>
      </c>
      <c r="O936">
        <v>4</v>
      </c>
      <c r="P936" t="s">
        <v>24</v>
      </c>
      <c r="Q936">
        <v>2</v>
      </c>
      <c r="R936" t="s">
        <v>49</v>
      </c>
      <c r="S936" t="s">
        <v>42</v>
      </c>
      <c r="T936" t="s">
        <v>25</v>
      </c>
    </row>
    <row r="937" spans="1:20" x14ac:dyDescent="0.3">
      <c r="A937" t="s">
        <v>986</v>
      </c>
      <c r="B937">
        <v>48</v>
      </c>
      <c r="C937" t="s">
        <v>18</v>
      </c>
      <c r="D937" t="s">
        <v>27</v>
      </c>
      <c r="E937" t="s">
        <v>51</v>
      </c>
      <c r="F937">
        <v>25</v>
      </c>
      <c r="G937" t="s">
        <v>36</v>
      </c>
      <c r="H937">
        <v>31</v>
      </c>
      <c r="I937">
        <v>10</v>
      </c>
      <c r="J937">
        <v>1</v>
      </c>
      <c r="K937" t="s">
        <v>47</v>
      </c>
      <c r="L937" t="s">
        <v>30</v>
      </c>
      <c r="M937" t="s">
        <v>11</v>
      </c>
      <c r="N937" t="s">
        <v>29</v>
      </c>
      <c r="O937">
        <v>2</v>
      </c>
      <c r="P937" t="s">
        <v>24</v>
      </c>
      <c r="Q937">
        <v>5</v>
      </c>
      <c r="R937" t="s">
        <v>14</v>
      </c>
      <c r="S937" t="s">
        <v>15</v>
      </c>
      <c r="T937" t="s">
        <v>32</v>
      </c>
    </row>
    <row r="938" spans="1:20" x14ac:dyDescent="0.3">
      <c r="A938" t="s">
        <v>987</v>
      </c>
      <c r="B938">
        <v>29</v>
      </c>
      <c r="C938" t="s">
        <v>5</v>
      </c>
      <c r="D938" t="s">
        <v>19</v>
      </c>
      <c r="E938" t="s">
        <v>64</v>
      </c>
      <c r="F938">
        <v>10</v>
      </c>
      <c r="G938" t="s">
        <v>8</v>
      </c>
      <c r="H938">
        <v>47</v>
      </c>
      <c r="I938">
        <v>5</v>
      </c>
      <c r="J938">
        <v>3</v>
      </c>
      <c r="K938" t="s">
        <v>9</v>
      </c>
      <c r="L938" t="s">
        <v>68</v>
      </c>
      <c r="M938" t="s">
        <v>38</v>
      </c>
      <c r="N938" t="s">
        <v>23</v>
      </c>
      <c r="O938">
        <v>3</v>
      </c>
      <c r="P938" t="s">
        <v>13</v>
      </c>
      <c r="Q938">
        <v>4</v>
      </c>
      <c r="R938" t="s">
        <v>30</v>
      </c>
      <c r="S938" t="s">
        <v>42</v>
      </c>
      <c r="T938" t="s">
        <v>44</v>
      </c>
    </row>
    <row r="939" spans="1:20" x14ac:dyDescent="0.3">
      <c r="A939" t="s">
        <v>988</v>
      </c>
      <c r="B939">
        <v>47</v>
      </c>
      <c r="C939" t="s">
        <v>34</v>
      </c>
      <c r="D939" t="s">
        <v>57</v>
      </c>
      <c r="E939" t="s">
        <v>20</v>
      </c>
      <c r="F939">
        <v>2</v>
      </c>
      <c r="G939" t="s">
        <v>36</v>
      </c>
      <c r="H939">
        <v>55</v>
      </c>
      <c r="I939">
        <v>9</v>
      </c>
      <c r="J939">
        <v>1</v>
      </c>
      <c r="K939" t="s">
        <v>47</v>
      </c>
      <c r="L939" t="s">
        <v>22</v>
      </c>
      <c r="M939" t="s">
        <v>11</v>
      </c>
      <c r="N939" t="s">
        <v>23</v>
      </c>
      <c r="O939">
        <v>1</v>
      </c>
      <c r="P939" t="s">
        <v>24</v>
      </c>
      <c r="Q939">
        <v>5</v>
      </c>
      <c r="R939" t="s">
        <v>30</v>
      </c>
      <c r="S939" t="s">
        <v>15</v>
      </c>
      <c r="T939" t="s">
        <v>25</v>
      </c>
    </row>
    <row r="940" spans="1:20" x14ac:dyDescent="0.3">
      <c r="A940" t="s">
        <v>989</v>
      </c>
      <c r="B940">
        <v>51</v>
      </c>
      <c r="C940" t="s">
        <v>5</v>
      </c>
      <c r="D940" t="s">
        <v>6</v>
      </c>
      <c r="E940" t="s">
        <v>7</v>
      </c>
      <c r="F940">
        <v>13</v>
      </c>
      <c r="G940" t="s">
        <v>21</v>
      </c>
      <c r="H940">
        <v>53</v>
      </c>
      <c r="I940">
        <v>3</v>
      </c>
      <c r="J940">
        <v>2</v>
      </c>
      <c r="K940" t="s">
        <v>37</v>
      </c>
      <c r="L940" t="s">
        <v>22</v>
      </c>
      <c r="M940" t="s">
        <v>38</v>
      </c>
      <c r="N940" t="s">
        <v>12</v>
      </c>
      <c r="O940">
        <v>3</v>
      </c>
      <c r="P940" t="s">
        <v>48</v>
      </c>
      <c r="Q940">
        <v>5</v>
      </c>
      <c r="R940" t="s">
        <v>14</v>
      </c>
      <c r="S940" t="s">
        <v>42</v>
      </c>
      <c r="T940" t="s">
        <v>32</v>
      </c>
    </row>
    <row r="941" spans="1:20" x14ac:dyDescent="0.3">
      <c r="A941" t="s">
        <v>990</v>
      </c>
      <c r="B941">
        <v>60</v>
      </c>
      <c r="C941" t="s">
        <v>18</v>
      </c>
      <c r="D941" t="s">
        <v>27</v>
      </c>
      <c r="E941" t="s">
        <v>7</v>
      </c>
      <c r="F941">
        <v>24</v>
      </c>
      <c r="G941" t="s">
        <v>21</v>
      </c>
      <c r="H941">
        <v>40</v>
      </c>
      <c r="I941">
        <v>13</v>
      </c>
      <c r="J941">
        <v>4</v>
      </c>
      <c r="K941" t="s">
        <v>9</v>
      </c>
      <c r="L941" t="s">
        <v>30</v>
      </c>
      <c r="M941" t="s">
        <v>11</v>
      </c>
      <c r="N941" t="s">
        <v>23</v>
      </c>
      <c r="O941">
        <v>5</v>
      </c>
      <c r="P941" t="s">
        <v>48</v>
      </c>
      <c r="Q941">
        <v>3</v>
      </c>
      <c r="R941" t="s">
        <v>49</v>
      </c>
      <c r="S941" t="s">
        <v>15</v>
      </c>
      <c r="T941" t="s">
        <v>32</v>
      </c>
    </row>
    <row r="942" spans="1:20" x14ac:dyDescent="0.3">
      <c r="A942" t="s">
        <v>991</v>
      </c>
      <c r="B942">
        <v>48</v>
      </c>
      <c r="C942" t="s">
        <v>5</v>
      </c>
      <c r="D942" t="s">
        <v>57</v>
      </c>
      <c r="E942" t="s">
        <v>51</v>
      </c>
      <c r="F942">
        <v>29</v>
      </c>
      <c r="G942" t="s">
        <v>36</v>
      </c>
      <c r="H942">
        <v>46</v>
      </c>
      <c r="I942">
        <v>9</v>
      </c>
      <c r="J942">
        <v>2</v>
      </c>
      <c r="K942" t="s">
        <v>37</v>
      </c>
      <c r="L942" t="s">
        <v>68</v>
      </c>
      <c r="M942" t="s">
        <v>38</v>
      </c>
      <c r="N942" t="s">
        <v>12</v>
      </c>
      <c r="O942">
        <v>3</v>
      </c>
      <c r="P942" t="s">
        <v>48</v>
      </c>
      <c r="Q942">
        <v>4</v>
      </c>
      <c r="R942" t="s">
        <v>30</v>
      </c>
      <c r="S942" t="s">
        <v>15</v>
      </c>
      <c r="T942" t="s">
        <v>32</v>
      </c>
    </row>
    <row r="943" spans="1:20" x14ac:dyDescent="0.3">
      <c r="A943" t="s">
        <v>992</v>
      </c>
      <c r="B943">
        <v>38</v>
      </c>
      <c r="C943" t="s">
        <v>46</v>
      </c>
      <c r="D943" t="s">
        <v>6</v>
      </c>
      <c r="E943" t="s">
        <v>64</v>
      </c>
      <c r="F943">
        <v>5</v>
      </c>
      <c r="G943" t="s">
        <v>36</v>
      </c>
      <c r="H943">
        <v>37</v>
      </c>
      <c r="I943">
        <v>0</v>
      </c>
      <c r="J943">
        <v>3</v>
      </c>
      <c r="K943" t="s">
        <v>9</v>
      </c>
      <c r="L943" t="s">
        <v>22</v>
      </c>
      <c r="M943" t="s">
        <v>38</v>
      </c>
      <c r="N943" t="s">
        <v>12</v>
      </c>
      <c r="O943">
        <v>5</v>
      </c>
      <c r="P943" t="s">
        <v>48</v>
      </c>
      <c r="Q943">
        <v>1</v>
      </c>
      <c r="R943" t="s">
        <v>14</v>
      </c>
      <c r="S943" t="s">
        <v>42</v>
      </c>
      <c r="T943" t="s">
        <v>44</v>
      </c>
    </row>
    <row r="944" spans="1:20" x14ac:dyDescent="0.3">
      <c r="A944" t="s">
        <v>993</v>
      </c>
      <c r="B944">
        <v>58</v>
      </c>
      <c r="C944" t="s">
        <v>18</v>
      </c>
      <c r="D944" t="s">
        <v>40</v>
      </c>
      <c r="E944" t="s">
        <v>41</v>
      </c>
      <c r="F944">
        <v>9</v>
      </c>
      <c r="G944" t="s">
        <v>36</v>
      </c>
      <c r="H944">
        <v>32</v>
      </c>
      <c r="I944">
        <v>11</v>
      </c>
      <c r="J944">
        <v>3</v>
      </c>
      <c r="K944" t="s">
        <v>37</v>
      </c>
      <c r="L944" t="s">
        <v>68</v>
      </c>
      <c r="M944" t="s">
        <v>38</v>
      </c>
      <c r="N944" t="s">
        <v>29</v>
      </c>
      <c r="O944">
        <v>4</v>
      </c>
      <c r="P944" t="s">
        <v>24</v>
      </c>
      <c r="Q944">
        <v>1</v>
      </c>
      <c r="R944" t="s">
        <v>30</v>
      </c>
      <c r="S944" t="s">
        <v>42</v>
      </c>
      <c r="T944" t="s">
        <v>55</v>
      </c>
    </row>
    <row r="945" spans="1:20" x14ac:dyDescent="0.3">
      <c r="A945" t="s">
        <v>994</v>
      </c>
      <c r="B945">
        <v>35</v>
      </c>
      <c r="C945" t="s">
        <v>5</v>
      </c>
      <c r="D945" t="s">
        <v>63</v>
      </c>
      <c r="E945" t="s">
        <v>64</v>
      </c>
      <c r="F945">
        <v>34</v>
      </c>
      <c r="G945" t="s">
        <v>8</v>
      </c>
      <c r="H945">
        <v>20</v>
      </c>
      <c r="I945">
        <v>12</v>
      </c>
      <c r="J945">
        <v>5</v>
      </c>
      <c r="K945" t="s">
        <v>9</v>
      </c>
      <c r="L945" t="s">
        <v>30</v>
      </c>
      <c r="M945" t="s">
        <v>11</v>
      </c>
      <c r="N945" t="s">
        <v>29</v>
      </c>
      <c r="O945">
        <v>2</v>
      </c>
      <c r="P945" t="s">
        <v>24</v>
      </c>
      <c r="Q945">
        <v>2</v>
      </c>
      <c r="R945" t="s">
        <v>49</v>
      </c>
      <c r="S945" t="s">
        <v>15</v>
      </c>
      <c r="T945" t="s">
        <v>25</v>
      </c>
    </row>
    <row r="946" spans="1:20" x14ac:dyDescent="0.3">
      <c r="A946" t="s">
        <v>995</v>
      </c>
      <c r="B946">
        <v>32</v>
      </c>
      <c r="C946" t="s">
        <v>18</v>
      </c>
      <c r="D946" t="s">
        <v>61</v>
      </c>
      <c r="E946" t="s">
        <v>20</v>
      </c>
      <c r="F946">
        <v>33</v>
      </c>
      <c r="G946" t="s">
        <v>36</v>
      </c>
      <c r="H946">
        <v>55</v>
      </c>
      <c r="I946">
        <v>10</v>
      </c>
      <c r="J946">
        <v>2</v>
      </c>
      <c r="K946" t="s">
        <v>37</v>
      </c>
      <c r="L946" t="s">
        <v>22</v>
      </c>
      <c r="M946" t="s">
        <v>11</v>
      </c>
      <c r="N946" t="s">
        <v>23</v>
      </c>
      <c r="O946">
        <v>3</v>
      </c>
      <c r="P946" t="s">
        <v>24</v>
      </c>
      <c r="Q946">
        <v>3</v>
      </c>
      <c r="R946" t="s">
        <v>14</v>
      </c>
      <c r="S946" t="s">
        <v>15</v>
      </c>
      <c r="T946" t="s">
        <v>58</v>
      </c>
    </row>
    <row r="947" spans="1:20" x14ac:dyDescent="0.3">
      <c r="A947" t="s">
        <v>996</v>
      </c>
      <c r="B947">
        <v>30</v>
      </c>
      <c r="C947" t="s">
        <v>34</v>
      </c>
      <c r="D947" t="s">
        <v>19</v>
      </c>
      <c r="E947" t="s">
        <v>51</v>
      </c>
      <c r="F947">
        <v>31</v>
      </c>
      <c r="G947" t="s">
        <v>21</v>
      </c>
      <c r="H947">
        <v>36</v>
      </c>
      <c r="I947">
        <v>6</v>
      </c>
      <c r="J947">
        <v>1</v>
      </c>
      <c r="K947" t="s">
        <v>37</v>
      </c>
      <c r="L947" t="s">
        <v>30</v>
      </c>
      <c r="M947" t="s">
        <v>38</v>
      </c>
      <c r="N947" t="s">
        <v>23</v>
      </c>
      <c r="O947">
        <v>5</v>
      </c>
      <c r="P947" t="s">
        <v>48</v>
      </c>
      <c r="Q947">
        <v>2</v>
      </c>
      <c r="R947" t="s">
        <v>49</v>
      </c>
      <c r="S947" t="s">
        <v>42</v>
      </c>
      <c r="T947" t="s">
        <v>58</v>
      </c>
    </row>
    <row r="948" spans="1:20" x14ac:dyDescent="0.3">
      <c r="A948" t="s">
        <v>997</v>
      </c>
      <c r="B948">
        <v>29</v>
      </c>
      <c r="C948" t="s">
        <v>34</v>
      </c>
      <c r="D948" t="s">
        <v>27</v>
      </c>
      <c r="E948" t="s">
        <v>7</v>
      </c>
      <c r="F948">
        <v>30</v>
      </c>
      <c r="G948" t="s">
        <v>8</v>
      </c>
      <c r="H948">
        <v>48</v>
      </c>
      <c r="I948">
        <v>2</v>
      </c>
      <c r="J948">
        <v>2</v>
      </c>
      <c r="K948" t="s">
        <v>9</v>
      </c>
      <c r="L948" t="s">
        <v>30</v>
      </c>
      <c r="M948" t="s">
        <v>38</v>
      </c>
      <c r="N948" t="s">
        <v>29</v>
      </c>
      <c r="O948">
        <v>4</v>
      </c>
      <c r="P948" t="s">
        <v>24</v>
      </c>
      <c r="Q948">
        <v>5</v>
      </c>
      <c r="R948" t="s">
        <v>49</v>
      </c>
      <c r="S948" t="s">
        <v>42</v>
      </c>
      <c r="T948" t="s">
        <v>32</v>
      </c>
    </row>
    <row r="949" spans="1:20" x14ac:dyDescent="0.3">
      <c r="A949" t="s">
        <v>998</v>
      </c>
      <c r="B949">
        <v>45</v>
      </c>
      <c r="C949" t="s">
        <v>46</v>
      </c>
      <c r="D949" t="s">
        <v>40</v>
      </c>
      <c r="E949" t="s">
        <v>35</v>
      </c>
      <c r="F949">
        <v>9</v>
      </c>
      <c r="G949" t="s">
        <v>8</v>
      </c>
      <c r="H949">
        <v>42</v>
      </c>
      <c r="I949">
        <v>5</v>
      </c>
      <c r="J949">
        <v>5</v>
      </c>
      <c r="K949" t="s">
        <v>9</v>
      </c>
      <c r="L949" t="s">
        <v>68</v>
      </c>
      <c r="M949" t="s">
        <v>11</v>
      </c>
      <c r="N949" t="s">
        <v>12</v>
      </c>
      <c r="O949">
        <v>1</v>
      </c>
      <c r="P949" t="s">
        <v>13</v>
      </c>
      <c r="Q949">
        <v>5</v>
      </c>
      <c r="R949" t="s">
        <v>14</v>
      </c>
      <c r="S949" t="s">
        <v>31</v>
      </c>
      <c r="T949" t="s">
        <v>58</v>
      </c>
    </row>
    <row r="950" spans="1:20" x14ac:dyDescent="0.3">
      <c r="A950" t="s">
        <v>999</v>
      </c>
      <c r="B950">
        <v>45</v>
      </c>
      <c r="C950" t="s">
        <v>5</v>
      </c>
      <c r="D950" t="s">
        <v>27</v>
      </c>
      <c r="E950" t="s">
        <v>7</v>
      </c>
      <c r="F950">
        <v>5</v>
      </c>
      <c r="G950" t="s">
        <v>21</v>
      </c>
      <c r="H950">
        <v>33</v>
      </c>
      <c r="I950">
        <v>12</v>
      </c>
      <c r="J950">
        <v>4</v>
      </c>
      <c r="K950" t="s">
        <v>47</v>
      </c>
      <c r="L950" t="s">
        <v>22</v>
      </c>
      <c r="M950" t="s">
        <v>11</v>
      </c>
      <c r="N950" t="s">
        <v>12</v>
      </c>
      <c r="O950">
        <v>4</v>
      </c>
      <c r="P950" t="s">
        <v>48</v>
      </c>
      <c r="Q950">
        <v>2</v>
      </c>
      <c r="R950" t="s">
        <v>30</v>
      </c>
      <c r="S950" t="s">
        <v>15</v>
      </c>
      <c r="T950" t="s">
        <v>25</v>
      </c>
    </row>
    <row r="951" spans="1:20" x14ac:dyDescent="0.3">
      <c r="A951" t="s">
        <v>1000</v>
      </c>
      <c r="B951">
        <v>41</v>
      </c>
      <c r="C951" t="s">
        <v>18</v>
      </c>
      <c r="D951" t="s">
        <v>27</v>
      </c>
      <c r="E951" t="s">
        <v>41</v>
      </c>
      <c r="F951">
        <v>30</v>
      </c>
      <c r="G951" t="s">
        <v>21</v>
      </c>
      <c r="H951">
        <v>45</v>
      </c>
      <c r="I951">
        <v>12</v>
      </c>
      <c r="J951">
        <v>4</v>
      </c>
      <c r="K951" t="s">
        <v>47</v>
      </c>
      <c r="L951" t="s">
        <v>22</v>
      </c>
      <c r="M951" t="s">
        <v>11</v>
      </c>
      <c r="N951" t="s">
        <v>12</v>
      </c>
      <c r="O951">
        <v>1</v>
      </c>
      <c r="P951" t="s">
        <v>24</v>
      </c>
      <c r="Q951">
        <v>5</v>
      </c>
      <c r="R951" t="s">
        <v>49</v>
      </c>
      <c r="S951" t="s">
        <v>15</v>
      </c>
      <c r="T951" t="s">
        <v>55</v>
      </c>
    </row>
    <row r="952" spans="1:20" x14ac:dyDescent="0.3">
      <c r="A952" t="s">
        <v>1001</v>
      </c>
      <c r="B952">
        <v>56</v>
      </c>
      <c r="C952" t="s">
        <v>46</v>
      </c>
      <c r="D952" t="s">
        <v>61</v>
      </c>
      <c r="E952" t="s">
        <v>35</v>
      </c>
      <c r="F952">
        <v>2</v>
      </c>
      <c r="G952" t="s">
        <v>21</v>
      </c>
      <c r="H952">
        <v>43</v>
      </c>
      <c r="I952">
        <v>14</v>
      </c>
      <c r="J952">
        <v>4</v>
      </c>
      <c r="K952" t="s">
        <v>9</v>
      </c>
      <c r="L952" t="s">
        <v>30</v>
      </c>
      <c r="M952" t="s">
        <v>11</v>
      </c>
      <c r="N952" t="s">
        <v>12</v>
      </c>
      <c r="O952">
        <v>1</v>
      </c>
      <c r="P952" t="s">
        <v>13</v>
      </c>
      <c r="Q952">
        <v>2</v>
      </c>
      <c r="R952" t="s">
        <v>49</v>
      </c>
      <c r="S952" t="s">
        <v>15</v>
      </c>
      <c r="T952" t="s">
        <v>32</v>
      </c>
    </row>
    <row r="953" spans="1:20" x14ac:dyDescent="0.3">
      <c r="A953" t="s">
        <v>1002</v>
      </c>
      <c r="B953">
        <v>49</v>
      </c>
      <c r="C953" t="s">
        <v>5</v>
      </c>
      <c r="D953" t="s">
        <v>27</v>
      </c>
      <c r="E953" t="s">
        <v>35</v>
      </c>
      <c r="F953">
        <v>5</v>
      </c>
      <c r="G953" t="s">
        <v>21</v>
      </c>
      <c r="H953">
        <v>59</v>
      </c>
      <c r="I953">
        <v>3</v>
      </c>
      <c r="J953">
        <v>5</v>
      </c>
      <c r="K953" t="s">
        <v>47</v>
      </c>
      <c r="L953" t="s">
        <v>10</v>
      </c>
      <c r="M953" t="s">
        <v>38</v>
      </c>
      <c r="N953" t="s">
        <v>12</v>
      </c>
      <c r="O953">
        <v>2</v>
      </c>
      <c r="P953" t="s">
        <v>48</v>
      </c>
      <c r="Q953">
        <v>2</v>
      </c>
      <c r="R953" t="s">
        <v>49</v>
      </c>
      <c r="S953" t="s">
        <v>15</v>
      </c>
      <c r="T953" t="s">
        <v>44</v>
      </c>
    </row>
    <row r="954" spans="1:20" x14ac:dyDescent="0.3">
      <c r="A954" t="s">
        <v>1003</v>
      </c>
      <c r="B954">
        <v>32</v>
      </c>
      <c r="C954" t="s">
        <v>34</v>
      </c>
      <c r="D954" t="s">
        <v>57</v>
      </c>
      <c r="E954" t="s">
        <v>7</v>
      </c>
      <c r="F954">
        <v>32</v>
      </c>
      <c r="G954" t="s">
        <v>36</v>
      </c>
      <c r="H954">
        <v>26</v>
      </c>
      <c r="I954">
        <v>12</v>
      </c>
      <c r="J954">
        <v>3</v>
      </c>
      <c r="K954" t="s">
        <v>37</v>
      </c>
      <c r="L954" t="s">
        <v>22</v>
      </c>
      <c r="M954" t="s">
        <v>38</v>
      </c>
      <c r="N954" t="s">
        <v>29</v>
      </c>
      <c r="O954">
        <v>1</v>
      </c>
      <c r="P954" t="s">
        <v>13</v>
      </c>
      <c r="Q954">
        <v>2</v>
      </c>
      <c r="R954" t="s">
        <v>30</v>
      </c>
      <c r="S954" t="s">
        <v>15</v>
      </c>
      <c r="T954" t="s">
        <v>32</v>
      </c>
    </row>
    <row r="955" spans="1:20" x14ac:dyDescent="0.3">
      <c r="A955" t="s">
        <v>1004</v>
      </c>
      <c r="B955">
        <v>58</v>
      </c>
      <c r="C955" t="s">
        <v>34</v>
      </c>
      <c r="D955" t="s">
        <v>40</v>
      </c>
      <c r="E955" t="s">
        <v>35</v>
      </c>
      <c r="F955">
        <v>32</v>
      </c>
      <c r="G955" t="s">
        <v>8</v>
      </c>
      <c r="H955">
        <v>47</v>
      </c>
      <c r="I955">
        <v>7</v>
      </c>
      <c r="J955">
        <v>5</v>
      </c>
      <c r="K955" t="s">
        <v>47</v>
      </c>
      <c r="L955" t="s">
        <v>10</v>
      </c>
      <c r="M955" t="s">
        <v>11</v>
      </c>
      <c r="N955" t="s">
        <v>12</v>
      </c>
      <c r="O955">
        <v>1</v>
      </c>
      <c r="P955" t="s">
        <v>24</v>
      </c>
      <c r="Q955">
        <v>3</v>
      </c>
      <c r="R955" t="s">
        <v>14</v>
      </c>
      <c r="S955" t="s">
        <v>31</v>
      </c>
      <c r="T955" t="s">
        <v>55</v>
      </c>
    </row>
    <row r="956" spans="1:20" x14ac:dyDescent="0.3">
      <c r="A956" t="s">
        <v>1005</v>
      </c>
      <c r="B956">
        <v>41</v>
      </c>
      <c r="C956" t="s">
        <v>18</v>
      </c>
      <c r="D956" t="s">
        <v>57</v>
      </c>
      <c r="E956" t="s">
        <v>35</v>
      </c>
      <c r="F956">
        <v>3</v>
      </c>
      <c r="G956" t="s">
        <v>21</v>
      </c>
      <c r="H956">
        <v>27</v>
      </c>
      <c r="I956">
        <v>1</v>
      </c>
      <c r="J956">
        <v>2</v>
      </c>
      <c r="K956" t="s">
        <v>9</v>
      </c>
      <c r="L956" t="s">
        <v>30</v>
      </c>
      <c r="M956" t="s">
        <v>38</v>
      </c>
      <c r="N956" t="s">
        <v>23</v>
      </c>
      <c r="O956">
        <v>2</v>
      </c>
      <c r="P956" t="s">
        <v>48</v>
      </c>
      <c r="Q956">
        <v>1</v>
      </c>
      <c r="R956" t="s">
        <v>14</v>
      </c>
      <c r="S956" t="s">
        <v>15</v>
      </c>
      <c r="T956" t="s">
        <v>32</v>
      </c>
    </row>
    <row r="957" spans="1:20" x14ac:dyDescent="0.3">
      <c r="A957" t="s">
        <v>1006</v>
      </c>
      <c r="B957">
        <v>42</v>
      </c>
      <c r="C957" t="s">
        <v>46</v>
      </c>
      <c r="D957" t="s">
        <v>19</v>
      </c>
      <c r="E957" t="s">
        <v>35</v>
      </c>
      <c r="F957">
        <v>22</v>
      </c>
      <c r="G957" t="s">
        <v>8</v>
      </c>
      <c r="H957">
        <v>50</v>
      </c>
      <c r="I957">
        <v>2</v>
      </c>
      <c r="J957">
        <v>2</v>
      </c>
      <c r="K957" t="s">
        <v>37</v>
      </c>
      <c r="L957" t="s">
        <v>30</v>
      </c>
      <c r="M957" t="s">
        <v>11</v>
      </c>
      <c r="N957" t="s">
        <v>23</v>
      </c>
      <c r="O957">
        <v>5</v>
      </c>
      <c r="P957" t="s">
        <v>48</v>
      </c>
      <c r="Q957">
        <v>1</v>
      </c>
      <c r="R957" t="s">
        <v>30</v>
      </c>
      <c r="S957" t="s">
        <v>15</v>
      </c>
      <c r="T957" t="s">
        <v>25</v>
      </c>
    </row>
    <row r="958" spans="1:20" x14ac:dyDescent="0.3">
      <c r="A958" t="s">
        <v>1007</v>
      </c>
      <c r="B958">
        <v>36</v>
      </c>
      <c r="C958" t="s">
        <v>5</v>
      </c>
      <c r="D958" t="s">
        <v>6</v>
      </c>
      <c r="E958" t="s">
        <v>64</v>
      </c>
      <c r="F958">
        <v>11</v>
      </c>
      <c r="G958" t="s">
        <v>21</v>
      </c>
      <c r="H958">
        <v>29</v>
      </c>
      <c r="I958">
        <v>4</v>
      </c>
      <c r="J958">
        <v>2</v>
      </c>
      <c r="K958" t="s">
        <v>47</v>
      </c>
      <c r="L958" t="s">
        <v>10</v>
      </c>
      <c r="M958" t="s">
        <v>38</v>
      </c>
      <c r="N958" t="s">
        <v>29</v>
      </c>
      <c r="O958">
        <v>3</v>
      </c>
      <c r="P958" t="s">
        <v>13</v>
      </c>
      <c r="Q958">
        <v>3</v>
      </c>
      <c r="R958" t="s">
        <v>30</v>
      </c>
      <c r="S958" t="s">
        <v>42</v>
      </c>
      <c r="T958" t="s">
        <v>16</v>
      </c>
    </row>
    <row r="959" spans="1:20" x14ac:dyDescent="0.3">
      <c r="A959" t="s">
        <v>1008</v>
      </c>
      <c r="B959">
        <v>31</v>
      </c>
      <c r="C959" t="s">
        <v>34</v>
      </c>
      <c r="D959" t="s">
        <v>57</v>
      </c>
      <c r="E959" t="s">
        <v>7</v>
      </c>
      <c r="F959">
        <v>3</v>
      </c>
      <c r="G959" t="s">
        <v>8</v>
      </c>
      <c r="H959">
        <v>53</v>
      </c>
      <c r="I959">
        <v>6</v>
      </c>
      <c r="J959">
        <v>5</v>
      </c>
      <c r="K959" t="s">
        <v>47</v>
      </c>
      <c r="L959" t="s">
        <v>30</v>
      </c>
      <c r="M959" t="s">
        <v>38</v>
      </c>
      <c r="N959" t="s">
        <v>23</v>
      </c>
      <c r="O959">
        <v>5</v>
      </c>
      <c r="P959" t="s">
        <v>48</v>
      </c>
      <c r="Q959">
        <v>1</v>
      </c>
      <c r="R959" t="s">
        <v>49</v>
      </c>
      <c r="S959" t="s">
        <v>31</v>
      </c>
      <c r="T959" t="s">
        <v>25</v>
      </c>
    </row>
    <row r="960" spans="1:20" x14ac:dyDescent="0.3">
      <c r="A960" t="s">
        <v>1009</v>
      </c>
      <c r="B960">
        <v>46</v>
      </c>
      <c r="C960" t="s">
        <v>46</v>
      </c>
      <c r="D960" t="s">
        <v>61</v>
      </c>
      <c r="E960" t="s">
        <v>35</v>
      </c>
      <c r="F960">
        <v>26</v>
      </c>
      <c r="G960" t="s">
        <v>8</v>
      </c>
      <c r="H960">
        <v>22</v>
      </c>
      <c r="I960">
        <v>13</v>
      </c>
      <c r="J960">
        <v>3</v>
      </c>
      <c r="K960" t="s">
        <v>37</v>
      </c>
      <c r="L960" t="s">
        <v>10</v>
      </c>
      <c r="M960" t="s">
        <v>38</v>
      </c>
      <c r="N960" t="s">
        <v>12</v>
      </c>
      <c r="O960">
        <v>4</v>
      </c>
      <c r="P960" t="s">
        <v>24</v>
      </c>
      <c r="Q960">
        <v>4</v>
      </c>
      <c r="R960" t="s">
        <v>49</v>
      </c>
      <c r="S960" t="s">
        <v>15</v>
      </c>
      <c r="T960" t="s">
        <v>16</v>
      </c>
    </row>
    <row r="961" spans="1:20" x14ac:dyDescent="0.3">
      <c r="A961" t="s">
        <v>1010</v>
      </c>
      <c r="B961">
        <v>41</v>
      </c>
      <c r="C961" t="s">
        <v>46</v>
      </c>
      <c r="D961" t="s">
        <v>57</v>
      </c>
      <c r="E961" t="s">
        <v>28</v>
      </c>
      <c r="F961">
        <v>14</v>
      </c>
      <c r="G961" t="s">
        <v>36</v>
      </c>
      <c r="H961">
        <v>42</v>
      </c>
      <c r="I961">
        <v>2</v>
      </c>
      <c r="J961">
        <v>4</v>
      </c>
      <c r="K961" t="s">
        <v>37</v>
      </c>
      <c r="L961" t="s">
        <v>10</v>
      </c>
      <c r="M961" t="s">
        <v>38</v>
      </c>
      <c r="N961" t="s">
        <v>23</v>
      </c>
      <c r="O961">
        <v>3</v>
      </c>
      <c r="P961" t="s">
        <v>48</v>
      </c>
      <c r="Q961">
        <v>2</v>
      </c>
      <c r="R961" t="s">
        <v>14</v>
      </c>
      <c r="S961" t="s">
        <v>15</v>
      </c>
      <c r="T961" t="s">
        <v>32</v>
      </c>
    </row>
    <row r="962" spans="1:20" x14ac:dyDescent="0.3">
      <c r="A962" t="s">
        <v>1011</v>
      </c>
      <c r="B962">
        <v>52</v>
      </c>
      <c r="C962" t="s">
        <v>34</v>
      </c>
      <c r="D962" t="s">
        <v>6</v>
      </c>
      <c r="E962" t="s">
        <v>64</v>
      </c>
      <c r="F962">
        <v>17</v>
      </c>
      <c r="G962" t="s">
        <v>21</v>
      </c>
      <c r="H962">
        <v>20</v>
      </c>
      <c r="I962">
        <v>13</v>
      </c>
      <c r="J962">
        <v>1</v>
      </c>
      <c r="K962" t="s">
        <v>9</v>
      </c>
      <c r="L962" t="s">
        <v>30</v>
      </c>
      <c r="M962" t="s">
        <v>38</v>
      </c>
      <c r="N962" t="s">
        <v>23</v>
      </c>
      <c r="O962">
        <v>4</v>
      </c>
      <c r="P962" t="s">
        <v>24</v>
      </c>
      <c r="Q962">
        <v>2</v>
      </c>
      <c r="R962" t="s">
        <v>49</v>
      </c>
      <c r="S962" t="s">
        <v>42</v>
      </c>
      <c r="T962" t="s">
        <v>55</v>
      </c>
    </row>
    <row r="963" spans="1:20" x14ac:dyDescent="0.3">
      <c r="A963" t="s">
        <v>1012</v>
      </c>
      <c r="B963">
        <v>51</v>
      </c>
      <c r="C963" t="s">
        <v>18</v>
      </c>
      <c r="D963" t="s">
        <v>6</v>
      </c>
      <c r="E963" t="s">
        <v>51</v>
      </c>
      <c r="F963">
        <v>35</v>
      </c>
      <c r="G963" t="s">
        <v>8</v>
      </c>
      <c r="H963">
        <v>20</v>
      </c>
      <c r="I963">
        <v>11</v>
      </c>
      <c r="J963">
        <v>2</v>
      </c>
      <c r="K963" t="s">
        <v>9</v>
      </c>
      <c r="L963" t="s">
        <v>68</v>
      </c>
      <c r="M963" t="s">
        <v>38</v>
      </c>
      <c r="N963" t="s">
        <v>23</v>
      </c>
      <c r="O963">
        <v>5</v>
      </c>
      <c r="P963" t="s">
        <v>13</v>
      </c>
      <c r="Q963">
        <v>2</v>
      </c>
      <c r="R963" t="s">
        <v>49</v>
      </c>
      <c r="S963" t="s">
        <v>31</v>
      </c>
      <c r="T963" t="s">
        <v>25</v>
      </c>
    </row>
    <row r="964" spans="1:20" x14ac:dyDescent="0.3">
      <c r="A964" t="s">
        <v>1013</v>
      </c>
      <c r="B964">
        <v>23</v>
      </c>
      <c r="C964" t="s">
        <v>5</v>
      </c>
      <c r="D964" t="s">
        <v>40</v>
      </c>
      <c r="E964" t="s">
        <v>20</v>
      </c>
      <c r="F964">
        <v>22</v>
      </c>
      <c r="G964" t="s">
        <v>8</v>
      </c>
      <c r="H964">
        <v>32</v>
      </c>
      <c r="I964">
        <v>5</v>
      </c>
      <c r="J964">
        <v>4</v>
      </c>
      <c r="K964" t="s">
        <v>37</v>
      </c>
      <c r="L964" t="s">
        <v>22</v>
      </c>
      <c r="M964" t="s">
        <v>38</v>
      </c>
      <c r="N964" t="s">
        <v>23</v>
      </c>
      <c r="O964">
        <v>3</v>
      </c>
      <c r="P964" t="s">
        <v>13</v>
      </c>
      <c r="Q964">
        <v>3</v>
      </c>
      <c r="R964" t="s">
        <v>49</v>
      </c>
      <c r="S964" t="s">
        <v>42</v>
      </c>
      <c r="T964" t="s">
        <v>16</v>
      </c>
    </row>
    <row r="965" spans="1:20" x14ac:dyDescent="0.3">
      <c r="A965" t="s">
        <v>1014</v>
      </c>
      <c r="B965">
        <v>34</v>
      </c>
      <c r="C965" t="s">
        <v>18</v>
      </c>
      <c r="D965" t="s">
        <v>63</v>
      </c>
      <c r="E965" t="s">
        <v>28</v>
      </c>
      <c r="F965">
        <v>14</v>
      </c>
      <c r="G965" t="s">
        <v>21</v>
      </c>
      <c r="H965">
        <v>44</v>
      </c>
      <c r="I965">
        <v>7</v>
      </c>
      <c r="J965">
        <v>3</v>
      </c>
      <c r="K965" t="s">
        <v>37</v>
      </c>
      <c r="L965" t="s">
        <v>10</v>
      </c>
      <c r="M965" t="s">
        <v>38</v>
      </c>
      <c r="N965" t="s">
        <v>23</v>
      </c>
      <c r="O965">
        <v>1</v>
      </c>
      <c r="P965" t="s">
        <v>13</v>
      </c>
      <c r="Q965">
        <v>2</v>
      </c>
      <c r="R965" t="s">
        <v>30</v>
      </c>
      <c r="S965" t="s">
        <v>42</v>
      </c>
      <c r="T965" t="s">
        <v>44</v>
      </c>
    </row>
    <row r="966" spans="1:20" x14ac:dyDescent="0.3">
      <c r="A966" t="s">
        <v>1015</v>
      </c>
      <c r="B966">
        <v>37</v>
      </c>
      <c r="C966" t="s">
        <v>46</v>
      </c>
      <c r="D966" t="s">
        <v>40</v>
      </c>
      <c r="E966" t="s">
        <v>28</v>
      </c>
      <c r="F966">
        <v>20</v>
      </c>
      <c r="G966" t="s">
        <v>36</v>
      </c>
      <c r="H966">
        <v>38</v>
      </c>
      <c r="I966">
        <v>1</v>
      </c>
      <c r="J966">
        <v>4</v>
      </c>
      <c r="K966" t="s">
        <v>9</v>
      </c>
      <c r="L966" t="s">
        <v>22</v>
      </c>
      <c r="M966" t="s">
        <v>11</v>
      </c>
      <c r="N966" t="s">
        <v>29</v>
      </c>
      <c r="O966">
        <v>2</v>
      </c>
      <c r="P966" t="s">
        <v>24</v>
      </c>
      <c r="Q966">
        <v>4</v>
      </c>
      <c r="R966" t="s">
        <v>14</v>
      </c>
      <c r="S966" t="s">
        <v>31</v>
      </c>
      <c r="T966" t="s">
        <v>55</v>
      </c>
    </row>
    <row r="967" spans="1:20" x14ac:dyDescent="0.3">
      <c r="A967" t="s">
        <v>1016</v>
      </c>
      <c r="B967">
        <v>40</v>
      </c>
      <c r="C967" t="s">
        <v>5</v>
      </c>
      <c r="D967" t="s">
        <v>63</v>
      </c>
      <c r="E967" t="s">
        <v>41</v>
      </c>
      <c r="F967">
        <v>4</v>
      </c>
      <c r="G967" t="s">
        <v>8</v>
      </c>
      <c r="H967">
        <v>44</v>
      </c>
      <c r="I967">
        <v>2</v>
      </c>
      <c r="J967">
        <v>3</v>
      </c>
      <c r="K967" t="s">
        <v>47</v>
      </c>
      <c r="L967" t="s">
        <v>68</v>
      </c>
      <c r="M967" t="s">
        <v>11</v>
      </c>
      <c r="N967" t="s">
        <v>12</v>
      </c>
      <c r="O967">
        <v>3</v>
      </c>
      <c r="P967" t="s">
        <v>24</v>
      </c>
      <c r="Q967">
        <v>3</v>
      </c>
      <c r="R967" t="s">
        <v>14</v>
      </c>
      <c r="S967" t="s">
        <v>42</v>
      </c>
      <c r="T967" t="s">
        <v>32</v>
      </c>
    </row>
    <row r="968" spans="1:20" x14ac:dyDescent="0.3">
      <c r="A968" t="s">
        <v>1017</v>
      </c>
      <c r="B968">
        <v>46</v>
      </c>
      <c r="C968" t="s">
        <v>5</v>
      </c>
      <c r="D968" t="s">
        <v>40</v>
      </c>
      <c r="E968" t="s">
        <v>41</v>
      </c>
      <c r="F968">
        <v>11</v>
      </c>
      <c r="G968" t="s">
        <v>21</v>
      </c>
      <c r="H968">
        <v>43</v>
      </c>
      <c r="I968">
        <v>10</v>
      </c>
      <c r="J968">
        <v>2</v>
      </c>
      <c r="K968" t="s">
        <v>37</v>
      </c>
      <c r="L968" t="s">
        <v>30</v>
      </c>
      <c r="M968" t="s">
        <v>11</v>
      </c>
      <c r="N968" t="s">
        <v>12</v>
      </c>
      <c r="O968">
        <v>3</v>
      </c>
      <c r="P968" t="s">
        <v>13</v>
      </c>
      <c r="Q968">
        <v>1</v>
      </c>
      <c r="R968" t="s">
        <v>49</v>
      </c>
      <c r="S968" t="s">
        <v>31</v>
      </c>
      <c r="T968" t="s">
        <v>55</v>
      </c>
    </row>
    <row r="969" spans="1:20" x14ac:dyDescent="0.3">
      <c r="A969" t="s">
        <v>1018</v>
      </c>
      <c r="B969">
        <v>28</v>
      </c>
      <c r="C969" t="s">
        <v>46</v>
      </c>
      <c r="D969" t="s">
        <v>19</v>
      </c>
      <c r="E969" t="s">
        <v>28</v>
      </c>
      <c r="F969">
        <v>5</v>
      </c>
      <c r="G969" t="s">
        <v>8</v>
      </c>
      <c r="H969">
        <v>45</v>
      </c>
      <c r="I969">
        <v>3</v>
      </c>
      <c r="J969">
        <v>2</v>
      </c>
      <c r="K969" t="s">
        <v>9</v>
      </c>
      <c r="L969" t="s">
        <v>10</v>
      </c>
      <c r="M969" t="s">
        <v>11</v>
      </c>
      <c r="N969" t="s">
        <v>29</v>
      </c>
      <c r="O969">
        <v>2</v>
      </c>
      <c r="P969" t="s">
        <v>48</v>
      </c>
      <c r="Q969">
        <v>3</v>
      </c>
      <c r="R969" t="s">
        <v>30</v>
      </c>
      <c r="S969" t="s">
        <v>42</v>
      </c>
      <c r="T969" t="s">
        <v>55</v>
      </c>
    </row>
    <row r="970" spans="1:20" x14ac:dyDescent="0.3">
      <c r="A970" t="s">
        <v>1019</v>
      </c>
      <c r="B970">
        <v>26</v>
      </c>
      <c r="C970" t="s">
        <v>34</v>
      </c>
      <c r="D970" t="s">
        <v>6</v>
      </c>
      <c r="E970" t="s">
        <v>28</v>
      </c>
      <c r="F970">
        <v>3</v>
      </c>
      <c r="G970" t="s">
        <v>8</v>
      </c>
      <c r="H970">
        <v>24</v>
      </c>
      <c r="I970">
        <v>5</v>
      </c>
      <c r="J970">
        <v>1</v>
      </c>
      <c r="K970" t="s">
        <v>47</v>
      </c>
      <c r="L970" t="s">
        <v>10</v>
      </c>
      <c r="M970" t="s">
        <v>38</v>
      </c>
      <c r="N970" t="s">
        <v>12</v>
      </c>
      <c r="O970">
        <v>3</v>
      </c>
      <c r="P970" t="s">
        <v>48</v>
      </c>
      <c r="Q970">
        <v>5</v>
      </c>
      <c r="R970" t="s">
        <v>14</v>
      </c>
      <c r="S970" t="s">
        <v>42</v>
      </c>
      <c r="T970" t="s">
        <v>55</v>
      </c>
    </row>
    <row r="971" spans="1:20" x14ac:dyDescent="0.3">
      <c r="A971" t="s">
        <v>1020</v>
      </c>
      <c r="B971">
        <v>25</v>
      </c>
      <c r="C971" t="s">
        <v>18</v>
      </c>
      <c r="D971" t="s">
        <v>61</v>
      </c>
      <c r="E971" t="s">
        <v>7</v>
      </c>
      <c r="F971">
        <v>31</v>
      </c>
      <c r="G971" t="s">
        <v>8</v>
      </c>
      <c r="H971">
        <v>37</v>
      </c>
      <c r="I971">
        <v>7</v>
      </c>
      <c r="J971">
        <v>3</v>
      </c>
      <c r="K971" t="s">
        <v>37</v>
      </c>
      <c r="L971" t="s">
        <v>68</v>
      </c>
      <c r="M971" t="s">
        <v>38</v>
      </c>
      <c r="N971" t="s">
        <v>23</v>
      </c>
      <c r="O971">
        <v>3</v>
      </c>
      <c r="P971" t="s">
        <v>48</v>
      </c>
      <c r="Q971">
        <v>1</v>
      </c>
      <c r="R971" t="s">
        <v>49</v>
      </c>
      <c r="S971" t="s">
        <v>31</v>
      </c>
      <c r="T971" t="s">
        <v>32</v>
      </c>
    </row>
    <row r="972" spans="1:20" x14ac:dyDescent="0.3">
      <c r="A972" t="s">
        <v>1021</v>
      </c>
      <c r="B972">
        <v>30</v>
      </c>
      <c r="C972" t="s">
        <v>18</v>
      </c>
      <c r="D972" t="s">
        <v>27</v>
      </c>
      <c r="E972" t="s">
        <v>35</v>
      </c>
      <c r="F972">
        <v>22</v>
      </c>
      <c r="G972" t="s">
        <v>21</v>
      </c>
      <c r="H972">
        <v>48</v>
      </c>
      <c r="I972">
        <v>5</v>
      </c>
      <c r="J972">
        <v>4</v>
      </c>
      <c r="K972" t="s">
        <v>9</v>
      </c>
      <c r="L972" t="s">
        <v>30</v>
      </c>
      <c r="M972" t="s">
        <v>38</v>
      </c>
      <c r="N972" t="s">
        <v>12</v>
      </c>
      <c r="O972">
        <v>4</v>
      </c>
      <c r="P972" t="s">
        <v>13</v>
      </c>
      <c r="Q972">
        <v>3</v>
      </c>
      <c r="R972" t="s">
        <v>30</v>
      </c>
      <c r="S972" t="s">
        <v>15</v>
      </c>
      <c r="T972" t="s">
        <v>58</v>
      </c>
    </row>
    <row r="973" spans="1:20" x14ac:dyDescent="0.3">
      <c r="A973" t="s">
        <v>1022</v>
      </c>
      <c r="B973">
        <v>57</v>
      </c>
      <c r="C973" t="s">
        <v>34</v>
      </c>
      <c r="D973" t="s">
        <v>27</v>
      </c>
      <c r="E973" t="s">
        <v>20</v>
      </c>
      <c r="F973">
        <v>9</v>
      </c>
      <c r="G973" t="s">
        <v>36</v>
      </c>
      <c r="H973">
        <v>29</v>
      </c>
      <c r="I973">
        <v>11</v>
      </c>
      <c r="J973">
        <v>1</v>
      </c>
      <c r="K973" t="s">
        <v>9</v>
      </c>
      <c r="L973" t="s">
        <v>68</v>
      </c>
      <c r="M973" t="s">
        <v>11</v>
      </c>
      <c r="N973" t="s">
        <v>23</v>
      </c>
      <c r="O973">
        <v>3</v>
      </c>
      <c r="P973" t="s">
        <v>24</v>
      </c>
      <c r="Q973">
        <v>3</v>
      </c>
      <c r="R973" t="s">
        <v>49</v>
      </c>
      <c r="S973" t="s">
        <v>15</v>
      </c>
      <c r="T973" t="s">
        <v>16</v>
      </c>
    </row>
    <row r="974" spans="1:20" x14ac:dyDescent="0.3">
      <c r="A974" t="s">
        <v>1023</v>
      </c>
      <c r="B974">
        <v>33</v>
      </c>
      <c r="C974" t="s">
        <v>34</v>
      </c>
      <c r="D974" t="s">
        <v>27</v>
      </c>
      <c r="E974" t="s">
        <v>35</v>
      </c>
      <c r="F974">
        <v>30</v>
      </c>
      <c r="G974" t="s">
        <v>21</v>
      </c>
      <c r="H974">
        <v>26</v>
      </c>
      <c r="I974">
        <v>9</v>
      </c>
      <c r="J974">
        <v>3</v>
      </c>
      <c r="K974" t="s">
        <v>47</v>
      </c>
      <c r="L974" t="s">
        <v>68</v>
      </c>
      <c r="M974" t="s">
        <v>11</v>
      </c>
      <c r="N974" t="s">
        <v>23</v>
      </c>
      <c r="O974">
        <v>2</v>
      </c>
      <c r="P974" t="s">
        <v>13</v>
      </c>
      <c r="Q974">
        <v>4</v>
      </c>
      <c r="R974" t="s">
        <v>49</v>
      </c>
      <c r="S974" t="s">
        <v>42</v>
      </c>
      <c r="T974" t="s">
        <v>25</v>
      </c>
    </row>
    <row r="975" spans="1:20" x14ac:dyDescent="0.3">
      <c r="A975" t="s">
        <v>1024</v>
      </c>
      <c r="B975">
        <v>38</v>
      </c>
      <c r="C975" t="s">
        <v>18</v>
      </c>
      <c r="D975" t="s">
        <v>27</v>
      </c>
      <c r="E975" t="s">
        <v>51</v>
      </c>
      <c r="F975">
        <v>9</v>
      </c>
      <c r="G975" t="s">
        <v>21</v>
      </c>
      <c r="H975">
        <v>60</v>
      </c>
      <c r="I975">
        <v>2</v>
      </c>
      <c r="J975">
        <v>2</v>
      </c>
      <c r="K975" t="s">
        <v>37</v>
      </c>
      <c r="L975" t="s">
        <v>10</v>
      </c>
      <c r="M975" t="s">
        <v>11</v>
      </c>
      <c r="N975" t="s">
        <v>12</v>
      </c>
      <c r="O975">
        <v>3</v>
      </c>
      <c r="P975" t="s">
        <v>13</v>
      </c>
      <c r="Q975">
        <v>3</v>
      </c>
      <c r="R975" t="s">
        <v>49</v>
      </c>
      <c r="S975" t="s">
        <v>31</v>
      </c>
      <c r="T975" t="s">
        <v>44</v>
      </c>
    </row>
    <row r="976" spans="1:20" x14ac:dyDescent="0.3">
      <c r="A976" t="s">
        <v>1025</v>
      </c>
      <c r="B976">
        <v>43</v>
      </c>
      <c r="C976" t="s">
        <v>18</v>
      </c>
      <c r="D976" t="s">
        <v>6</v>
      </c>
      <c r="E976" t="s">
        <v>41</v>
      </c>
      <c r="F976">
        <v>24</v>
      </c>
      <c r="G976" t="s">
        <v>21</v>
      </c>
      <c r="H976">
        <v>22</v>
      </c>
      <c r="I976">
        <v>3</v>
      </c>
      <c r="J976">
        <v>4</v>
      </c>
      <c r="K976" t="s">
        <v>37</v>
      </c>
      <c r="L976" t="s">
        <v>68</v>
      </c>
      <c r="M976" t="s">
        <v>38</v>
      </c>
      <c r="N976" t="s">
        <v>23</v>
      </c>
      <c r="O976">
        <v>3</v>
      </c>
      <c r="P976" t="s">
        <v>24</v>
      </c>
      <c r="Q976">
        <v>5</v>
      </c>
      <c r="R976" t="s">
        <v>30</v>
      </c>
      <c r="S976" t="s">
        <v>42</v>
      </c>
      <c r="T976" t="s">
        <v>16</v>
      </c>
    </row>
    <row r="977" spans="1:20" x14ac:dyDescent="0.3">
      <c r="A977" t="s">
        <v>1026</v>
      </c>
      <c r="B977">
        <v>43</v>
      </c>
      <c r="C977" t="s">
        <v>46</v>
      </c>
      <c r="D977" t="s">
        <v>6</v>
      </c>
      <c r="E977" t="s">
        <v>35</v>
      </c>
      <c r="F977">
        <v>26</v>
      </c>
      <c r="G977" t="s">
        <v>21</v>
      </c>
      <c r="H977">
        <v>21</v>
      </c>
      <c r="I977">
        <v>0</v>
      </c>
      <c r="J977">
        <v>4</v>
      </c>
      <c r="K977" t="s">
        <v>9</v>
      </c>
      <c r="L977" t="s">
        <v>68</v>
      </c>
      <c r="M977" t="s">
        <v>38</v>
      </c>
      <c r="N977" t="s">
        <v>23</v>
      </c>
      <c r="O977">
        <v>4</v>
      </c>
      <c r="P977" t="s">
        <v>24</v>
      </c>
      <c r="Q977">
        <v>2</v>
      </c>
      <c r="R977" t="s">
        <v>49</v>
      </c>
      <c r="S977" t="s">
        <v>42</v>
      </c>
      <c r="T977" t="s">
        <v>16</v>
      </c>
    </row>
    <row r="978" spans="1:20" x14ac:dyDescent="0.3">
      <c r="A978" t="s">
        <v>1027</v>
      </c>
      <c r="B978">
        <v>44</v>
      </c>
      <c r="C978" t="s">
        <v>18</v>
      </c>
      <c r="D978" t="s">
        <v>40</v>
      </c>
      <c r="E978" t="s">
        <v>20</v>
      </c>
      <c r="F978">
        <v>23</v>
      </c>
      <c r="G978" t="s">
        <v>36</v>
      </c>
      <c r="H978">
        <v>49</v>
      </c>
      <c r="I978">
        <v>2</v>
      </c>
      <c r="J978">
        <v>3</v>
      </c>
      <c r="K978" t="s">
        <v>37</v>
      </c>
      <c r="L978" t="s">
        <v>10</v>
      </c>
      <c r="M978" t="s">
        <v>38</v>
      </c>
      <c r="N978" t="s">
        <v>23</v>
      </c>
      <c r="O978">
        <v>1</v>
      </c>
      <c r="P978" t="s">
        <v>24</v>
      </c>
      <c r="Q978">
        <v>5</v>
      </c>
      <c r="R978" t="s">
        <v>14</v>
      </c>
      <c r="S978" t="s">
        <v>15</v>
      </c>
      <c r="T978" t="s">
        <v>44</v>
      </c>
    </row>
    <row r="979" spans="1:20" x14ac:dyDescent="0.3">
      <c r="A979" t="s">
        <v>1028</v>
      </c>
      <c r="B979">
        <v>52</v>
      </c>
      <c r="C979" t="s">
        <v>46</v>
      </c>
      <c r="D979" t="s">
        <v>40</v>
      </c>
      <c r="E979" t="s">
        <v>51</v>
      </c>
      <c r="F979">
        <v>3</v>
      </c>
      <c r="G979" t="s">
        <v>21</v>
      </c>
      <c r="H979">
        <v>38</v>
      </c>
      <c r="I979">
        <v>7</v>
      </c>
      <c r="J979">
        <v>4</v>
      </c>
      <c r="K979" t="s">
        <v>9</v>
      </c>
      <c r="L979" t="s">
        <v>68</v>
      </c>
      <c r="M979" t="s">
        <v>11</v>
      </c>
      <c r="N979" t="s">
        <v>23</v>
      </c>
      <c r="O979">
        <v>1</v>
      </c>
      <c r="P979" t="s">
        <v>13</v>
      </c>
      <c r="Q979">
        <v>2</v>
      </c>
      <c r="R979" t="s">
        <v>30</v>
      </c>
      <c r="S979" t="s">
        <v>42</v>
      </c>
      <c r="T979" t="s">
        <v>58</v>
      </c>
    </row>
    <row r="980" spans="1:20" x14ac:dyDescent="0.3">
      <c r="A980" t="s">
        <v>1029</v>
      </c>
      <c r="B980">
        <v>25</v>
      </c>
      <c r="C980" t="s">
        <v>34</v>
      </c>
      <c r="D980" t="s">
        <v>63</v>
      </c>
      <c r="E980" t="s">
        <v>28</v>
      </c>
      <c r="F980">
        <v>12</v>
      </c>
      <c r="G980" t="s">
        <v>8</v>
      </c>
      <c r="H980">
        <v>26</v>
      </c>
      <c r="I980">
        <v>1</v>
      </c>
      <c r="J980">
        <v>3</v>
      </c>
      <c r="K980" t="s">
        <v>47</v>
      </c>
      <c r="L980" t="s">
        <v>68</v>
      </c>
      <c r="M980" t="s">
        <v>38</v>
      </c>
      <c r="N980" t="s">
        <v>23</v>
      </c>
      <c r="O980">
        <v>1</v>
      </c>
      <c r="P980" t="s">
        <v>24</v>
      </c>
      <c r="Q980">
        <v>3</v>
      </c>
      <c r="R980" t="s">
        <v>14</v>
      </c>
      <c r="S980" t="s">
        <v>42</v>
      </c>
      <c r="T980" t="s">
        <v>55</v>
      </c>
    </row>
    <row r="981" spans="1:20" x14ac:dyDescent="0.3">
      <c r="A981" t="s">
        <v>1030</v>
      </c>
      <c r="B981">
        <v>28</v>
      </c>
      <c r="C981" t="s">
        <v>18</v>
      </c>
      <c r="D981" t="s">
        <v>63</v>
      </c>
      <c r="E981" t="s">
        <v>20</v>
      </c>
      <c r="F981">
        <v>19</v>
      </c>
      <c r="G981" t="s">
        <v>21</v>
      </c>
      <c r="H981">
        <v>50</v>
      </c>
      <c r="I981">
        <v>13</v>
      </c>
      <c r="J981">
        <v>5</v>
      </c>
      <c r="K981" t="s">
        <v>47</v>
      </c>
      <c r="L981" t="s">
        <v>10</v>
      </c>
      <c r="M981" t="s">
        <v>38</v>
      </c>
      <c r="N981" t="s">
        <v>29</v>
      </c>
      <c r="O981">
        <v>1</v>
      </c>
      <c r="P981" t="s">
        <v>13</v>
      </c>
      <c r="Q981">
        <v>3</v>
      </c>
      <c r="R981" t="s">
        <v>14</v>
      </c>
      <c r="S981" t="s">
        <v>31</v>
      </c>
      <c r="T981" t="s">
        <v>16</v>
      </c>
    </row>
    <row r="982" spans="1:20" x14ac:dyDescent="0.3">
      <c r="A982" t="s">
        <v>1031</v>
      </c>
      <c r="B982">
        <v>26</v>
      </c>
      <c r="C982" t="s">
        <v>5</v>
      </c>
      <c r="D982" t="s">
        <v>19</v>
      </c>
      <c r="E982" t="s">
        <v>7</v>
      </c>
      <c r="F982">
        <v>5</v>
      </c>
      <c r="G982" t="s">
        <v>36</v>
      </c>
      <c r="H982">
        <v>26</v>
      </c>
      <c r="I982">
        <v>10</v>
      </c>
      <c r="J982">
        <v>2</v>
      </c>
      <c r="K982" t="s">
        <v>37</v>
      </c>
      <c r="L982" t="s">
        <v>30</v>
      </c>
      <c r="M982" t="s">
        <v>38</v>
      </c>
      <c r="N982" t="s">
        <v>12</v>
      </c>
      <c r="O982">
        <v>2</v>
      </c>
      <c r="P982" t="s">
        <v>48</v>
      </c>
      <c r="Q982">
        <v>4</v>
      </c>
      <c r="R982" t="s">
        <v>14</v>
      </c>
      <c r="S982" t="s">
        <v>42</v>
      </c>
      <c r="T982" t="s">
        <v>44</v>
      </c>
    </row>
    <row r="983" spans="1:20" x14ac:dyDescent="0.3">
      <c r="A983" t="s">
        <v>1032</v>
      </c>
      <c r="B983">
        <v>32</v>
      </c>
      <c r="C983" t="s">
        <v>18</v>
      </c>
      <c r="D983" t="s">
        <v>61</v>
      </c>
      <c r="E983" t="s">
        <v>20</v>
      </c>
      <c r="F983">
        <v>32</v>
      </c>
      <c r="G983" t="s">
        <v>8</v>
      </c>
      <c r="H983">
        <v>26</v>
      </c>
      <c r="I983">
        <v>5</v>
      </c>
      <c r="J983">
        <v>3</v>
      </c>
      <c r="K983" t="s">
        <v>37</v>
      </c>
      <c r="L983" t="s">
        <v>30</v>
      </c>
      <c r="M983" t="s">
        <v>38</v>
      </c>
      <c r="N983" t="s">
        <v>12</v>
      </c>
      <c r="O983">
        <v>5</v>
      </c>
      <c r="P983" t="s">
        <v>13</v>
      </c>
      <c r="Q983">
        <v>1</v>
      </c>
      <c r="R983" t="s">
        <v>14</v>
      </c>
      <c r="S983" t="s">
        <v>31</v>
      </c>
      <c r="T983" t="s">
        <v>16</v>
      </c>
    </row>
    <row r="984" spans="1:20" x14ac:dyDescent="0.3">
      <c r="A984" t="s">
        <v>1033</v>
      </c>
      <c r="B984">
        <v>28</v>
      </c>
      <c r="C984" t="s">
        <v>18</v>
      </c>
      <c r="D984" t="s">
        <v>19</v>
      </c>
      <c r="E984" t="s">
        <v>28</v>
      </c>
      <c r="F984">
        <v>14</v>
      </c>
      <c r="G984" t="s">
        <v>36</v>
      </c>
      <c r="H984">
        <v>30</v>
      </c>
      <c r="I984">
        <v>9</v>
      </c>
      <c r="J984">
        <v>2</v>
      </c>
      <c r="K984" t="s">
        <v>37</v>
      </c>
      <c r="L984" t="s">
        <v>30</v>
      </c>
      <c r="M984" t="s">
        <v>11</v>
      </c>
      <c r="N984" t="s">
        <v>29</v>
      </c>
      <c r="O984">
        <v>1</v>
      </c>
      <c r="P984" t="s">
        <v>13</v>
      </c>
      <c r="Q984">
        <v>3</v>
      </c>
      <c r="R984" t="s">
        <v>14</v>
      </c>
      <c r="S984" t="s">
        <v>42</v>
      </c>
      <c r="T984" t="s">
        <v>16</v>
      </c>
    </row>
    <row r="985" spans="1:20" x14ac:dyDescent="0.3">
      <c r="A985" t="s">
        <v>1034</v>
      </c>
      <c r="B985">
        <v>32</v>
      </c>
      <c r="C985" t="s">
        <v>46</v>
      </c>
      <c r="D985" t="s">
        <v>63</v>
      </c>
      <c r="E985" t="s">
        <v>41</v>
      </c>
      <c r="F985">
        <v>33</v>
      </c>
      <c r="G985" t="s">
        <v>36</v>
      </c>
      <c r="H985">
        <v>50</v>
      </c>
      <c r="I985">
        <v>7</v>
      </c>
      <c r="J985">
        <v>3</v>
      </c>
      <c r="K985" t="s">
        <v>37</v>
      </c>
      <c r="L985" t="s">
        <v>30</v>
      </c>
      <c r="M985" t="s">
        <v>38</v>
      </c>
      <c r="N985" t="s">
        <v>29</v>
      </c>
      <c r="O985">
        <v>4</v>
      </c>
      <c r="P985" t="s">
        <v>24</v>
      </c>
      <c r="Q985">
        <v>2</v>
      </c>
      <c r="R985" t="s">
        <v>30</v>
      </c>
      <c r="S985" t="s">
        <v>15</v>
      </c>
      <c r="T985" t="s">
        <v>32</v>
      </c>
    </row>
    <row r="986" spans="1:20" x14ac:dyDescent="0.3">
      <c r="A986" t="s">
        <v>1035</v>
      </c>
      <c r="B986">
        <v>25</v>
      </c>
      <c r="C986" t="s">
        <v>5</v>
      </c>
      <c r="D986" t="s">
        <v>63</v>
      </c>
      <c r="E986" t="s">
        <v>20</v>
      </c>
      <c r="F986">
        <v>24</v>
      </c>
      <c r="G986" t="s">
        <v>8</v>
      </c>
      <c r="H986">
        <v>60</v>
      </c>
      <c r="I986">
        <v>10</v>
      </c>
      <c r="J986">
        <v>4</v>
      </c>
      <c r="K986" t="s">
        <v>9</v>
      </c>
      <c r="L986" t="s">
        <v>22</v>
      </c>
      <c r="M986" t="s">
        <v>38</v>
      </c>
      <c r="N986" t="s">
        <v>29</v>
      </c>
      <c r="O986">
        <v>3</v>
      </c>
      <c r="P986" t="s">
        <v>13</v>
      </c>
      <c r="Q986">
        <v>3</v>
      </c>
      <c r="R986" t="s">
        <v>49</v>
      </c>
      <c r="S986" t="s">
        <v>42</v>
      </c>
      <c r="T986" t="s">
        <v>44</v>
      </c>
    </row>
    <row r="987" spans="1:20" x14ac:dyDescent="0.3">
      <c r="A987" t="s">
        <v>1036</v>
      </c>
      <c r="B987">
        <v>57</v>
      </c>
      <c r="C987" t="s">
        <v>5</v>
      </c>
      <c r="D987" t="s">
        <v>27</v>
      </c>
      <c r="E987" t="s">
        <v>35</v>
      </c>
      <c r="F987">
        <v>17</v>
      </c>
      <c r="G987" t="s">
        <v>36</v>
      </c>
      <c r="H987">
        <v>49</v>
      </c>
      <c r="I987">
        <v>6</v>
      </c>
      <c r="J987">
        <v>5</v>
      </c>
      <c r="K987" t="s">
        <v>47</v>
      </c>
      <c r="L987" t="s">
        <v>10</v>
      </c>
      <c r="M987" t="s">
        <v>11</v>
      </c>
      <c r="N987" t="s">
        <v>29</v>
      </c>
      <c r="O987">
        <v>2</v>
      </c>
      <c r="P987" t="s">
        <v>13</v>
      </c>
      <c r="Q987">
        <v>5</v>
      </c>
      <c r="R987" t="s">
        <v>30</v>
      </c>
      <c r="S987" t="s">
        <v>15</v>
      </c>
      <c r="T987" t="s">
        <v>16</v>
      </c>
    </row>
    <row r="988" spans="1:20" x14ac:dyDescent="0.3">
      <c r="A988" t="s">
        <v>1037</v>
      </c>
      <c r="B988">
        <v>28</v>
      </c>
      <c r="C988" t="s">
        <v>5</v>
      </c>
      <c r="D988" t="s">
        <v>57</v>
      </c>
      <c r="E988" t="s">
        <v>7</v>
      </c>
      <c r="F988">
        <v>2</v>
      </c>
      <c r="G988" t="s">
        <v>21</v>
      </c>
      <c r="H988">
        <v>48</v>
      </c>
      <c r="I988">
        <v>9</v>
      </c>
      <c r="J988">
        <v>2</v>
      </c>
      <c r="K988" t="s">
        <v>9</v>
      </c>
      <c r="L988" t="s">
        <v>22</v>
      </c>
      <c r="M988" t="s">
        <v>11</v>
      </c>
      <c r="N988" t="s">
        <v>23</v>
      </c>
      <c r="O988">
        <v>3</v>
      </c>
      <c r="P988" t="s">
        <v>48</v>
      </c>
      <c r="Q988">
        <v>5</v>
      </c>
      <c r="R988" t="s">
        <v>30</v>
      </c>
      <c r="S988" t="s">
        <v>31</v>
      </c>
      <c r="T988" t="s">
        <v>16</v>
      </c>
    </row>
    <row r="989" spans="1:20" x14ac:dyDescent="0.3">
      <c r="A989" t="s">
        <v>1038</v>
      </c>
      <c r="B989">
        <v>51</v>
      </c>
      <c r="C989" t="s">
        <v>34</v>
      </c>
      <c r="D989" t="s">
        <v>6</v>
      </c>
      <c r="E989" t="s">
        <v>20</v>
      </c>
      <c r="F989">
        <v>9</v>
      </c>
      <c r="G989" t="s">
        <v>21</v>
      </c>
      <c r="H989">
        <v>39</v>
      </c>
      <c r="I989">
        <v>4</v>
      </c>
      <c r="J989">
        <v>5</v>
      </c>
      <c r="K989" t="s">
        <v>47</v>
      </c>
      <c r="L989" t="s">
        <v>68</v>
      </c>
      <c r="M989" t="s">
        <v>11</v>
      </c>
      <c r="N989" t="s">
        <v>23</v>
      </c>
      <c r="O989">
        <v>2</v>
      </c>
      <c r="P989" t="s">
        <v>13</v>
      </c>
      <c r="Q989">
        <v>1</v>
      </c>
      <c r="R989" t="s">
        <v>14</v>
      </c>
      <c r="S989" t="s">
        <v>42</v>
      </c>
      <c r="T989" t="s">
        <v>58</v>
      </c>
    </row>
    <row r="990" spans="1:20" x14ac:dyDescent="0.3">
      <c r="A990" t="s">
        <v>1039</v>
      </c>
      <c r="B990">
        <v>60</v>
      </c>
      <c r="C990" t="s">
        <v>46</v>
      </c>
      <c r="D990" t="s">
        <v>57</v>
      </c>
      <c r="E990" t="s">
        <v>20</v>
      </c>
      <c r="F990">
        <v>8</v>
      </c>
      <c r="G990" t="s">
        <v>8</v>
      </c>
      <c r="H990">
        <v>52</v>
      </c>
      <c r="I990">
        <v>15</v>
      </c>
      <c r="J990">
        <v>2</v>
      </c>
      <c r="K990" t="s">
        <v>37</v>
      </c>
      <c r="L990" t="s">
        <v>30</v>
      </c>
      <c r="M990" t="s">
        <v>11</v>
      </c>
      <c r="N990" t="s">
        <v>29</v>
      </c>
      <c r="O990">
        <v>4</v>
      </c>
      <c r="P990" t="s">
        <v>48</v>
      </c>
      <c r="Q990">
        <v>3</v>
      </c>
      <c r="R990" t="s">
        <v>14</v>
      </c>
      <c r="S990" t="s">
        <v>15</v>
      </c>
      <c r="T990" t="s">
        <v>55</v>
      </c>
    </row>
    <row r="991" spans="1:20" x14ac:dyDescent="0.3">
      <c r="A991" t="s">
        <v>1040</v>
      </c>
      <c r="B991">
        <v>49</v>
      </c>
      <c r="C991" t="s">
        <v>18</v>
      </c>
      <c r="D991" t="s">
        <v>27</v>
      </c>
      <c r="E991" t="s">
        <v>7</v>
      </c>
      <c r="F991">
        <v>8</v>
      </c>
      <c r="G991" t="s">
        <v>21</v>
      </c>
      <c r="H991">
        <v>23</v>
      </c>
      <c r="I991">
        <v>5</v>
      </c>
      <c r="J991">
        <v>3</v>
      </c>
      <c r="K991" t="s">
        <v>9</v>
      </c>
      <c r="L991" t="s">
        <v>22</v>
      </c>
      <c r="M991" t="s">
        <v>38</v>
      </c>
      <c r="N991" t="s">
        <v>23</v>
      </c>
      <c r="O991">
        <v>3</v>
      </c>
      <c r="P991" t="s">
        <v>24</v>
      </c>
      <c r="Q991">
        <v>4</v>
      </c>
      <c r="R991" t="s">
        <v>14</v>
      </c>
      <c r="S991" t="s">
        <v>15</v>
      </c>
      <c r="T991" t="s">
        <v>44</v>
      </c>
    </row>
    <row r="992" spans="1:20" x14ac:dyDescent="0.3">
      <c r="A992" t="s">
        <v>1041</v>
      </c>
      <c r="B992">
        <v>30</v>
      </c>
      <c r="C992" t="s">
        <v>34</v>
      </c>
      <c r="D992" t="s">
        <v>27</v>
      </c>
      <c r="E992" t="s">
        <v>20</v>
      </c>
      <c r="F992">
        <v>1</v>
      </c>
      <c r="G992" t="s">
        <v>8</v>
      </c>
      <c r="H992">
        <v>51</v>
      </c>
      <c r="I992">
        <v>8</v>
      </c>
      <c r="J992">
        <v>4</v>
      </c>
      <c r="K992" t="s">
        <v>9</v>
      </c>
      <c r="L992" t="s">
        <v>68</v>
      </c>
      <c r="M992" t="s">
        <v>38</v>
      </c>
      <c r="N992" t="s">
        <v>12</v>
      </c>
      <c r="O992">
        <v>5</v>
      </c>
      <c r="P992" t="s">
        <v>13</v>
      </c>
      <c r="Q992">
        <v>5</v>
      </c>
      <c r="R992" t="s">
        <v>30</v>
      </c>
      <c r="S992" t="s">
        <v>31</v>
      </c>
      <c r="T992" t="s">
        <v>32</v>
      </c>
    </row>
    <row r="993" spans="1:20" x14ac:dyDescent="0.3">
      <c r="A993" t="s">
        <v>1042</v>
      </c>
      <c r="B993">
        <v>35</v>
      </c>
      <c r="C993" t="s">
        <v>46</v>
      </c>
      <c r="D993" t="s">
        <v>61</v>
      </c>
      <c r="E993" t="s">
        <v>51</v>
      </c>
      <c r="F993">
        <v>32</v>
      </c>
      <c r="G993" t="s">
        <v>36</v>
      </c>
      <c r="H993">
        <v>28</v>
      </c>
      <c r="I993">
        <v>14</v>
      </c>
      <c r="J993">
        <v>5</v>
      </c>
      <c r="K993" t="s">
        <v>9</v>
      </c>
      <c r="L993" t="s">
        <v>10</v>
      </c>
      <c r="M993" t="s">
        <v>11</v>
      </c>
      <c r="N993" t="s">
        <v>23</v>
      </c>
      <c r="O993">
        <v>1</v>
      </c>
      <c r="P993" t="s">
        <v>24</v>
      </c>
      <c r="Q993">
        <v>1</v>
      </c>
      <c r="R993" t="s">
        <v>14</v>
      </c>
      <c r="S993" t="s">
        <v>31</v>
      </c>
      <c r="T993" t="s">
        <v>25</v>
      </c>
    </row>
    <row r="994" spans="1:20" x14ac:dyDescent="0.3">
      <c r="A994" t="s">
        <v>1043</v>
      </c>
      <c r="B994">
        <v>45</v>
      </c>
      <c r="C994" t="s">
        <v>5</v>
      </c>
      <c r="D994" t="s">
        <v>27</v>
      </c>
      <c r="E994" t="s">
        <v>35</v>
      </c>
      <c r="F994">
        <v>21</v>
      </c>
      <c r="G994" t="s">
        <v>36</v>
      </c>
      <c r="H994">
        <v>22</v>
      </c>
      <c r="I994">
        <v>15</v>
      </c>
      <c r="J994">
        <v>5</v>
      </c>
      <c r="K994" t="s">
        <v>47</v>
      </c>
      <c r="L994" t="s">
        <v>30</v>
      </c>
      <c r="M994" t="s">
        <v>38</v>
      </c>
      <c r="N994" t="s">
        <v>29</v>
      </c>
      <c r="O994">
        <v>3</v>
      </c>
      <c r="P994" t="s">
        <v>48</v>
      </c>
      <c r="Q994">
        <v>1</v>
      </c>
      <c r="R994" t="s">
        <v>14</v>
      </c>
      <c r="S994" t="s">
        <v>42</v>
      </c>
      <c r="T994" t="s">
        <v>32</v>
      </c>
    </row>
    <row r="995" spans="1:20" x14ac:dyDescent="0.3">
      <c r="A995" t="s">
        <v>1044</v>
      </c>
      <c r="B995">
        <v>42</v>
      </c>
      <c r="C995" t="s">
        <v>5</v>
      </c>
      <c r="D995" t="s">
        <v>63</v>
      </c>
      <c r="E995" t="s">
        <v>28</v>
      </c>
      <c r="F995">
        <v>13</v>
      </c>
      <c r="G995" t="s">
        <v>21</v>
      </c>
      <c r="H995">
        <v>50</v>
      </c>
      <c r="I995">
        <v>1</v>
      </c>
      <c r="J995">
        <v>3</v>
      </c>
      <c r="K995" t="s">
        <v>9</v>
      </c>
      <c r="L995" t="s">
        <v>68</v>
      </c>
      <c r="M995" t="s">
        <v>11</v>
      </c>
      <c r="N995" t="s">
        <v>29</v>
      </c>
      <c r="O995">
        <v>2</v>
      </c>
      <c r="P995" t="s">
        <v>24</v>
      </c>
      <c r="Q995">
        <v>3</v>
      </c>
      <c r="R995" t="s">
        <v>49</v>
      </c>
      <c r="S995" t="s">
        <v>31</v>
      </c>
      <c r="T995" t="s">
        <v>58</v>
      </c>
    </row>
    <row r="996" spans="1:20" x14ac:dyDescent="0.3">
      <c r="A996" t="s">
        <v>1045</v>
      </c>
      <c r="B996">
        <v>38</v>
      </c>
      <c r="C996" t="s">
        <v>5</v>
      </c>
      <c r="D996" t="s">
        <v>27</v>
      </c>
      <c r="E996" t="s">
        <v>64</v>
      </c>
      <c r="F996">
        <v>24</v>
      </c>
      <c r="G996" t="s">
        <v>21</v>
      </c>
      <c r="H996">
        <v>21</v>
      </c>
      <c r="I996">
        <v>13</v>
      </c>
      <c r="J996">
        <v>3</v>
      </c>
      <c r="K996" t="s">
        <v>47</v>
      </c>
      <c r="L996" t="s">
        <v>30</v>
      </c>
      <c r="M996" t="s">
        <v>38</v>
      </c>
      <c r="N996" t="s">
        <v>23</v>
      </c>
      <c r="O996">
        <v>4</v>
      </c>
      <c r="P996" t="s">
        <v>24</v>
      </c>
      <c r="Q996">
        <v>3</v>
      </c>
      <c r="R996" t="s">
        <v>30</v>
      </c>
      <c r="S996" t="s">
        <v>31</v>
      </c>
      <c r="T996" t="s">
        <v>55</v>
      </c>
    </row>
    <row r="997" spans="1:20" x14ac:dyDescent="0.3">
      <c r="A997" t="s">
        <v>1046</v>
      </c>
      <c r="B997">
        <v>36</v>
      </c>
      <c r="C997" t="s">
        <v>5</v>
      </c>
      <c r="D997" t="s">
        <v>40</v>
      </c>
      <c r="E997" t="s">
        <v>20</v>
      </c>
      <c r="F997">
        <v>5</v>
      </c>
      <c r="G997" t="s">
        <v>21</v>
      </c>
      <c r="H997">
        <v>28</v>
      </c>
      <c r="I997">
        <v>14</v>
      </c>
      <c r="J997">
        <v>1</v>
      </c>
      <c r="K997" t="s">
        <v>9</v>
      </c>
      <c r="L997" t="s">
        <v>30</v>
      </c>
      <c r="M997" t="s">
        <v>11</v>
      </c>
      <c r="N997" t="s">
        <v>12</v>
      </c>
      <c r="O997">
        <v>2</v>
      </c>
      <c r="P997" t="s">
        <v>48</v>
      </c>
      <c r="Q997">
        <v>2</v>
      </c>
      <c r="R997" t="s">
        <v>14</v>
      </c>
      <c r="S997" t="s">
        <v>31</v>
      </c>
      <c r="T997" t="s">
        <v>16</v>
      </c>
    </row>
    <row r="998" spans="1:20" x14ac:dyDescent="0.3">
      <c r="A998" t="s">
        <v>1047</v>
      </c>
      <c r="B998">
        <v>23</v>
      </c>
      <c r="C998" t="s">
        <v>18</v>
      </c>
      <c r="D998" t="s">
        <v>63</v>
      </c>
      <c r="E998" t="s">
        <v>7</v>
      </c>
      <c r="F998">
        <v>12</v>
      </c>
      <c r="G998" t="s">
        <v>36</v>
      </c>
      <c r="H998">
        <v>21</v>
      </c>
      <c r="I998">
        <v>14</v>
      </c>
      <c r="J998">
        <v>3</v>
      </c>
      <c r="K998" t="s">
        <v>47</v>
      </c>
      <c r="L998" t="s">
        <v>10</v>
      </c>
      <c r="M998" t="s">
        <v>11</v>
      </c>
      <c r="N998" t="s">
        <v>29</v>
      </c>
      <c r="O998">
        <v>4</v>
      </c>
      <c r="P998" t="s">
        <v>48</v>
      </c>
      <c r="Q998">
        <v>5</v>
      </c>
      <c r="R998" t="s">
        <v>49</v>
      </c>
      <c r="S998" t="s">
        <v>15</v>
      </c>
      <c r="T998" t="s">
        <v>58</v>
      </c>
    </row>
    <row r="999" spans="1:20" x14ac:dyDescent="0.3">
      <c r="A999" t="s">
        <v>1048</v>
      </c>
      <c r="B999">
        <v>41</v>
      </c>
      <c r="C999" t="s">
        <v>5</v>
      </c>
      <c r="D999" t="s">
        <v>63</v>
      </c>
      <c r="E999" t="s">
        <v>51</v>
      </c>
      <c r="F999">
        <v>8</v>
      </c>
      <c r="G999" t="s">
        <v>8</v>
      </c>
      <c r="H999">
        <v>58</v>
      </c>
      <c r="I999">
        <v>15</v>
      </c>
      <c r="J999">
        <v>4</v>
      </c>
      <c r="K999" t="s">
        <v>47</v>
      </c>
      <c r="L999" t="s">
        <v>30</v>
      </c>
      <c r="M999" t="s">
        <v>11</v>
      </c>
      <c r="N999" t="s">
        <v>12</v>
      </c>
      <c r="O999">
        <v>2</v>
      </c>
      <c r="P999" t="s">
        <v>24</v>
      </c>
      <c r="Q999">
        <v>2</v>
      </c>
      <c r="R999" t="s">
        <v>49</v>
      </c>
      <c r="S999" t="s">
        <v>31</v>
      </c>
      <c r="T999" t="s">
        <v>44</v>
      </c>
    </row>
    <row r="1000" spans="1:20" x14ac:dyDescent="0.3">
      <c r="A1000" t="s">
        <v>1049</v>
      </c>
      <c r="B1000">
        <v>43</v>
      </c>
      <c r="C1000" t="s">
        <v>34</v>
      </c>
      <c r="D1000" t="s">
        <v>57</v>
      </c>
      <c r="E1000" t="s">
        <v>64</v>
      </c>
      <c r="F1000">
        <v>10</v>
      </c>
      <c r="G1000" t="s">
        <v>36</v>
      </c>
      <c r="H1000">
        <v>28</v>
      </c>
      <c r="I1000">
        <v>5</v>
      </c>
      <c r="J1000">
        <v>4</v>
      </c>
      <c r="K1000" t="s">
        <v>47</v>
      </c>
      <c r="L1000" t="s">
        <v>68</v>
      </c>
      <c r="M1000" t="s">
        <v>38</v>
      </c>
      <c r="N1000" t="s">
        <v>29</v>
      </c>
      <c r="O1000">
        <v>5</v>
      </c>
      <c r="P1000" t="s">
        <v>13</v>
      </c>
      <c r="Q1000">
        <v>3</v>
      </c>
      <c r="R1000" t="s">
        <v>30</v>
      </c>
      <c r="S1000" t="s">
        <v>42</v>
      </c>
      <c r="T1000" t="s">
        <v>55</v>
      </c>
    </row>
    <row r="1001" spans="1:20" x14ac:dyDescent="0.3">
      <c r="A1001" t="s">
        <v>1050</v>
      </c>
      <c r="B1001">
        <v>53</v>
      </c>
      <c r="C1001" t="s">
        <v>5</v>
      </c>
      <c r="D1001" t="s">
        <v>61</v>
      </c>
      <c r="E1001" t="s">
        <v>64</v>
      </c>
      <c r="F1001">
        <v>10</v>
      </c>
      <c r="G1001" t="s">
        <v>21</v>
      </c>
      <c r="H1001">
        <v>41</v>
      </c>
      <c r="I1001">
        <v>2</v>
      </c>
      <c r="J1001">
        <v>1</v>
      </c>
      <c r="K1001" t="s">
        <v>37</v>
      </c>
      <c r="L1001" t="s">
        <v>22</v>
      </c>
      <c r="M1001" t="s">
        <v>38</v>
      </c>
      <c r="N1001" t="s">
        <v>23</v>
      </c>
      <c r="O1001">
        <v>5</v>
      </c>
      <c r="P1001" t="s">
        <v>48</v>
      </c>
      <c r="Q1001">
        <v>1</v>
      </c>
      <c r="R1001" t="s">
        <v>30</v>
      </c>
      <c r="S1001" t="s">
        <v>31</v>
      </c>
      <c r="T1001" t="s">
        <v>44</v>
      </c>
    </row>
  </sheetData>
  <autoFilter ref="A1:T1001" xr:uid="{41545563-AAD0-48CE-AD61-67B25E14B0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C717-4A68-41C6-A6A3-A9D56CF1C4E7}">
  <dimension ref="A1:F1001"/>
  <sheetViews>
    <sheetView topLeftCell="A978" workbookViewId="0">
      <selection activeCell="D12" sqref="D12"/>
    </sheetView>
  </sheetViews>
  <sheetFormatPr defaultRowHeight="15.6" x14ac:dyDescent="0.3"/>
  <cols>
    <col min="1" max="1" width="26.6640625" customWidth="1"/>
    <col min="2" max="3" width="15.5546875" customWidth="1"/>
    <col min="4" max="4" width="21.88671875" customWidth="1"/>
    <col min="5" max="5" width="24.21875" customWidth="1"/>
    <col min="6" max="6" width="17.44140625" customWidth="1"/>
    <col min="7" max="16384" width="8.88671875" style="4"/>
  </cols>
  <sheetData>
    <row r="1" spans="1:6" s="2" customFormat="1" x14ac:dyDescent="0.3">
      <c r="A1" s="18" t="s">
        <v>1065</v>
      </c>
      <c r="B1" s="19" t="s">
        <v>0</v>
      </c>
      <c r="C1" s="19" t="s">
        <v>1071</v>
      </c>
      <c r="D1" s="18" t="s">
        <v>1</v>
      </c>
      <c r="E1" s="18" t="s">
        <v>3</v>
      </c>
      <c r="F1" s="18" t="s">
        <v>1051</v>
      </c>
    </row>
    <row r="2" spans="1:6" x14ac:dyDescent="0.3">
      <c r="A2" t="s">
        <v>4</v>
      </c>
      <c r="B2">
        <f>VLOOKUP('Employee Details'!A2,'Remote work mental helath'!$A$2:$T$1001,2,)</f>
        <v>32</v>
      </c>
      <c r="C2" t="str">
        <f>IF(B2&lt;30,"20-29",IF(B2&lt;40,"30-39",IF(B2&lt;50,"40-49","50+")))</f>
        <v>30-39</v>
      </c>
      <c r="D2" t="str">
        <f>VLOOKUP(A2,'Remote work mental helath'!$A$2:$T$1001,3,)</f>
        <v>Non-binary</v>
      </c>
      <c r="E2" t="str">
        <f>VLOOKUP(A2,'Remote work mental helath'!$A$2:$T$1001,20,)</f>
        <v>Europe</v>
      </c>
      <c r="F2" t="str">
        <f>VLOOKUP(A2,'Remote work mental helath'!$A$2:$T$1001,4,)</f>
        <v>HR</v>
      </c>
    </row>
    <row r="3" spans="1:6" x14ac:dyDescent="0.3">
      <c r="A3" t="s">
        <v>17</v>
      </c>
      <c r="B3">
        <f>VLOOKUP('Employee Details'!A3,'Remote work mental helath'!$A$2:$T$1001,2,)</f>
        <v>40</v>
      </c>
      <c r="C3" t="str">
        <f t="shared" ref="C3:C66" si="0">IF(B3&lt;30,"20-29",IF(B3&lt;40,"30-39",IF(B3&lt;50,"40-49","50+")))</f>
        <v>40-49</v>
      </c>
      <c r="D3" t="str">
        <f>VLOOKUP(A3,'Remote work mental helath'!$A$2:$T$1001,3,)</f>
        <v>Female</v>
      </c>
      <c r="E3" t="str">
        <f>VLOOKUP(A3,'Remote work mental helath'!$A$2:$T$1001,20,)</f>
        <v>Asia</v>
      </c>
      <c r="F3" t="str">
        <f>VLOOKUP(A3,'Remote work mental helath'!$A$2:$T$1001,4,)</f>
        <v>Data Scientist</v>
      </c>
    </row>
    <row r="4" spans="1:6" x14ac:dyDescent="0.3">
      <c r="A4" t="s">
        <v>26</v>
      </c>
      <c r="B4">
        <f>VLOOKUP('Employee Details'!A4,'Remote work mental helath'!$A$2:$T$1001,2,)</f>
        <v>59</v>
      </c>
      <c r="C4" t="str">
        <f t="shared" si="0"/>
        <v>50+</v>
      </c>
      <c r="D4" t="str">
        <f>VLOOKUP(A4,'Remote work mental helath'!$A$2:$T$1001,3,)</f>
        <v>Non-binary</v>
      </c>
      <c r="E4" t="str">
        <f>VLOOKUP(A4,'Remote work mental helath'!$A$2:$T$1001,20,)</f>
        <v>North America</v>
      </c>
      <c r="F4" t="str">
        <f>VLOOKUP(A4,'Remote work mental helath'!$A$2:$T$1001,4,)</f>
        <v>Software Engineer</v>
      </c>
    </row>
    <row r="5" spans="1:6" x14ac:dyDescent="0.3">
      <c r="A5" t="s">
        <v>33</v>
      </c>
      <c r="B5">
        <f>VLOOKUP('Employee Details'!A5,'Remote work mental helath'!$A$2:$T$1001,2,)</f>
        <v>27</v>
      </c>
      <c r="C5" t="str">
        <f t="shared" si="0"/>
        <v>20-29</v>
      </c>
      <c r="D5" t="str">
        <f>VLOOKUP(A5,'Remote work mental helath'!$A$2:$T$1001,3,)</f>
        <v>Male</v>
      </c>
      <c r="E5" t="str">
        <f>VLOOKUP(A5,'Remote work mental helath'!$A$2:$T$1001,20,)</f>
        <v>Europe</v>
      </c>
      <c r="F5" t="str">
        <f>VLOOKUP(A5,'Remote work mental helath'!$A$2:$T$1001,4,)</f>
        <v>Software Engineer</v>
      </c>
    </row>
    <row r="6" spans="1:6" x14ac:dyDescent="0.3">
      <c r="A6" t="s">
        <v>39</v>
      </c>
      <c r="B6">
        <f>VLOOKUP('Employee Details'!A6,'Remote work mental helath'!$A$2:$T$1001,2,)</f>
        <v>49</v>
      </c>
      <c r="C6" t="str">
        <f t="shared" si="0"/>
        <v>40-49</v>
      </c>
      <c r="D6" t="str">
        <f>VLOOKUP(A6,'Remote work mental helath'!$A$2:$T$1001,3,)</f>
        <v>Male</v>
      </c>
      <c r="E6" t="str">
        <f>VLOOKUP(A6,'Remote work mental helath'!$A$2:$T$1001,20,)</f>
        <v>North America</v>
      </c>
      <c r="F6" t="str">
        <f>VLOOKUP(A6,'Remote work mental helath'!$A$2:$T$1001,4,)</f>
        <v>Sales</v>
      </c>
    </row>
    <row r="7" spans="1:6" x14ac:dyDescent="0.3">
      <c r="A7" t="s">
        <v>43</v>
      </c>
      <c r="B7">
        <f>VLOOKUP('Employee Details'!A7,'Remote work mental helath'!$A$2:$T$1001,2,)</f>
        <v>59</v>
      </c>
      <c r="C7" t="str">
        <f t="shared" si="0"/>
        <v>50+</v>
      </c>
      <c r="D7" t="str">
        <f>VLOOKUP(A7,'Remote work mental helath'!$A$2:$T$1001,3,)</f>
        <v>Non-binary</v>
      </c>
      <c r="E7" t="str">
        <f>VLOOKUP(A7,'Remote work mental helath'!$A$2:$T$1001,20,)</f>
        <v>South America</v>
      </c>
      <c r="F7" t="str">
        <f>VLOOKUP(A7,'Remote work mental helath'!$A$2:$T$1001,4,)</f>
        <v>Sales</v>
      </c>
    </row>
    <row r="8" spans="1:6" x14ac:dyDescent="0.3">
      <c r="A8" t="s">
        <v>45</v>
      </c>
      <c r="B8">
        <f>VLOOKUP('Employee Details'!A8,'Remote work mental helath'!$A$2:$T$1001,2,)</f>
        <v>31</v>
      </c>
      <c r="C8" t="str">
        <f t="shared" si="0"/>
        <v>30-39</v>
      </c>
      <c r="D8" t="str">
        <f>VLOOKUP(A8,'Remote work mental helath'!$A$2:$T$1001,3,)</f>
        <v>Prefer not to say</v>
      </c>
      <c r="E8" t="str">
        <f>VLOOKUP(A8,'Remote work mental helath'!$A$2:$T$1001,20,)</f>
        <v>Asia</v>
      </c>
      <c r="F8" t="str">
        <f>VLOOKUP(A8,'Remote work mental helath'!$A$2:$T$1001,4,)</f>
        <v>Sales</v>
      </c>
    </row>
    <row r="9" spans="1:6" x14ac:dyDescent="0.3">
      <c r="A9" t="s">
        <v>50</v>
      </c>
      <c r="B9">
        <f>VLOOKUP('Employee Details'!A9,'Remote work mental helath'!$A$2:$T$1001,2,)</f>
        <v>42</v>
      </c>
      <c r="C9" t="str">
        <f t="shared" si="0"/>
        <v>40-49</v>
      </c>
      <c r="D9" t="str">
        <f>VLOOKUP(A9,'Remote work mental helath'!$A$2:$T$1001,3,)</f>
        <v>Non-binary</v>
      </c>
      <c r="E9" t="str">
        <f>VLOOKUP(A9,'Remote work mental helath'!$A$2:$T$1001,20,)</f>
        <v>North America</v>
      </c>
      <c r="F9" t="str">
        <f>VLOOKUP(A9,'Remote work mental helath'!$A$2:$T$1001,4,)</f>
        <v>Data Scientist</v>
      </c>
    </row>
    <row r="10" spans="1:6" x14ac:dyDescent="0.3">
      <c r="A10" t="s">
        <v>52</v>
      </c>
      <c r="B10">
        <f>VLOOKUP('Employee Details'!A10,'Remote work mental helath'!$A$2:$T$1001,2,)</f>
        <v>56</v>
      </c>
      <c r="C10" t="str">
        <f t="shared" si="0"/>
        <v>50+</v>
      </c>
      <c r="D10" t="str">
        <f>VLOOKUP(A10,'Remote work mental helath'!$A$2:$T$1001,3,)</f>
        <v>Prefer not to say</v>
      </c>
      <c r="E10" t="str">
        <f>VLOOKUP(A10,'Remote work mental helath'!$A$2:$T$1001,20,)</f>
        <v>Europe</v>
      </c>
      <c r="F10" t="str">
        <f>VLOOKUP(A10,'Remote work mental helath'!$A$2:$T$1001,4,)</f>
        <v>Data Scientist</v>
      </c>
    </row>
    <row r="11" spans="1:6" x14ac:dyDescent="0.3">
      <c r="A11" t="s">
        <v>53</v>
      </c>
      <c r="B11">
        <f>VLOOKUP('Employee Details'!A11,'Remote work mental helath'!$A$2:$T$1001,2,)</f>
        <v>30</v>
      </c>
      <c r="C11" t="str">
        <f t="shared" si="0"/>
        <v>30-39</v>
      </c>
      <c r="D11" t="str">
        <f>VLOOKUP(A11,'Remote work mental helath'!$A$2:$T$1001,3,)</f>
        <v>Female</v>
      </c>
      <c r="E11" t="str">
        <f>VLOOKUP(A11,'Remote work mental helath'!$A$2:$T$1001,20,)</f>
        <v>North America</v>
      </c>
      <c r="F11" t="str">
        <f>VLOOKUP(A11,'Remote work mental helath'!$A$2:$T$1001,4,)</f>
        <v>HR</v>
      </c>
    </row>
    <row r="12" spans="1:6" x14ac:dyDescent="0.3">
      <c r="A12" t="s">
        <v>54</v>
      </c>
      <c r="B12">
        <f>VLOOKUP('Employee Details'!A12,'Remote work mental helath'!$A$2:$T$1001,2,)</f>
        <v>33</v>
      </c>
      <c r="C12" t="str">
        <f t="shared" si="0"/>
        <v>30-39</v>
      </c>
      <c r="D12" t="str">
        <f>VLOOKUP(A12,'Remote work mental helath'!$A$2:$T$1001,3,)</f>
        <v>Non-binary</v>
      </c>
      <c r="E12" t="str">
        <f>VLOOKUP(A12,'Remote work mental helath'!$A$2:$T$1001,20,)</f>
        <v>Oceania</v>
      </c>
      <c r="F12" t="str">
        <f>VLOOKUP(A12,'Remote work mental helath'!$A$2:$T$1001,4,)</f>
        <v>Software Engineer</v>
      </c>
    </row>
    <row r="13" spans="1:6" x14ac:dyDescent="0.3">
      <c r="A13" t="s">
        <v>56</v>
      </c>
      <c r="B13">
        <f>VLOOKUP('Employee Details'!A13,'Remote work mental helath'!$A$2:$T$1001,2,)</f>
        <v>47</v>
      </c>
      <c r="C13" t="str">
        <f t="shared" si="0"/>
        <v>40-49</v>
      </c>
      <c r="D13" t="str">
        <f>VLOOKUP(A13,'Remote work mental helath'!$A$2:$T$1001,3,)</f>
        <v>Female</v>
      </c>
      <c r="E13" t="str">
        <f>VLOOKUP(A13,'Remote work mental helath'!$A$2:$T$1001,20,)</f>
        <v>Africa</v>
      </c>
      <c r="F13" t="str">
        <f>VLOOKUP(A13,'Remote work mental helath'!$A$2:$T$1001,4,)</f>
        <v>Marketing</v>
      </c>
    </row>
    <row r="14" spans="1:6" x14ac:dyDescent="0.3">
      <c r="A14" t="s">
        <v>59</v>
      </c>
      <c r="B14">
        <f>VLOOKUP('Employee Details'!A14,'Remote work mental helath'!$A$2:$T$1001,2,)</f>
        <v>40</v>
      </c>
      <c r="C14" t="str">
        <f t="shared" si="0"/>
        <v>40-49</v>
      </c>
      <c r="D14" t="str">
        <f>VLOOKUP(A14,'Remote work mental helath'!$A$2:$T$1001,3,)</f>
        <v>Female</v>
      </c>
      <c r="E14" t="str">
        <f>VLOOKUP(A14,'Remote work mental helath'!$A$2:$T$1001,20,)</f>
        <v>Europe</v>
      </c>
      <c r="F14" t="str">
        <f>VLOOKUP(A14,'Remote work mental helath'!$A$2:$T$1001,4,)</f>
        <v>Marketing</v>
      </c>
    </row>
    <row r="15" spans="1:6" x14ac:dyDescent="0.3">
      <c r="A15" t="s">
        <v>60</v>
      </c>
      <c r="B15">
        <f>VLOOKUP('Employee Details'!A15,'Remote work mental helath'!$A$2:$T$1001,2,)</f>
        <v>51</v>
      </c>
      <c r="C15" t="str">
        <f t="shared" si="0"/>
        <v>50+</v>
      </c>
      <c r="D15" t="str">
        <f>VLOOKUP(A15,'Remote work mental helath'!$A$2:$T$1001,3,)</f>
        <v>Non-binary</v>
      </c>
      <c r="E15" t="str">
        <f>VLOOKUP(A15,'Remote work mental helath'!$A$2:$T$1001,20,)</f>
        <v>North America</v>
      </c>
      <c r="F15" t="str">
        <f>VLOOKUP(A15,'Remote work mental helath'!$A$2:$T$1001,4,)</f>
        <v>Designer</v>
      </c>
    </row>
    <row r="16" spans="1:6" x14ac:dyDescent="0.3">
      <c r="A16" t="s">
        <v>62</v>
      </c>
      <c r="B16">
        <f>VLOOKUP('Employee Details'!A16,'Remote work mental helath'!$A$2:$T$1001,2,)</f>
        <v>36</v>
      </c>
      <c r="C16" t="str">
        <f t="shared" si="0"/>
        <v>30-39</v>
      </c>
      <c r="D16" t="str">
        <f>VLOOKUP(A16,'Remote work mental helath'!$A$2:$T$1001,3,)</f>
        <v>Prefer not to say</v>
      </c>
      <c r="E16" t="str">
        <f>VLOOKUP(A16,'Remote work mental helath'!$A$2:$T$1001,20,)</f>
        <v>Oceania</v>
      </c>
      <c r="F16" t="str">
        <f>VLOOKUP(A16,'Remote work mental helath'!$A$2:$T$1001,4,)</f>
        <v>Project Manager</v>
      </c>
    </row>
    <row r="17" spans="1:6" x14ac:dyDescent="0.3">
      <c r="A17" t="s">
        <v>65</v>
      </c>
      <c r="B17">
        <f>VLOOKUP('Employee Details'!A17,'Remote work mental helath'!$A$2:$T$1001,2,)</f>
        <v>56</v>
      </c>
      <c r="C17" t="str">
        <f t="shared" si="0"/>
        <v>50+</v>
      </c>
      <c r="D17" t="str">
        <f>VLOOKUP(A17,'Remote work mental helath'!$A$2:$T$1001,3,)</f>
        <v>Female</v>
      </c>
      <c r="E17" t="str">
        <f>VLOOKUP(A17,'Remote work mental helath'!$A$2:$T$1001,20,)</f>
        <v>Africa</v>
      </c>
      <c r="F17" t="str">
        <f>VLOOKUP(A17,'Remote work mental helath'!$A$2:$T$1001,4,)</f>
        <v>Sales</v>
      </c>
    </row>
    <row r="18" spans="1:6" x14ac:dyDescent="0.3">
      <c r="A18" t="s">
        <v>66</v>
      </c>
      <c r="B18">
        <f>VLOOKUP('Employee Details'!A18,'Remote work mental helath'!$A$2:$T$1001,2,)</f>
        <v>33</v>
      </c>
      <c r="C18" t="str">
        <f t="shared" si="0"/>
        <v>30-39</v>
      </c>
      <c r="D18" t="str">
        <f>VLOOKUP(A18,'Remote work mental helath'!$A$2:$T$1001,3,)</f>
        <v>Prefer not to say</v>
      </c>
      <c r="E18" t="str">
        <f>VLOOKUP(A18,'Remote work mental helath'!$A$2:$T$1001,20,)</f>
        <v>Africa</v>
      </c>
      <c r="F18" t="str">
        <f>VLOOKUP(A18,'Remote work mental helath'!$A$2:$T$1001,4,)</f>
        <v>HR</v>
      </c>
    </row>
    <row r="19" spans="1:6" x14ac:dyDescent="0.3">
      <c r="A19" t="s">
        <v>67</v>
      </c>
      <c r="B19">
        <f>VLOOKUP('Employee Details'!A19,'Remote work mental helath'!$A$2:$T$1001,2,)</f>
        <v>45</v>
      </c>
      <c r="C19" t="str">
        <f t="shared" si="0"/>
        <v>40-49</v>
      </c>
      <c r="D19" t="str">
        <f>VLOOKUP(A19,'Remote work mental helath'!$A$2:$T$1001,3,)</f>
        <v>Non-binary</v>
      </c>
      <c r="E19" t="str">
        <f>VLOOKUP(A19,'Remote work mental helath'!$A$2:$T$1001,20,)</f>
        <v>Europe</v>
      </c>
      <c r="F19" t="str">
        <f>VLOOKUP(A19,'Remote work mental helath'!$A$2:$T$1001,4,)</f>
        <v>Data Scientist</v>
      </c>
    </row>
    <row r="20" spans="1:6" x14ac:dyDescent="0.3">
      <c r="A20" t="s">
        <v>69</v>
      </c>
      <c r="B20">
        <f>VLOOKUP('Employee Details'!A20,'Remote work mental helath'!$A$2:$T$1001,2,)</f>
        <v>49</v>
      </c>
      <c r="C20" t="str">
        <f t="shared" si="0"/>
        <v>40-49</v>
      </c>
      <c r="D20" t="str">
        <f>VLOOKUP(A20,'Remote work mental helath'!$A$2:$T$1001,3,)</f>
        <v>Non-binary</v>
      </c>
      <c r="E20" t="str">
        <f>VLOOKUP(A20,'Remote work mental helath'!$A$2:$T$1001,20,)</f>
        <v>Oceania</v>
      </c>
      <c r="F20" t="str">
        <f>VLOOKUP(A20,'Remote work mental helath'!$A$2:$T$1001,4,)</f>
        <v>Software Engineer</v>
      </c>
    </row>
    <row r="21" spans="1:6" x14ac:dyDescent="0.3">
      <c r="A21" t="s">
        <v>70</v>
      </c>
      <c r="B21">
        <f>VLOOKUP('Employee Details'!A21,'Remote work mental helath'!$A$2:$T$1001,2,)</f>
        <v>59</v>
      </c>
      <c r="C21" t="str">
        <f t="shared" si="0"/>
        <v>50+</v>
      </c>
      <c r="D21" t="str">
        <f>VLOOKUP(A21,'Remote work mental helath'!$A$2:$T$1001,3,)</f>
        <v>Male</v>
      </c>
      <c r="E21" t="str">
        <f>VLOOKUP(A21,'Remote work mental helath'!$A$2:$T$1001,20,)</f>
        <v>South America</v>
      </c>
      <c r="F21" t="str">
        <f>VLOOKUP(A21,'Remote work mental helath'!$A$2:$T$1001,4,)</f>
        <v>Software Engineer</v>
      </c>
    </row>
    <row r="22" spans="1:6" x14ac:dyDescent="0.3">
      <c r="A22" t="s">
        <v>71</v>
      </c>
      <c r="B22">
        <f>VLOOKUP('Employee Details'!A22,'Remote work mental helath'!$A$2:$T$1001,2,)</f>
        <v>26</v>
      </c>
      <c r="C22" t="str">
        <f t="shared" si="0"/>
        <v>20-29</v>
      </c>
      <c r="D22" t="str">
        <f>VLOOKUP(A22,'Remote work mental helath'!$A$2:$T$1001,3,)</f>
        <v>Female</v>
      </c>
      <c r="E22" t="str">
        <f>VLOOKUP(A22,'Remote work mental helath'!$A$2:$T$1001,20,)</f>
        <v>South America</v>
      </c>
      <c r="F22" t="str">
        <f>VLOOKUP(A22,'Remote work mental helath'!$A$2:$T$1001,4,)</f>
        <v>Sales</v>
      </c>
    </row>
    <row r="23" spans="1:6" x14ac:dyDescent="0.3">
      <c r="A23" t="s">
        <v>72</v>
      </c>
      <c r="B23">
        <f>VLOOKUP('Employee Details'!A23,'Remote work mental helath'!$A$2:$T$1001,2,)</f>
        <v>26</v>
      </c>
      <c r="C23" t="str">
        <f t="shared" si="0"/>
        <v>20-29</v>
      </c>
      <c r="D23" t="str">
        <f>VLOOKUP(A23,'Remote work mental helath'!$A$2:$T$1001,3,)</f>
        <v>Non-binary</v>
      </c>
      <c r="E23" t="str">
        <f>VLOOKUP(A23,'Remote work mental helath'!$A$2:$T$1001,20,)</f>
        <v>North America</v>
      </c>
      <c r="F23" t="str">
        <f>VLOOKUP(A23,'Remote work mental helath'!$A$2:$T$1001,4,)</f>
        <v>Sales</v>
      </c>
    </row>
    <row r="24" spans="1:6" x14ac:dyDescent="0.3">
      <c r="A24" t="s">
        <v>73</v>
      </c>
      <c r="B24">
        <f>VLOOKUP('Employee Details'!A24,'Remote work mental helath'!$A$2:$T$1001,2,)</f>
        <v>43</v>
      </c>
      <c r="C24" t="str">
        <f t="shared" si="0"/>
        <v>40-49</v>
      </c>
      <c r="D24" t="str">
        <f>VLOOKUP(A24,'Remote work mental helath'!$A$2:$T$1001,3,)</f>
        <v>Prefer not to say</v>
      </c>
      <c r="E24" t="str">
        <f>VLOOKUP(A24,'Remote work mental helath'!$A$2:$T$1001,20,)</f>
        <v>Africa</v>
      </c>
      <c r="F24" t="str">
        <f>VLOOKUP(A24,'Remote work mental helath'!$A$2:$T$1001,4,)</f>
        <v>Sales</v>
      </c>
    </row>
    <row r="25" spans="1:6" x14ac:dyDescent="0.3">
      <c r="A25" t="s">
        <v>74</v>
      </c>
      <c r="B25">
        <f>VLOOKUP('Employee Details'!A25,'Remote work mental helath'!$A$2:$T$1001,2,)</f>
        <v>53</v>
      </c>
      <c r="C25" t="str">
        <f t="shared" si="0"/>
        <v>50+</v>
      </c>
      <c r="D25" t="str">
        <f>VLOOKUP(A25,'Remote work mental helath'!$A$2:$T$1001,3,)</f>
        <v>Non-binary</v>
      </c>
      <c r="E25" t="str">
        <f>VLOOKUP(A25,'Remote work mental helath'!$A$2:$T$1001,20,)</f>
        <v>Asia</v>
      </c>
      <c r="F25" t="str">
        <f>VLOOKUP(A25,'Remote work mental helath'!$A$2:$T$1001,4,)</f>
        <v>Marketing</v>
      </c>
    </row>
    <row r="26" spans="1:6" x14ac:dyDescent="0.3">
      <c r="A26" t="s">
        <v>75</v>
      </c>
      <c r="B26">
        <f>VLOOKUP('Employee Details'!A26,'Remote work mental helath'!$A$2:$T$1001,2,)</f>
        <v>56</v>
      </c>
      <c r="C26" t="str">
        <f t="shared" si="0"/>
        <v>50+</v>
      </c>
      <c r="D26" t="str">
        <f>VLOOKUP(A26,'Remote work mental helath'!$A$2:$T$1001,3,)</f>
        <v>Male</v>
      </c>
      <c r="E26" t="str">
        <f>VLOOKUP(A26,'Remote work mental helath'!$A$2:$T$1001,20,)</f>
        <v>North America</v>
      </c>
      <c r="F26" t="str">
        <f>VLOOKUP(A26,'Remote work mental helath'!$A$2:$T$1001,4,)</f>
        <v>Sales</v>
      </c>
    </row>
    <row r="27" spans="1:6" x14ac:dyDescent="0.3">
      <c r="A27" t="s">
        <v>76</v>
      </c>
      <c r="B27">
        <f>VLOOKUP('Employee Details'!A27,'Remote work mental helath'!$A$2:$T$1001,2,)</f>
        <v>49</v>
      </c>
      <c r="C27" t="str">
        <f t="shared" si="0"/>
        <v>40-49</v>
      </c>
      <c r="D27" t="str">
        <f>VLOOKUP(A27,'Remote work mental helath'!$A$2:$T$1001,3,)</f>
        <v>Male</v>
      </c>
      <c r="E27" t="str">
        <f>VLOOKUP(A27,'Remote work mental helath'!$A$2:$T$1001,20,)</f>
        <v>South America</v>
      </c>
      <c r="F27" t="str">
        <f>VLOOKUP(A27,'Remote work mental helath'!$A$2:$T$1001,4,)</f>
        <v>Project Manager</v>
      </c>
    </row>
    <row r="28" spans="1:6" x14ac:dyDescent="0.3">
      <c r="A28" t="s">
        <v>77</v>
      </c>
      <c r="B28">
        <f>VLOOKUP('Employee Details'!A28,'Remote work mental helath'!$A$2:$T$1001,2,)</f>
        <v>36</v>
      </c>
      <c r="C28" t="str">
        <f t="shared" si="0"/>
        <v>30-39</v>
      </c>
      <c r="D28" t="str">
        <f>VLOOKUP(A28,'Remote work mental helath'!$A$2:$T$1001,3,)</f>
        <v>Non-binary</v>
      </c>
      <c r="E28" t="str">
        <f>VLOOKUP(A28,'Remote work mental helath'!$A$2:$T$1001,20,)</f>
        <v>North America</v>
      </c>
      <c r="F28" t="str">
        <f>VLOOKUP(A28,'Remote work mental helath'!$A$2:$T$1001,4,)</f>
        <v>Project Manager</v>
      </c>
    </row>
    <row r="29" spans="1:6" x14ac:dyDescent="0.3">
      <c r="A29" t="s">
        <v>78</v>
      </c>
      <c r="B29">
        <f>VLOOKUP('Employee Details'!A29,'Remote work mental helath'!$A$2:$T$1001,2,)</f>
        <v>53</v>
      </c>
      <c r="C29" t="str">
        <f t="shared" si="0"/>
        <v>50+</v>
      </c>
      <c r="D29" t="str">
        <f>VLOOKUP(A29,'Remote work mental helath'!$A$2:$T$1001,3,)</f>
        <v>Female</v>
      </c>
      <c r="E29" t="str">
        <f>VLOOKUP(A29,'Remote work mental helath'!$A$2:$T$1001,20,)</f>
        <v>Oceania</v>
      </c>
      <c r="F29" t="str">
        <f>VLOOKUP(A29,'Remote work mental helath'!$A$2:$T$1001,4,)</f>
        <v>Project Manager</v>
      </c>
    </row>
    <row r="30" spans="1:6" x14ac:dyDescent="0.3">
      <c r="A30" t="s">
        <v>79</v>
      </c>
      <c r="B30">
        <f>VLOOKUP('Employee Details'!A30,'Remote work mental helath'!$A$2:$T$1001,2,)</f>
        <v>47</v>
      </c>
      <c r="C30" t="str">
        <f t="shared" si="0"/>
        <v>40-49</v>
      </c>
      <c r="D30" t="str">
        <f>VLOOKUP(A30,'Remote work mental helath'!$A$2:$T$1001,3,)</f>
        <v>Prefer not to say</v>
      </c>
      <c r="E30" t="str">
        <f>VLOOKUP(A30,'Remote work mental helath'!$A$2:$T$1001,20,)</f>
        <v>Europe</v>
      </c>
      <c r="F30" t="str">
        <f>VLOOKUP(A30,'Remote work mental helath'!$A$2:$T$1001,4,)</f>
        <v>Sales</v>
      </c>
    </row>
    <row r="31" spans="1:6" x14ac:dyDescent="0.3">
      <c r="A31" t="s">
        <v>80</v>
      </c>
      <c r="B31">
        <f>VLOOKUP('Employee Details'!A31,'Remote work mental helath'!$A$2:$T$1001,2,)</f>
        <v>59</v>
      </c>
      <c r="C31" t="str">
        <f t="shared" si="0"/>
        <v>50+</v>
      </c>
      <c r="D31" t="str">
        <f>VLOOKUP(A31,'Remote work mental helath'!$A$2:$T$1001,3,)</f>
        <v>Male</v>
      </c>
      <c r="E31" t="str">
        <f>VLOOKUP(A31,'Remote work mental helath'!$A$2:$T$1001,20,)</f>
        <v>North America</v>
      </c>
      <c r="F31" t="str">
        <f>VLOOKUP(A31,'Remote work mental helath'!$A$2:$T$1001,4,)</f>
        <v>Software Engineer</v>
      </c>
    </row>
    <row r="32" spans="1:6" x14ac:dyDescent="0.3">
      <c r="A32" t="s">
        <v>81</v>
      </c>
      <c r="B32">
        <f>VLOOKUP('Employee Details'!A32,'Remote work mental helath'!$A$2:$T$1001,2,)</f>
        <v>22</v>
      </c>
      <c r="C32" t="str">
        <f t="shared" si="0"/>
        <v>20-29</v>
      </c>
      <c r="D32" t="str">
        <f>VLOOKUP(A32,'Remote work mental helath'!$A$2:$T$1001,3,)</f>
        <v>Female</v>
      </c>
      <c r="E32" t="str">
        <f>VLOOKUP(A32,'Remote work mental helath'!$A$2:$T$1001,20,)</f>
        <v>Asia</v>
      </c>
      <c r="F32" t="str">
        <f>VLOOKUP(A32,'Remote work mental helath'!$A$2:$T$1001,4,)</f>
        <v>Data Scientist</v>
      </c>
    </row>
    <row r="33" spans="1:6" x14ac:dyDescent="0.3">
      <c r="A33" t="s">
        <v>82</v>
      </c>
      <c r="B33">
        <f>VLOOKUP('Employee Details'!A33,'Remote work mental helath'!$A$2:$T$1001,2,)</f>
        <v>37</v>
      </c>
      <c r="C33" t="str">
        <f t="shared" si="0"/>
        <v>30-39</v>
      </c>
      <c r="D33" t="str">
        <f>VLOOKUP(A33,'Remote work mental helath'!$A$2:$T$1001,3,)</f>
        <v>Prefer not to say</v>
      </c>
      <c r="E33" t="str">
        <f>VLOOKUP(A33,'Remote work mental helath'!$A$2:$T$1001,20,)</f>
        <v>North America</v>
      </c>
      <c r="F33" t="str">
        <f>VLOOKUP(A33,'Remote work mental helath'!$A$2:$T$1001,4,)</f>
        <v>Marketing</v>
      </c>
    </row>
    <row r="34" spans="1:6" x14ac:dyDescent="0.3">
      <c r="A34" t="s">
        <v>83</v>
      </c>
      <c r="B34">
        <f>VLOOKUP('Employee Details'!A34,'Remote work mental helath'!$A$2:$T$1001,2,)</f>
        <v>45</v>
      </c>
      <c r="C34" t="str">
        <f t="shared" si="0"/>
        <v>40-49</v>
      </c>
      <c r="D34" t="str">
        <f>VLOOKUP(A34,'Remote work mental helath'!$A$2:$T$1001,3,)</f>
        <v>Prefer not to say</v>
      </c>
      <c r="E34" t="str">
        <f>VLOOKUP(A34,'Remote work mental helath'!$A$2:$T$1001,20,)</f>
        <v>North America</v>
      </c>
      <c r="F34" t="str">
        <f>VLOOKUP(A34,'Remote work mental helath'!$A$2:$T$1001,4,)</f>
        <v>Project Manager</v>
      </c>
    </row>
    <row r="35" spans="1:6" x14ac:dyDescent="0.3">
      <c r="A35" t="s">
        <v>84</v>
      </c>
      <c r="B35">
        <f>VLOOKUP('Employee Details'!A35,'Remote work mental helath'!$A$2:$T$1001,2,)</f>
        <v>48</v>
      </c>
      <c r="C35" t="str">
        <f t="shared" si="0"/>
        <v>40-49</v>
      </c>
      <c r="D35" t="str">
        <f>VLOOKUP(A35,'Remote work mental helath'!$A$2:$T$1001,3,)</f>
        <v>Male</v>
      </c>
      <c r="E35" t="str">
        <f>VLOOKUP(A35,'Remote work mental helath'!$A$2:$T$1001,20,)</f>
        <v>North America</v>
      </c>
      <c r="F35" t="str">
        <f>VLOOKUP(A35,'Remote work mental helath'!$A$2:$T$1001,4,)</f>
        <v>Software Engineer</v>
      </c>
    </row>
    <row r="36" spans="1:6" x14ac:dyDescent="0.3">
      <c r="A36" t="s">
        <v>85</v>
      </c>
      <c r="B36">
        <f>VLOOKUP('Employee Details'!A36,'Remote work mental helath'!$A$2:$T$1001,2,)</f>
        <v>36</v>
      </c>
      <c r="C36" t="str">
        <f t="shared" si="0"/>
        <v>30-39</v>
      </c>
      <c r="D36" t="str">
        <f>VLOOKUP(A36,'Remote work mental helath'!$A$2:$T$1001,3,)</f>
        <v>Male</v>
      </c>
      <c r="E36" t="str">
        <f>VLOOKUP(A36,'Remote work mental helath'!$A$2:$T$1001,20,)</f>
        <v>Europe</v>
      </c>
      <c r="F36" t="str">
        <f>VLOOKUP(A36,'Remote work mental helath'!$A$2:$T$1001,4,)</f>
        <v>Designer</v>
      </c>
    </row>
    <row r="37" spans="1:6" x14ac:dyDescent="0.3">
      <c r="A37" t="s">
        <v>86</v>
      </c>
      <c r="B37">
        <f>VLOOKUP('Employee Details'!A37,'Remote work mental helath'!$A$2:$T$1001,2,)</f>
        <v>46</v>
      </c>
      <c r="C37" t="str">
        <f t="shared" si="0"/>
        <v>40-49</v>
      </c>
      <c r="D37" t="str">
        <f>VLOOKUP(A37,'Remote work mental helath'!$A$2:$T$1001,3,)</f>
        <v>Prefer not to say</v>
      </c>
      <c r="E37" t="str">
        <f>VLOOKUP(A37,'Remote work mental helath'!$A$2:$T$1001,20,)</f>
        <v>Europe</v>
      </c>
      <c r="F37" t="str">
        <f>VLOOKUP(A37,'Remote work mental helath'!$A$2:$T$1001,4,)</f>
        <v>Sales</v>
      </c>
    </row>
    <row r="38" spans="1:6" x14ac:dyDescent="0.3">
      <c r="A38" t="s">
        <v>87</v>
      </c>
      <c r="B38">
        <f>VLOOKUP('Employee Details'!A38,'Remote work mental helath'!$A$2:$T$1001,2,)</f>
        <v>48</v>
      </c>
      <c r="C38" t="str">
        <f t="shared" si="0"/>
        <v>40-49</v>
      </c>
      <c r="D38" t="str">
        <f>VLOOKUP(A38,'Remote work mental helath'!$A$2:$T$1001,3,)</f>
        <v>Male</v>
      </c>
      <c r="E38" t="str">
        <f>VLOOKUP(A38,'Remote work mental helath'!$A$2:$T$1001,20,)</f>
        <v>Asia</v>
      </c>
      <c r="F38" t="str">
        <f>VLOOKUP(A38,'Remote work mental helath'!$A$2:$T$1001,4,)</f>
        <v>Sales</v>
      </c>
    </row>
    <row r="39" spans="1:6" x14ac:dyDescent="0.3">
      <c r="A39" t="s">
        <v>88</v>
      </c>
      <c r="B39">
        <f>VLOOKUP('Employee Details'!A39,'Remote work mental helath'!$A$2:$T$1001,2,)</f>
        <v>31</v>
      </c>
      <c r="C39" t="str">
        <f t="shared" si="0"/>
        <v>30-39</v>
      </c>
      <c r="D39" t="str">
        <f>VLOOKUP(A39,'Remote work mental helath'!$A$2:$T$1001,3,)</f>
        <v>Female</v>
      </c>
      <c r="E39" t="str">
        <f>VLOOKUP(A39,'Remote work mental helath'!$A$2:$T$1001,20,)</f>
        <v>Asia</v>
      </c>
      <c r="F39" t="str">
        <f>VLOOKUP(A39,'Remote work mental helath'!$A$2:$T$1001,4,)</f>
        <v>Designer</v>
      </c>
    </row>
    <row r="40" spans="1:6" x14ac:dyDescent="0.3">
      <c r="A40" t="s">
        <v>89</v>
      </c>
      <c r="B40">
        <f>VLOOKUP('Employee Details'!A40,'Remote work mental helath'!$A$2:$T$1001,2,)</f>
        <v>24</v>
      </c>
      <c r="C40" t="str">
        <f t="shared" si="0"/>
        <v>20-29</v>
      </c>
      <c r="D40" t="str">
        <f>VLOOKUP(A40,'Remote work mental helath'!$A$2:$T$1001,3,)</f>
        <v>Non-binary</v>
      </c>
      <c r="E40" t="str">
        <f>VLOOKUP(A40,'Remote work mental helath'!$A$2:$T$1001,20,)</f>
        <v>Africa</v>
      </c>
      <c r="F40" t="str">
        <f>VLOOKUP(A40,'Remote work mental helath'!$A$2:$T$1001,4,)</f>
        <v>Sales</v>
      </c>
    </row>
    <row r="41" spans="1:6" x14ac:dyDescent="0.3">
      <c r="A41" t="s">
        <v>90</v>
      </c>
      <c r="B41">
        <f>VLOOKUP('Employee Details'!A41,'Remote work mental helath'!$A$2:$T$1001,2,)</f>
        <v>49</v>
      </c>
      <c r="C41" t="str">
        <f t="shared" si="0"/>
        <v>40-49</v>
      </c>
      <c r="D41" t="str">
        <f>VLOOKUP(A41,'Remote work mental helath'!$A$2:$T$1001,3,)</f>
        <v>Male</v>
      </c>
      <c r="E41" t="str">
        <f>VLOOKUP(A41,'Remote work mental helath'!$A$2:$T$1001,20,)</f>
        <v>Asia</v>
      </c>
      <c r="F41" t="str">
        <f>VLOOKUP(A41,'Remote work mental helath'!$A$2:$T$1001,4,)</f>
        <v>Marketing</v>
      </c>
    </row>
    <row r="42" spans="1:6" x14ac:dyDescent="0.3">
      <c r="A42" t="s">
        <v>91</v>
      </c>
      <c r="B42">
        <f>VLOOKUP('Employee Details'!A42,'Remote work mental helath'!$A$2:$T$1001,2,)</f>
        <v>30</v>
      </c>
      <c r="C42" t="str">
        <f t="shared" si="0"/>
        <v>30-39</v>
      </c>
      <c r="D42" t="str">
        <f>VLOOKUP(A42,'Remote work mental helath'!$A$2:$T$1001,3,)</f>
        <v>Non-binary</v>
      </c>
      <c r="E42" t="str">
        <f>VLOOKUP(A42,'Remote work mental helath'!$A$2:$T$1001,20,)</f>
        <v>Europe</v>
      </c>
      <c r="F42" t="str">
        <f>VLOOKUP(A42,'Remote work mental helath'!$A$2:$T$1001,4,)</f>
        <v>Data Scientist</v>
      </c>
    </row>
    <row r="43" spans="1:6" x14ac:dyDescent="0.3">
      <c r="A43" t="s">
        <v>92</v>
      </c>
      <c r="B43">
        <f>VLOOKUP('Employee Details'!A43,'Remote work mental helath'!$A$2:$T$1001,2,)</f>
        <v>53</v>
      </c>
      <c r="C43" t="str">
        <f t="shared" si="0"/>
        <v>50+</v>
      </c>
      <c r="D43" t="str">
        <f>VLOOKUP(A43,'Remote work mental helath'!$A$2:$T$1001,3,)</f>
        <v>Male</v>
      </c>
      <c r="E43" t="str">
        <f>VLOOKUP(A43,'Remote work mental helath'!$A$2:$T$1001,20,)</f>
        <v>North America</v>
      </c>
      <c r="F43" t="str">
        <f>VLOOKUP(A43,'Remote work mental helath'!$A$2:$T$1001,4,)</f>
        <v>Project Manager</v>
      </c>
    </row>
    <row r="44" spans="1:6" x14ac:dyDescent="0.3">
      <c r="A44" t="s">
        <v>93</v>
      </c>
      <c r="B44">
        <f>VLOOKUP('Employee Details'!A44,'Remote work mental helath'!$A$2:$T$1001,2,)</f>
        <v>54</v>
      </c>
      <c r="C44" t="str">
        <f t="shared" si="0"/>
        <v>50+</v>
      </c>
      <c r="D44" t="str">
        <f>VLOOKUP(A44,'Remote work mental helath'!$A$2:$T$1001,3,)</f>
        <v>Prefer not to say</v>
      </c>
      <c r="E44" t="str">
        <f>VLOOKUP(A44,'Remote work mental helath'!$A$2:$T$1001,20,)</f>
        <v>Europe</v>
      </c>
      <c r="F44" t="str">
        <f>VLOOKUP(A44,'Remote work mental helath'!$A$2:$T$1001,4,)</f>
        <v>Project Manager</v>
      </c>
    </row>
    <row r="45" spans="1:6" x14ac:dyDescent="0.3">
      <c r="A45" t="s">
        <v>94</v>
      </c>
      <c r="B45">
        <f>VLOOKUP('Employee Details'!A45,'Remote work mental helath'!$A$2:$T$1001,2,)</f>
        <v>54</v>
      </c>
      <c r="C45" t="str">
        <f t="shared" si="0"/>
        <v>50+</v>
      </c>
      <c r="D45" t="str">
        <f>VLOOKUP(A45,'Remote work mental helath'!$A$2:$T$1001,3,)</f>
        <v>Female</v>
      </c>
      <c r="E45" t="str">
        <f>VLOOKUP(A45,'Remote work mental helath'!$A$2:$T$1001,20,)</f>
        <v>Europe</v>
      </c>
      <c r="F45" t="str">
        <f>VLOOKUP(A45,'Remote work mental helath'!$A$2:$T$1001,4,)</f>
        <v>Designer</v>
      </c>
    </row>
    <row r="46" spans="1:6" x14ac:dyDescent="0.3">
      <c r="A46" t="s">
        <v>95</v>
      </c>
      <c r="B46">
        <f>VLOOKUP('Employee Details'!A46,'Remote work mental helath'!$A$2:$T$1001,2,)</f>
        <v>57</v>
      </c>
      <c r="C46" t="str">
        <f t="shared" si="0"/>
        <v>50+</v>
      </c>
      <c r="D46" t="str">
        <f>VLOOKUP(A46,'Remote work mental helath'!$A$2:$T$1001,3,)</f>
        <v>Prefer not to say</v>
      </c>
      <c r="E46" t="str">
        <f>VLOOKUP(A46,'Remote work mental helath'!$A$2:$T$1001,20,)</f>
        <v>South America</v>
      </c>
      <c r="F46" t="str">
        <f>VLOOKUP(A46,'Remote work mental helath'!$A$2:$T$1001,4,)</f>
        <v>HR</v>
      </c>
    </row>
    <row r="47" spans="1:6" x14ac:dyDescent="0.3">
      <c r="A47" t="s">
        <v>96</v>
      </c>
      <c r="B47">
        <f>VLOOKUP('Employee Details'!A47,'Remote work mental helath'!$A$2:$T$1001,2,)</f>
        <v>32</v>
      </c>
      <c r="C47" t="str">
        <f t="shared" si="0"/>
        <v>30-39</v>
      </c>
      <c r="D47" t="str">
        <f>VLOOKUP(A47,'Remote work mental helath'!$A$2:$T$1001,3,)</f>
        <v>Male</v>
      </c>
      <c r="E47" t="str">
        <f>VLOOKUP(A47,'Remote work mental helath'!$A$2:$T$1001,20,)</f>
        <v>North America</v>
      </c>
      <c r="F47" t="str">
        <f>VLOOKUP(A47,'Remote work mental helath'!$A$2:$T$1001,4,)</f>
        <v>Marketing</v>
      </c>
    </row>
    <row r="48" spans="1:6" x14ac:dyDescent="0.3">
      <c r="A48" t="s">
        <v>97</v>
      </c>
      <c r="B48">
        <f>VLOOKUP('Employee Details'!A48,'Remote work mental helath'!$A$2:$T$1001,2,)</f>
        <v>33</v>
      </c>
      <c r="C48" t="str">
        <f t="shared" si="0"/>
        <v>30-39</v>
      </c>
      <c r="D48" t="str">
        <f>VLOOKUP(A48,'Remote work mental helath'!$A$2:$T$1001,3,)</f>
        <v>Male</v>
      </c>
      <c r="E48" t="str">
        <f>VLOOKUP(A48,'Remote work mental helath'!$A$2:$T$1001,20,)</f>
        <v>South America</v>
      </c>
      <c r="F48" t="str">
        <f>VLOOKUP(A48,'Remote work mental helath'!$A$2:$T$1001,4,)</f>
        <v>Data Scientist</v>
      </c>
    </row>
    <row r="49" spans="1:6" x14ac:dyDescent="0.3">
      <c r="A49" t="s">
        <v>98</v>
      </c>
      <c r="B49">
        <f>VLOOKUP('Employee Details'!A49,'Remote work mental helath'!$A$2:$T$1001,2,)</f>
        <v>30</v>
      </c>
      <c r="C49" t="str">
        <f t="shared" si="0"/>
        <v>30-39</v>
      </c>
      <c r="D49" t="str">
        <f>VLOOKUP(A49,'Remote work mental helath'!$A$2:$T$1001,3,)</f>
        <v>Female</v>
      </c>
      <c r="E49" t="str">
        <f>VLOOKUP(A49,'Remote work mental helath'!$A$2:$T$1001,20,)</f>
        <v>Oceania</v>
      </c>
      <c r="F49" t="str">
        <f>VLOOKUP(A49,'Remote work mental helath'!$A$2:$T$1001,4,)</f>
        <v>Sales</v>
      </c>
    </row>
    <row r="50" spans="1:6" x14ac:dyDescent="0.3">
      <c r="A50" t="s">
        <v>99</v>
      </c>
      <c r="B50">
        <f>VLOOKUP('Employee Details'!A50,'Remote work mental helath'!$A$2:$T$1001,2,)</f>
        <v>22</v>
      </c>
      <c r="C50" t="str">
        <f t="shared" si="0"/>
        <v>20-29</v>
      </c>
      <c r="D50" t="str">
        <f>VLOOKUP(A50,'Remote work mental helath'!$A$2:$T$1001,3,)</f>
        <v>Female</v>
      </c>
      <c r="E50" t="str">
        <f>VLOOKUP(A50,'Remote work mental helath'!$A$2:$T$1001,20,)</f>
        <v>Africa</v>
      </c>
      <c r="F50" t="str">
        <f>VLOOKUP(A50,'Remote work mental helath'!$A$2:$T$1001,4,)</f>
        <v>HR</v>
      </c>
    </row>
    <row r="51" spans="1:6" x14ac:dyDescent="0.3">
      <c r="A51" t="s">
        <v>100</v>
      </c>
      <c r="B51">
        <f>VLOOKUP('Employee Details'!A51,'Remote work mental helath'!$A$2:$T$1001,2,)</f>
        <v>35</v>
      </c>
      <c r="C51" t="str">
        <f t="shared" si="0"/>
        <v>30-39</v>
      </c>
      <c r="D51" t="str">
        <f>VLOOKUP(A51,'Remote work mental helath'!$A$2:$T$1001,3,)</f>
        <v>Male</v>
      </c>
      <c r="E51" t="str">
        <f>VLOOKUP(A51,'Remote work mental helath'!$A$2:$T$1001,20,)</f>
        <v>Europe</v>
      </c>
      <c r="F51" t="str">
        <f>VLOOKUP(A51,'Remote work mental helath'!$A$2:$T$1001,4,)</f>
        <v>Project Manager</v>
      </c>
    </row>
    <row r="52" spans="1:6" x14ac:dyDescent="0.3">
      <c r="A52" t="s">
        <v>101</v>
      </c>
      <c r="B52">
        <f>VLOOKUP('Employee Details'!A52,'Remote work mental helath'!$A$2:$T$1001,2,)</f>
        <v>26</v>
      </c>
      <c r="C52" t="str">
        <f t="shared" si="0"/>
        <v>20-29</v>
      </c>
      <c r="D52" t="str">
        <f>VLOOKUP(A52,'Remote work mental helath'!$A$2:$T$1001,3,)</f>
        <v>Non-binary</v>
      </c>
      <c r="E52" t="str">
        <f>VLOOKUP(A52,'Remote work mental helath'!$A$2:$T$1001,20,)</f>
        <v>Europe</v>
      </c>
      <c r="F52" t="str">
        <f>VLOOKUP(A52,'Remote work mental helath'!$A$2:$T$1001,4,)</f>
        <v>HR</v>
      </c>
    </row>
    <row r="53" spans="1:6" x14ac:dyDescent="0.3">
      <c r="A53" t="s">
        <v>102</v>
      </c>
      <c r="B53">
        <f>VLOOKUP('Employee Details'!A53,'Remote work mental helath'!$A$2:$T$1001,2,)</f>
        <v>47</v>
      </c>
      <c r="C53" t="str">
        <f t="shared" si="0"/>
        <v>40-49</v>
      </c>
      <c r="D53" t="str">
        <f>VLOOKUP(A53,'Remote work mental helath'!$A$2:$T$1001,3,)</f>
        <v>Male</v>
      </c>
      <c r="E53" t="str">
        <f>VLOOKUP(A53,'Remote work mental helath'!$A$2:$T$1001,20,)</f>
        <v>South America</v>
      </c>
      <c r="F53" t="str">
        <f>VLOOKUP(A53,'Remote work mental helath'!$A$2:$T$1001,4,)</f>
        <v>Sales</v>
      </c>
    </row>
    <row r="54" spans="1:6" x14ac:dyDescent="0.3">
      <c r="A54" t="s">
        <v>103</v>
      </c>
      <c r="B54">
        <f>VLOOKUP('Employee Details'!A54,'Remote work mental helath'!$A$2:$T$1001,2,)</f>
        <v>42</v>
      </c>
      <c r="C54" t="str">
        <f t="shared" si="0"/>
        <v>40-49</v>
      </c>
      <c r="D54" t="str">
        <f>VLOOKUP(A54,'Remote work mental helath'!$A$2:$T$1001,3,)</f>
        <v>Female</v>
      </c>
      <c r="E54" t="str">
        <f>VLOOKUP(A54,'Remote work mental helath'!$A$2:$T$1001,20,)</f>
        <v>South America</v>
      </c>
      <c r="F54" t="str">
        <f>VLOOKUP(A54,'Remote work mental helath'!$A$2:$T$1001,4,)</f>
        <v>Software Engineer</v>
      </c>
    </row>
    <row r="55" spans="1:6" x14ac:dyDescent="0.3">
      <c r="A55" t="s">
        <v>104</v>
      </c>
      <c r="B55">
        <f>VLOOKUP('Employee Details'!A55,'Remote work mental helath'!$A$2:$T$1001,2,)</f>
        <v>60</v>
      </c>
      <c r="C55" t="str">
        <f t="shared" si="0"/>
        <v>50+</v>
      </c>
      <c r="D55" t="str">
        <f>VLOOKUP(A55,'Remote work mental helath'!$A$2:$T$1001,3,)</f>
        <v>Prefer not to say</v>
      </c>
      <c r="E55" t="str">
        <f>VLOOKUP(A55,'Remote work mental helath'!$A$2:$T$1001,20,)</f>
        <v>Asia</v>
      </c>
      <c r="F55" t="str">
        <f>VLOOKUP(A55,'Remote work mental helath'!$A$2:$T$1001,4,)</f>
        <v>Project Manager</v>
      </c>
    </row>
    <row r="56" spans="1:6" x14ac:dyDescent="0.3">
      <c r="A56" t="s">
        <v>105</v>
      </c>
      <c r="B56">
        <f>VLOOKUP('Employee Details'!A56,'Remote work mental helath'!$A$2:$T$1001,2,)</f>
        <v>26</v>
      </c>
      <c r="C56" t="str">
        <f t="shared" si="0"/>
        <v>20-29</v>
      </c>
      <c r="D56" t="str">
        <f>VLOOKUP(A56,'Remote work mental helath'!$A$2:$T$1001,3,)</f>
        <v>Female</v>
      </c>
      <c r="E56" t="str">
        <f>VLOOKUP(A56,'Remote work mental helath'!$A$2:$T$1001,20,)</f>
        <v>Asia</v>
      </c>
      <c r="F56" t="str">
        <f>VLOOKUP(A56,'Remote work mental helath'!$A$2:$T$1001,4,)</f>
        <v>Software Engineer</v>
      </c>
    </row>
    <row r="57" spans="1:6" x14ac:dyDescent="0.3">
      <c r="A57" t="s">
        <v>106</v>
      </c>
      <c r="B57">
        <f>VLOOKUP('Employee Details'!A57,'Remote work mental helath'!$A$2:$T$1001,2,)</f>
        <v>30</v>
      </c>
      <c r="C57" t="str">
        <f t="shared" si="0"/>
        <v>30-39</v>
      </c>
      <c r="D57" t="str">
        <f>VLOOKUP(A57,'Remote work mental helath'!$A$2:$T$1001,3,)</f>
        <v>Non-binary</v>
      </c>
      <c r="E57" t="str">
        <f>VLOOKUP(A57,'Remote work mental helath'!$A$2:$T$1001,20,)</f>
        <v>Africa</v>
      </c>
      <c r="F57" t="str">
        <f>VLOOKUP(A57,'Remote work mental helath'!$A$2:$T$1001,4,)</f>
        <v>Project Manager</v>
      </c>
    </row>
    <row r="58" spans="1:6" x14ac:dyDescent="0.3">
      <c r="A58" t="s">
        <v>107</v>
      </c>
      <c r="B58">
        <f>VLOOKUP('Employee Details'!A58,'Remote work mental helath'!$A$2:$T$1001,2,)</f>
        <v>42</v>
      </c>
      <c r="C58" t="str">
        <f t="shared" si="0"/>
        <v>40-49</v>
      </c>
      <c r="D58" t="str">
        <f>VLOOKUP(A58,'Remote work mental helath'!$A$2:$T$1001,3,)</f>
        <v>Male</v>
      </c>
      <c r="E58" t="str">
        <f>VLOOKUP(A58,'Remote work mental helath'!$A$2:$T$1001,20,)</f>
        <v>Asia</v>
      </c>
      <c r="F58" t="str">
        <f>VLOOKUP(A58,'Remote work mental helath'!$A$2:$T$1001,4,)</f>
        <v>Software Engineer</v>
      </c>
    </row>
    <row r="59" spans="1:6" x14ac:dyDescent="0.3">
      <c r="A59" t="s">
        <v>108</v>
      </c>
      <c r="B59">
        <f>VLOOKUP('Employee Details'!A59,'Remote work mental helath'!$A$2:$T$1001,2,)</f>
        <v>53</v>
      </c>
      <c r="C59" t="str">
        <f t="shared" si="0"/>
        <v>50+</v>
      </c>
      <c r="D59" t="str">
        <f>VLOOKUP(A59,'Remote work mental helath'!$A$2:$T$1001,3,)</f>
        <v>Prefer not to say</v>
      </c>
      <c r="E59" t="str">
        <f>VLOOKUP(A59,'Remote work mental helath'!$A$2:$T$1001,20,)</f>
        <v>South America</v>
      </c>
      <c r="F59" t="str">
        <f>VLOOKUP(A59,'Remote work mental helath'!$A$2:$T$1001,4,)</f>
        <v>HR</v>
      </c>
    </row>
    <row r="60" spans="1:6" x14ac:dyDescent="0.3">
      <c r="A60" t="s">
        <v>109</v>
      </c>
      <c r="B60">
        <f>VLOOKUP('Employee Details'!A60,'Remote work mental helath'!$A$2:$T$1001,2,)</f>
        <v>26</v>
      </c>
      <c r="C60" t="str">
        <f t="shared" si="0"/>
        <v>20-29</v>
      </c>
      <c r="D60" t="str">
        <f>VLOOKUP(A60,'Remote work mental helath'!$A$2:$T$1001,3,)</f>
        <v>Prefer not to say</v>
      </c>
      <c r="E60" t="str">
        <f>VLOOKUP(A60,'Remote work mental helath'!$A$2:$T$1001,20,)</f>
        <v>Oceania</v>
      </c>
      <c r="F60" t="str">
        <f>VLOOKUP(A60,'Remote work mental helath'!$A$2:$T$1001,4,)</f>
        <v>Designer</v>
      </c>
    </row>
    <row r="61" spans="1:6" x14ac:dyDescent="0.3">
      <c r="A61" t="s">
        <v>110</v>
      </c>
      <c r="B61">
        <f>VLOOKUP('Employee Details'!A61,'Remote work mental helath'!$A$2:$T$1001,2,)</f>
        <v>26</v>
      </c>
      <c r="C61" t="str">
        <f t="shared" si="0"/>
        <v>20-29</v>
      </c>
      <c r="D61" t="str">
        <f>VLOOKUP(A61,'Remote work mental helath'!$A$2:$T$1001,3,)</f>
        <v>Prefer not to say</v>
      </c>
      <c r="E61" t="str">
        <f>VLOOKUP(A61,'Remote work mental helath'!$A$2:$T$1001,20,)</f>
        <v>Oceania</v>
      </c>
      <c r="F61" t="str">
        <f>VLOOKUP(A61,'Remote work mental helath'!$A$2:$T$1001,4,)</f>
        <v>Data Scientist</v>
      </c>
    </row>
    <row r="62" spans="1:6" x14ac:dyDescent="0.3">
      <c r="A62" t="s">
        <v>111</v>
      </c>
      <c r="B62">
        <f>VLOOKUP('Employee Details'!A62,'Remote work mental helath'!$A$2:$T$1001,2,)</f>
        <v>25</v>
      </c>
      <c r="C62" t="str">
        <f t="shared" si="0"/>
        <v>20-29</v>
      </c>
      <c r="D62" t="str">
        <f>VLOOKUP(A62,'Remote work mental helath'!$A$2:$T$1001,3,)</f>
        <v>Non-binary</v>
      </c>
      <c r="E62" t="str">
        <f>VLOOKUP(A62,'Remote work mental helath'!$A$2:$T$1001,20,)</f>
        <v>Europe</v>
      </c>
      <c r="F62" t="str">
        <f>VLOOKUP(A62,'Remote work mental helath'!$A$2:$T$1001,4,)</f>
        <v>Sales</v>
      </c>
    </row>
    <row r="63" spans="1:6" x14ac:dyDescent="0.3">
      <c r="A63" t="s">
        <v>112</v>
      </c>
      <c r="B63">
        <f>VLOOKUP('Employee Details'!A63,'Remote work mental helath'!$A$2:$T$1001,2,)</f>
        <v>33</v>
      </c>
      <c r="C63" t="str">
        <f t="shared" si="0"/>
        <v>30-39</v>
      </c>
      <c r="D63" t="str">
        <f>VLOOKUP(A63,'Remote work mental helath'!$A$2:$T$1001,3,)</f>
        <v>Female</v>
      </c>
      <c r="E63" t="str">
        <f>VLOOKUP(A63,'Remote work mental helath'!$A$2:$T$1001,20,)</f>
        <v>North America</v>
      </c>
      <c r="F63" t="str">
        <f>VLOOKUP(A63,'Remote work mental helath'!$A$2:$T$1001,4,)</f>
        <v>Sales</v>
      </c>
    </row>
    <row r="64" spans="1:6" x14ac:dyDescent="0.3">
      <c r="A64" t="s">
        <v>113</v>
      </c>
      <c r="B64">
        <f>VLOOKUP('Employee Details'!A64,'Remote work mental helath'!$A$2:$T$1001,2,)</f>
        <v>25</v>
      </c>
      <c r="C64" t="str">
        <f t="shared" si="0"/>
        <v>20-29</v>
      </c>
      <c r="D64" t="str">
        <f>VLOOKUP(A64,'Remote work mental helath'!$A$2:$T$1001,3,)</f>
        <v>Non-binary</v>
      </c>
      <c r="E64" t="str">
        <f>VLOOKUP(A64,'Remote work mental helath'!$A$2:$T$1001,20,)</f>
        <v>Asia</v>
      </c>
      <c r="F64" t="str">
        <f>VLOOKUP(A64,'Remote work mental helath'!$A$2:$T$1001,4,)</f>
        <v>Project Manager</v>
      </c>
    </row>
    <row r="65" spans="1:6" x14ac:dyDescent="0.3">
      <c r="A65" t="s">
        <v>114</v>
      </c>
      <c r="B65">
        <f>VLOOKUP('Employee Details'!A65,'Remote work mental helath'!$A$2:$T$1001,2,)</f>
        <v>22</v>
      </c>
      <c r="C65" t="str">
        <f t="shared" si="0"/>
        <v>20-29</v>
      </c>
      <c r="D65" t="str">
        <f>VLOOKUP(A65,'Remote work mental helath'!$A$2:$T$1001,3,)</f>
        <v>Female</v>
      </c>
      <c r="E65" t="str">
        <f>VLOOKUP(A65,'Remote work mental helath'!$A$2:$T$1001,20,)</f>
        <v>South America</v>
      </c>
      <c r="F65" t="str">
        <f>VLOOKUP(A65,'Remote work mental helath'!$A$2:$T$1001,4,)</f>
        <v>Software Engineer</v>
      </c>
    </row>
    <row r="66" spans="1:6" x14ac:dyDescent="0.3">
      <c r="A66" t="s">
        <v>115</v>
      </c>
      <c r="B66">
        <f>VLOOKUP('Employee Details'!A66,'Remote work mental helath'!$A$2:$T$1001,2,)</f>
        <v>60</v>
      </c>
      <c r="C66" t="str">
        <f t="shared" si="0"/>
        <v>50+</v>
      </c>
      <c r="D66" t="str">
        <f>VLOOKUP(A66,'Remote work mental helath'!$A$2:$T$1001,3,)</f>
        <v>Prefer not to say</v>
      </c>
      <c r="E66" t="str">
        <f>VLOOKUP(A66,'Remote work mental helath'!$A$2:$T$1001,20,)</f>
        <v>Oceania</v>
      </c>
      <c r="F66" t="str">
        <f>VLOOKUP(A66,'Remote work mental helath'!$A$2:$T$1001,4,)</f>
        <v>Data Scientist</v>
      </c>
    </row>
    <row r="67" spans="1:6" x14ac:dyDescent="0.3">
      <c r="A67" t="s">
        <v>116</v>
      </c>
      <c r="B67">
        <f>VLOOKUP('Employee Details'!A67,'Remote work mental helath'!$A$2:$T$1001,2,)</f>
        <v>56</v>
      </c>
      <c r="C67" t="str">
        <f t="shared" ref="C67:C130" si="1">IF(B67&lt;30,"20-29",IF(B67&lt;40,"30-39",IF(B67&lt;50,"40-49","50+")))</f>
        <v>50+</v>
      </c>
      <c r="D67" t="str">
        <f>VLOOKUP(A67,'Remote work mental helath'!$A$2:$T$1001,3,)</f>
        <v>Male</v>
      </c>
      <c r="E67" t="str">
        <f>VLOOKUP(A67,'Remote work mental helath'!$A$2:$T$1001,20,)</f>
        <v>Europe</v>
      </c>
      <c r="F67" t="str">
        <f>VLOOKUP(A67,'Remote work mental helath'!$A$2:$T$1001,4,)</f>
        <v>HR</v>
      </c>
    </row>
    <row r="68" spans="1:6" x14ac:dyDescent="0.3">
      <c r="A68" t="s">
        <v>117</v>
      </c>
      <c r="B68">
        <f>VLOOKUP('Employee Details'!A68,'Remote work mental helath'!$A$2:$T$1001,2,)</f>
        <v>45</v>
      </c>
      <c r="C68" t="str">
        <f t="shared" si="1"/>
        <v>40-49</v>
      </c>
      <c r="D68" t="str">
        <f>VLOOKUP(A68,'Remote work mental helath'!$A$2:$T$1001,3,)</f>
        <v>Non-binary</v>
      </c>
      <c r="E68" t="str">
        <f>VLOOKUP(A68,'Remote work mental helath'!$A$2:$T$1001,20,)</f>
        <v>Oceania</v>
      </c>
      <c r="F68" t="str">
        <f>VLOOKUP(A68,'Remote work mental helath'!$A$2:$T$1001,4,)</f>
        <v>Software Engineer</v>
      </c>
    </row>
    <row r="69" spans="1:6" x14ac:dyDescent="0.3">
      <c r="A69" t="s">
        <v>118</v>
      </c>
      <c r="B69">
        <f>VLOOKUP('Employee Details'!A69,'Remote work mental helath'!$A$2:$T$1001,2,)</f>
        <v>60</v>
      </c>
      <c r="C69" t="str">
        <f t="shared" si="1"/>
        <v>50+</v>
      </c>
      <c r="D69" t="str">
        <f>VLOOKUP(A69,'Remote work mental helath'!$A$2:$T$1001,3,)</f>
        <v>Female</v>
      </c>
      <c r="E69" t="str">
        <f>VLOOKUP(A69,'Remote work mental helath'!$A$2:$T$1001,20,)</f>
        <v>Oceania</v>
      </c>
      <c r="F69" t="str">
        <f>VLOOKUP(A69,'Remote work mental helath'!$A$2:$T$1001,4,)</f>
        <v>Marketing</v>
      </c>
    </row>
    <row r="70" spans="1:6" x14ac:dyDescent="0.3">
      <c r="A70" t="s">
        <v>119</v>
      </c>
      <c r="B70">
        <f>VLOOKUP('Employee Details'!A70,'Remote work mental helath'!$A$2:$T$1001,2,)</f>
        <v>32</v>
      </c>
      <c r="C70" t="str">
        <f t="shared" si="1"/>
        <v>30-39</v>
      </c>
      <c r="D70" t="str">
        <f>VLOOKUP(A70,'Remote work mental helath'!$A$2:$T$1001,3,)</f>
        <v>Female</v>
      </c>
      <c r="E70" t="str">
        <f>VLOOKUP(A70,'Remote work mental helath'!$A$2:$T$1001,20,)</f>
        <v>South America</v>
      </c>
      <c r="F70" t="str">
        <f>VLOOKUP(A70,'Remote work mental helath'!$A$2:$T$1001,4,)</f>
        <v>Designer</v>
      </c>
    </row>
    <row r="71" spans="1:6" x14ac:dyDescent="0.3">
      <c r="A71" t="s">
        <v>120</v>
      </c>
      <c r="B71">
        <f>VLOOKUP('Employee Details'!A71,'Remote work mental helath'!$A$2:$T$1001,2,)</f>
        <v>25</v>
      </c>
      <c r="C71" t="str">
        <f t="shared" si="1"/>
        <v>20-29</v>
      </c>
      <c r="D71" t="str">
        <f>VLOOKUP(A71,'Remote work mental helath'!$A$2:$T$1001,3,)</f>
        <v>Female</v>
      </c>
      <c r="E71" t="str">
        <f>VLOOKUP(A71,'Remote work mental helath'!$A$2:$T$1001,20,)</f>
        <v>North America</v>
      </c>
      <c r="F71" t="str">
        <f>VLOOKUP(A71,'Remote work mental helath'!$A$2:$T$1001,4,)</f>
        <v>Marketing</v>
      </c>
    </row>
    <row r="72" spans="1:6" x14ac:dyDescent="0.3">
      <c r="A72" t="s">
        <v>121</v>
      </c>
      <c r="B72">
        <f>VLOOKUP('Employee Details'!A72,'Remote work mental helath'!$A$2:$T$1001,2,)</f>
        <v>43</v>
      </c>
      <c r="C72" t="str">
        <f t="shared" si="1"/>
        <v>40-49</v>
      </c>
      <c r="D72" t="str">
        <f>VLOOKUP(A72,'Remote work mental helath'!$A$2:$T$1001,3,)</f>
        <v>Prefer not to say</v>
      </c>
      <c r="E72" t="str">
        <f>VLOOKUP(A72,'Remote work mental helath'!$A$2:$T$1001,20,)</f>
        <v>North America</v>
      </c>
      <c r="F72" t="str">
        <f>VLOOKUP(A72,'Remote work mental helath'!$A$2:$T$1001,4,)</f>
        <v>Marketing</v>
      </c>
    </row>
    <row r="73" spans="1:6" x14ac:dyDescent="0.3">
      <c r="A73" t="s">
        <v>122</v>
      </c>
      <c r="B73">
        <f>VLOOKUP('Employee Details'!A73,'Remote work mental helath'!$A$2:$T$1001,2,)</f>
        <v>50</v>
      </c>
      <c r="C73" t="str">
        <f t="shared" si="1"/>
        <v>50+</v>
      </c>
      <c r="D73" t="str">
        <f>VLOOKUP(A73,'Remote work mental helath'!$A$2:$T$1001,3,)</f>
        <v>Prefer not to say</v>
      </c>
      <c r="E73" t="str">
        <f>VLOOKUP(A73,'Remote work mental helath'!$A$2:$T$1001,20,)</f>
        <v>Oceania</v>
      </c>
      <c r="F73" t="str">
        <f>VLOOKUP(A73,'Remote work mental helath'!$A$2:$T$1001,4,)</f>
        <v>Designer</v>
      </c>
    </row>
    <row r="74" spans="1:6" x14ac:dyDescent="0.3">
      <c r="A74" t="s">
        <v>123</v>
      </c>
      <c r="B74">
        <f>VLOOKUP('Employee Details'!A74,'Remote work mental helath'!$A$2:$T$1001,2,)</f>
        <v>28</v>
      </c>
      <c r="C74" t="str">
        <f t="shared" si="1"/>
        <v>20-29</v>
      </c>
      <c r="D74" t="str">
        <f>VLOOKUP(A74,'Remote work mental helath'!$A$2:$T$1001,3,)</f>
        <v>Prefer not to say</v>
      </c>
      <c r="E74" t="str">
        <f>VLOOKUP(A74,'Remote work mental helath'!$A$2:$T$1001,20,)</f>
        <v>Africa</v>
      </c>
      <c r="F74" t="str">
        <f>VLOOKUP(A74,'Remote work mental helath'!$A$2:$T$1001,4,)</f>
        <v>Designer</v>
      </c>
    </row>
    <row r="75" spans="1:6" x14ac:dyDescent="0.3">
      <c r="A75" t="s">
        <v>124</v>
      </c>
      <c r="B75">
        <f>VLOOKUP('Employee Details'!A75,'Remote work mental helath'!$A$2:$T$1001,2,)</f>
        <v>23</v>
      </c>
      <c r="C75" t="str">
        <f t="shared" si="1"/>
        <v>20-29</v>
      </c>
      <c r="D75" t="str">
        <f>VLOOKUP(A75,'Remote work mental helath'!$A$2:$T$1001,3,)</f>
        <v>Non-binary</v>
      </c>
      <c r="E75" t="str">
        <f>VLOOKUP(A75,'Remote work mental helath'!$A$2:$T$1001,20,)</f>
        <v>Africa</v>
      </c>
      <c r="F75" t="str">
        <f>VLOOKUP(A75,'Remote work mental helath'!$A$2:$T$1001,4,)</f>
        <v>Software Engineer</v>
      </c>
    </row>
    <row r="76" spans="1:6" x14ac:dyDescent="0.3">
      <c r="A76" t="s">
        <v>125</v>
      </c>
      <c r="B76">
        <f>VLOOKUP('Employee Details'!A76,'Remote work mental helath'!$A$2:$T$1001,2,)</f>
        <v>38</v>
      </c>
      <c r="C76" t="str">
        <f t="shared" si="1"/>
        <v>30-39</v>
      </c>
      <c r="D76" t="str">
        <f>VLOOKUP(A76,'Remote work mental helath'!$A$2:$T$1001,3,)</f>
        <v>Prefer not to say</v>
      </c>
      <c r="E76" t="str">
        <f>VLOOKUP(A76,'Remote work mental helath'!$A$2:$T$1001,20,)</f>
        <v>Africa</v>
      </c>
      <c r="F76" t="str">
        <f>VLOOKUP(A76,'Remote work mental helath'!$A$2:$T$1001,4,)</f>
        <v>Project Manager</v>
      </c>
    </row>
    <row r="77" spans="1:6" x14ac:dyDescent="0.3">
      <c r="A77" t="s">
        <v>126</v>
      </c>
      <c r="B77">
        <f>VLOOKUP('Employee Details'!A77,'Remote work mental helath'!$A$2:$T$1001,2,)</f>
        <v>42</v>
      </c>
      <c r="C77" t="str">
        <f t="shared" si="1"/>
        <v>40-49</v>
      </c>
      <c r="D77" t="str">
        <f>VLOOKUP(A77,'Remote work mental helath'!$A$2:$T$1001,3,)</f>
        <v>Male</v>
      </c>
      <c r="E77" t="str">
        <f>VLOOKUP(A77,'Remote work mental helath'!$A$2:$T$1001,20,)</f>
        <v>Asia</v>
      </c>
      <c r="F77" t="str">
        <f>VLOOKUP(A77,'Remote work mental helath'!$A$2:$T$1001,4,)</f>
        <v>Marketing</v>
      </c>
    </row>
    <row r="78" spans="1:6" x14ac:dyDescent="0.3">
      <c r="A78" t="s">
        <v>127</v>
      </c>
      <c r="B78">
        <f>VLOOKUP('Employee Details'!A78,'Remote work mental helath'!$A$2:$T$1001,2,)</f>
        <v>31</v>
      </c>
      <c r="C78" t="str">
        <f t="shared" si="1"/>
        <v>30-39</v>
      </c>
      <c r="D78" t="str">
        <f>VLOOKUP(A78,'Remote work mental helath'!$A$2:$T$1001,3,)</f>
        <v>Non-binary</v>
      </c>
      <c r="E78" t="str">
        <f>VLOOKUP(A78,'Remote work mental helath'!$A$2:$T$1001,20,)</f>
        <v>Europe</v>
      </c>
      <c r="F78" t="str">
        <f>VLOOKUP(A78,'Remote work mental helath'!$A$2:$T$1001,4,)</f>
        <v>HR</v>
      </c>
    </row>
    <row r="79" spans="1:6" x14ac:dyDescent="0.3">
      <c r="A79" t="s">
        <v>128</v>
      </c>
      <c r="B79">
        <f>VLOOKUP('Employee Details'!A79,'Remote work mental helath'!$A$2:$T$1001,2,)</f>
        <v>28</v>
      </c>
      <c r="C79" t="str">
        <f t="shared" si="1"/>
        <v>20-29</v>
      </c>
      <c r="D79" t="str">
        <f>VLOOKUP(A79,'Remote work mental helath'!$A$2:$T$1001,3,)</f>
        <v>Female</v>
      </c>
      <c r="E79" t="str">
        <f>VLOOKUP(A79,'Remote work mental helath'!$A$2:$T$1001,20,)</f>
        <v>South America</v>
      </c>
      <c r="F79" t="str">
        <f>VLOOKUP(A79,'Remote work mental helath'!$A$2:$T$1001,4,)</f>
        <v>Marketing</v>
      </c>
    </row>
    <row r="80" spans="1:6" x14ac:dyDescent="0.3">
      <c r="A80" t="s">
        <v>129</v>
      </c>
      <c r="B80">
        <f>VLOOKUP('Employee Details'!A80,'Remote work mental helath'!$A$2:$T$1001,2,)</f>
        <v>29</v>
      </c>
      <c r="C80" t="str">
        <f t="shared" si="1"/>
        <v>20-29</v>
      </c>
      <c r="D80" t="str">
        <f>VLOOKUP(A80,'Remote work mental helath'!$A$2:$T$1001,3,)</f>
        <v>Male</v>
      </c>
      <c r="E80" t="str">
        <f>VLOOKUP(A80,'Remote work mental helath'!$A$2:$T$1001,20,)</f>
        <v>South America</v>
      </c>
      <c r="F80" t="str">
        <f>VLOOKUP(A80,'Remote work mental helath'!$A$2:$T$1001,4,)</f>
        <v>Data Scientist</v>
      </c>
    </row>
    <row r="81" spans="1:6" x14ac:dyDescent="0.3">
      <c r="A81" t="s">
        <v>130</v>
      </c>
      <c r="B81">
        <f>VLOOKUP('Employee Details'!A81,'Remote work mental helath'!$A$2:$T$1001,2,)</f>
        <v>27</v>
      </c>
      <c r="C81" t="str">
        <f t="shared" si="1"/>
        <v>20-29</v>
      </c>
      <c r="D81" t="str">
        <f>VLOOKUP(A81,'Remote work mental helath'!$A$2:$T$1001,3,)</f>
        <v>Male</v>
      </c>
      <c r="E81" t="str">
        <f>VLOOKUP(A81,'Remote work mental helath'!$A$2:$T$1001,20,)</f>
        <v>Asia</v>
      </c>
      <c r="F81" t="str">
        <f>VLOOKUP(A81,'Remote work mental helath'!$A$2:$T$1001,4,)</f>
        <v>Project Manager</v>
      </c>
    </row>
    <row r="82" spans="1:6" x14ac:dyDescent="0.3">
      <c r="A82" t="s">
        <v>131</v>
      </c>
      <c r="B82">
        <f>VLOOKUP('Employee Details'!A82,'Remote work mental helath'!$A$2:$T$1001,2,)</f>
        <v>54</v>
      </c>
      <c r="C82" t="str">
        <f t="shared" si="1"/>
        <v>50+</v>
      </c>
      <c r="D82" t="str">
        <f>VLOOKUP(A82,'Remote work mental helath'!$A$2:$T$1001,3,)</f>
        <v>Female</v>
      </c>
      <c r="E82" t="str">
        <f>VLOOKUP(A82,'Remote work mental helath'!$A$2:$T$1001,20,)</f>
        <v>Asia</v>
      </c>
      <c r="F82" t="str">
        <f>VLOOKUP(A82,'Remote work mental helath'!$A$2:$T$1001,4,)</f>
        <v>Data Scientist</v>
      </c>
    </row>
    <row r="83" spans="1:6" x14ac:dyDescent="0.3">
      <c r="A83" t="s">
        <v>132</v>
      </c>
      <c r="B83">
        <f>VLOOKUP('Employee Details'!A83,'Remote work mental helath'!$A$2:$T$1001,2,)</f>
        <v>42</v>
      </c>
      <c r="C83" t="str">
        <f t="shared" si="1"/>
        <v>40-49</v>
      </c>
      <c r="D83" t="str">
        <f>VLOOKUP(A83,'Remote work mental helath'!$A$2:$T$1001,3,)</f>
        <v>Non-binary</v>
      </c>
      <c r="E83" t="str">
        <f>VLOOKUP(A83,'Remote work mental helath'!$A$2:$T$1001,20,)</f>
        <v>South America</v>
      </c>
      <c r="F83" t="str">
        <f>VLOOKUP(A83,'Remote work mental helath'!$A$2:$T$1001,4,)</f>
        <v>Software Engineer</v>
      </c>
    </row>
    <row r="84" spans="1:6" x14ac:dyDescent="0.3">
      <c r="A84" t="s">
        <v>133</v>
      </c>
      <c r="B84">
        <f>VLOOKUP('Employee Details'!A84,'Remote work mental helath'!$A$2:$T$1001,2,)</f>
        <v>58</v>
      </c>
      <c r="C84" t="str">
        <f t="shared" si="1"/>
        <v>50+</v>
      </c>
      <c r="D84" t="str">
        <f>VLOOKUP(A84,'Remote work mental helath'!$A$2:$T$1001,3,)</f>
        <v>Prefer not to say</v>
      </c>
      <c r="E84" t="str">
        <f>VLOOKUP(A84,'Remote work mental helath'!$A$2:$T$1001,20,)</f>
        <v>North America</v>
      </c>
      <c r="F84" t="str">
        <f>VLOOKUP(A84,'Remote work mental helath'!$A$2:$T$1001,4,)</f>
        <v>HR</v>
      </c>
    </row>
    <row r="85" spans="1:6" x14ac:dyDescent="0.3">
      <c r="A85" t="s">
        <v>134</v>
      </c>
      <c r="B85">
        <f>VLOOKUP('Employee Details'!A85,'Remote work mental helath'!$A$2:$T$1001,2,)</f>
        <v>26</v>
      </c>
      <c r="C85" t="str">
        <f t="shared" si="1"/>
        <v>20-29</v>
      </c>
      <c r="D85" t="str">
        <f>VLOOKUP(A85,'Remote work mental helath'!$A$2:$T$1001,3,)</f>
        <v>Female</v>
      </c>
      <c r="E85" t="str">
        <f>VLOOKUP(A85,'Remote work mental helath'!$A$2:$T$1001,20,)</f>
        <v>Europe</v>
      </c>
      <c r="F85" t="str">
        <f>VLOOKUP(A85,'Remote work mental helath'!$A$2:$T$1001,4,)</f>
        <v>Project Manager</v>
      </c>
    </row>
    <row r="86" spans="1:6" x14ac:dyDescent="0.3">
      <c r="A86" t="s">
        <v>135</v>
      </c>
      <c r="B86">
        <f>VLOOKUP('Employee Details'!A86,'Remote work mental helath'!$A$2:$T$1001,2,)</f>
        <v>56</v>
      </c>
      <c r="C86" t="str">
        <f t="shared" si="1"/>
        <v>50+</v>
      </c>
      <c r="D86" t="str">
        <f>VLOOKUP(A86,'Remote work mental helath'!$A$2:$T$1001,3,)</f>
        <v>Male</v>
      </c>
      <c r="E86" t="str">
        <f>VLOOKUP(A86,'Remote work mental helath'!$A$2:$T$1001,20,)</f>
        <v>Oceania</v>
      </c>
      <c r="F86" t="str">
        <f>VLOOKUP(A86,'Remote work mental helath'!$A$2:$T$1001,4,)</f>
        <v>Designer</v>
      </c>
    </row>
    <row r="87" spans="1:6" x14ac:dyDescent="0.3">
      <c r="A87" t="s">
        <v>136</v>
      </c>
      <c r="B87">
        <f>VLOOKUP('Employee Details'!A87,'Remote work mental helath'!$A$2:$T$1001,2,)</f>
        <v>50</v>
      </c>
      <c r="C87" t="str">
        <f t="shared" si="1"/>
        <v>50+</v>
      </c>
      <c r="D87" t="str">
        <f>VLOOKUP(A87,'Remote work mental helath'!$A$2:$T$1001,3,)</f>
        <v>Male</v>
      </c>
      <c r="E87" t="str">
        <f>VLOOKUP(A87,'Remote work mental helath'!$A$2:$T$1001,20,)</f>
        <v>Asia</v>
      </c>
      <c r="F87" t="str">
        <f>VLOOKUP(A87,'Remote work mental helath'!$A$2:$T$1001,4,)</f>
        <v>Designer</v>
      </c>
    </row>
    <row r="88" spans="1:6" x14ac:dyDescent="0.3">
      <c r="A88" t="s">
        <v>137</v>
      </c>
      <c r="B88">
        <f>VLOOKUP('Employee Details'!A88,'Remote work mental helath'!$A$2:$T$1001,2,)</f>
        <v>55</v>
      </c>
      <c r="C88" t="str">
        <f t="shared" si="1"/>
        <v>50+</v>
      </c>
      <c r="D88" t="str">
        <f>VLOOKUP(A88,'Remote work mental helath'!$A$2:$T$1001,3,)</f>
        <v>Prefer not to say</v>
      </c>
      <c r="E88" t="str">
        <f>VLOOKUP(A88,'Remote work mental helath'!$A$2:$T$1001,20,)</f>
        <v>North America</v>
      </c>
      <c r="F88" t="str">
        <f>VLOOKUP(A88,'Remote work mental helath'!$A$2:$T$1001,4,)</f>
        <v>Project Manager</v>
      </c>
    </row>
    <row r="89" spans="1:6" x14ac:dyDescent="0.3">
      <c r="A89" t="s">
        <v>138</v>
      </c>
      <c r="B89">
        <f>VLOOKUP('Employee Details'!A89,'Remote work mental helath'!$A$2:$T$1001,2,)</f>
        <v>22</v>
      </c>
      <c r="C89" t="str">
        <f t="shared" si="1"/>
        <v>20-29</v>
      </c>
      <c r="D89" t="str">
        <f>VLOOKUP(A89,'Remote work mental helath'!$A$2:$T$1001,3,)</f>
        <v>Prefer not to say</v>
      </c>
      <c r="E89" t="str">
        <f>VLOOKUP(A89,'Remote work mental helath'!$A$2:$T$1001,20,)</f>
        <v>Africa</v>
      </c>
      <c r="F89" t="str">
        <f>VLOOKUP(A89,'Remote work mental helath'!$A$2:$T$1001,4,)</f>
        <v>Data Scientist</v>
      </c>
    </row>
    <row r="90" spans="1:6" x14ac:dyDescent="0.3">
      <c r="A90" t="s">
        <v>139</v>
      </c>
      <c r="B90">
        <f>VLOOKUP('Employee Details'!A90,'Remote work mental helath'!$A$2:$T$1001,2,)</f>
        <v>24</v>
      </c>
      <c r="C90" t="str">
        <f t="shared" si="1"/>
        <v>20-29</v>
      </c>
      <c r="D90" t="str">
        <f>VLOOKUP(A90,'Remote work mental helath'!$A$2:$T$1001,3,)</f>
        <v>Female</v>
      </c>
      <c r="E90" t="str">
        <f>VLOOKUP(A90,'Remote work mental helath'!$A$2:$T$1001,20,)</f>
        <v>North America</v>
      </c>
      <c r="F90" t="str">
        <f>VLOOKUP(A90,'Remote work mental helath'!$A$2:$T$1001,4,)</f>
        <v>Designer</v>
      </c>
    </row>
    <row r="91" spans="1:6" x14ac:dyDescent="0.3">
      <c r="A91" t="s">
        <v>140</v>
      </c>
      <c r="B91">
        <f>VLOOKUP('Employee Details'!A91,'Remote work mental helath'!$A$2:$T$1001,2,)</f>
        <v>53</v>
      </c>
      <c r="C91" t="str">
        <f t="shared" si="1"/>
        <v>50+</v>
      </c>
      <c r="D91" t="str">
        <f>VLOOKUP(A91,'Remote work mental helath'!$A$2:$T$1001,3,)</f>
        <v>Prefer not to say</v>
      </c>
      <c r="E91" t="str">
        <f>VLOOKUP(A91,'Remote work mental helath'!$A$2:$T$1001,20,)</f>
        <v>Oceania</v>
      </c>
      <c r="F91" t="str">
        <f>VLOOKUP(A91,'Remote work mental helath'!$A$2:$T$1001,4,)</f>
        <v>Marketing</v>
      </c>
    </row>
    <row r="92" spans="1:6" x14ac:dyDescent="0.3">
      <c r="A92" t="s">
        <v>141</v>
      </c>
      <c r="B92">
        <f>VLOOKUP('Employee Details'!A92,'Remote work mental helath'!$A$2:$T$1001,2,)</f>
        <v>57</v>
      </c>
      <c r="C92" t="str">
        <f t="shared" si="1"/>
        <v>50+</v>
      </c>
      <c r="D92" t="str">
        <f>VLOOKUP(A92,'Remote work mental helath'!$A$2:$T$1001,3,)</f>
        <v>Female</v>
      </c>
      <c r="E92" t="str">
        <f>VLOOKUP(A92,'Remote work mental helath'!$A$2:$T$1001,20,)</f>
        <v>Africa</v>
      </c>
      <c r="F92" t="str">
        <f>VLOOKUP(A92,'Remote work mental helath'!$A$2:$T$1001,4,)</f>
        <v>Data Scientist</v>
      </c>
    </row>
    <row r="93" spans="1:6" x14ac:dyDescent="0.3">
      <c r="A93" t="s">
        <v>142</v>
      </c>
      <c r="B93">
        <f>VLOOKUP('Employee Details'!A93,'Remote work mental helath'!$A$2:$T$1001,2,)</f>
        <v>22</v>
      </c>
      <c r="C93" t="str">
        <f t="shared" si="1"/>
        <v>20-29</v>
      </c>
      <c r="D93" t="str">
        <f>VLOOKUP(A93,'Remote work mental helath'!$A$2:$T$1001,3,)</f>
        <v>Female</v>
      </c>
      <c r="E93" t="str">
        <f>VLOOKUP(A93,'Remote work mental helath'!$A$2:$T$1001,20,)</f>
        <v>South America</v>
      </c>
      <c r="F93" t="str">
        <f>VLOOKUP(A93,'Remote work mental helath'!$A$2:$T$1001,4,)</f>
        <v>Software Engineer</v>
      </c>
    </row>
    <row r="94" spans="1:6" x14ac:dyDescent="0.3">
      <c r="A94" t="s">
        <v>143</v>
      </c>
      <c r="B94">
        <f>VLOOKUP('Employee Details'!A94,'Remote work mental helath'!$A$2:$T$1001,2,)</f>
        <v>41</v>
      </c>
      <c r="C94" t="str">
        <f t="shared" si="1"/>
        <v>40-49</v>
      </c>
      <c r="D94" t="str">
        <f>VLOOKUP(A94,'Remote work mental helath'!$A$2:$T$1001,3,)</f>
        <v>Male</v>
      </c>
      <c r="E94" t="str">
        <f>VLOOKUP(A94,'Remote work mental helath'!$A$2:$T$1001,20,)</f>
        <v>Asia</v>
      </c>
      <c r="F94" t="str">
        <f>VLOOKUP(A94,'Remote work mental helath'!$A$2:$T$1001,4,)</f>
        <v>Data Scientist</v>
      </c>
    </row>
    <row r="95" spans="1:6" x14ac:dyDescent="0.3">
      <c r="A95" t="s">
        <v>144</v>
      </c>
      <c r="B95">
        <f>VLOOKUP('Employee Details'!A95,'Remote work mental helath'!$A$2:$T$1001,2,)</f>
        <v>46</v>
      </c>
      <c r="C95" t="str">
        <f t="shared" si="1"/>
        <v>40-49</v>
      </c>
      <c r="D95" t="str">
        <f>VLOOKUP(A95,'Remote work mental helath'!$A$2:$T$1001,3,)</f>
        <v>Non-binary</v>
      </c>
      <c r="E95" t="str">
        <f>VLOOKUP(A95,'Remote work mental helath'!$A$2:$T$1001,20,)</f>
        <v>Europe</v>
      </c>
      <c r="F95" t="str">
        <f>VLOOKUP(A95,'Remote work mental helath'!$A$2:$T$1001,4,)</f>
        <v>Data Scientist</v>
      </c>
    </row>
    <row r="96" spans="1:6" x14ac:dyDescent="0.3">
      <c r="A96" t="s">
        <v>145</v>
      </c>
      <c r="B96">
        <f>VLOOKUP('Employee Details'!A96,'Remote work mental helath'!$A$2:$T$1001,2,)</f>
        <v>60</v>
      </c>
      <c r="C96" t="str">
        <f t="shared" si="1"/>
        <v>50+</v>
      </c>
      <c r="D96" t="str">
        <f>VLOOKUP(A96,'Remote work mental helath'!$A$2:$T$1001,3,)</f>
        <v>Non-binary</v>
      </c>
      <c r="E96" t="str">
        <f>VLOOKUP(A96,'Remote work mental helath'!$A$2:$T$1001,20,)</f>
        <v>Africa</v>
      </c>
      <c r="F96" t="str">
        <f>VLOOKUP(A96,'Remote work mental helath'!$A$2:$T$1001,4,)</f>
        <v>Project Manager</v>
      </c>
    </row>
    <row r="97" spans="1:6" x14ac:dyDescent="0.3">
      <c r="A97" t="s">
        <v>146</v>
      </c>
      <c r="B97">
        <f>VLOOKUP('Employee Details'!A97,'Remote work mental helath'!$A$2:$T$1001,2,)</f>
        <v>44</v>
      </c>
      <c r="C97" t="str">
        <f t="shared" si="1"/>
        <v>40-49</v>
      </c>
      <c r="D97" t="str">
        <f>VLOOKUP(A97,'Remote work mental helath'!$A$2:$T$1001,3,)</f>
        <v>Female</v>
      </c>
      <c r="E97" t="str">
        <f>VLOOKUP(A97,'Remote work mental helath'!$A$2:$T$1001,20,)</f>
        <v>Asia</v>
      </c>
      <c r="F97" t="str">
        <f>VLOOKUP(A97,'Remote work mental helath'!$A$2:$T$1001,4,)</f>
        <v>Project Manager</v>
      </c>
    </row>
    <row r="98" spans="1:6" x14ac:dyDescent="0.3">
      <c r="A98" t="s">
        <v>147</v>
      </c>
      <c r="B98">
        <f>VLOOKUP('Employee Details'!A98,'Remote work mental helath'!$A$2:$T$1001,2,)</f>
        <v>35</v>
      </c>
      <c r="C98" t="str">
        <f t="shared" si="1"/>
        <v>30-39</v>
      </c>
      <c r="D98" t="str">
        <f>VLOOKUP(A98,'Remote work mental helath'!$A$2:$T$1001,3,)</f>
        <v>Male</v>
      </c>
      <c r="E98" t="str">
        <f>VLOOKUP(A98,'Remote work mental helath'!$A$2:$T$1001,20,)</f>
        <v>Africa</v>
      </c>
      <c r="F98" t="str">
        <f>VLOOKUP(A98,'Remote work mental helath'!$A$2:$T$1001,4,)</f>
        <v>Data Scientist</v>
      </c>
    </row>
    <row r="99" spans="1:6" x14ac:dyDescent="0.3">
      <c r="A99" t="s">
        <v>148</v>
      </c>
      <c r="B99">
        <f>VLOOKUP('Employee Details'!A99,'Remote work mental helath'!$A$2:$T$1001,2,)</f>
        <v>48</v>
      </c>
      <c r="C99" t="str">
        <f t="shared" si="1"/>
        <v>40-49</v>
      </c>
      <c r="D99" t="str">
        <f>VLOOKUP(A99,'Remote work mental helath'!$A$2:$T$1001,3,)</f>
        <v>Male</v>
      </c>
      <c r="E99" t="str">
        <f>VLOOKUP(A99,'Remote work mental helath'!$A$2:$T$1001,20,)</f>
        <v>South America</v>
      </c>
      <c r="F99" t="str">
        <f>VLOOKUP(A99,'Remote work mental helath'!$A$2:$T$1001,4,)</f>
        <v>Designer</v>
      </c>
    </row>
    <row r="100" spans="1:6" x14ac:dyDescent="0.3">
      <c r="A100" t="s">
        <v>149</v>
      </c>
      <c r="B100">
        <f>VLOOKUP('Employee Details'!A100,'Remote work mental helath'!$A$2:$T$1001,2,)</f>
        <v>31</v>
      </c>
      <c r="C100" t="str">
        <f t="shared" si="1"/>
        <v>30-39</v>
      </c>
      <c r="D100" t="str">
        <f>VLOOKUP(A100,'Remote work mental helath'!$A$2:$T$1001,3,)</f>
        <v>Prefer not to say</v>
      </c>
      <c r="E100" t="str">
        <f>VLOOKUP(A100,'Remote work mental helath'!$A$2:$T$1001,20,)</f>
        <v>Asia</v>
      </c>
      <c r="F100" t="str">
        <f>VLOOKUP(A100,'Remote work mental helath'!$A$2:$T$1001,4,)</f>
        <v>Data Scientist</v>
      </c>
    </row>
    <row r="101" spans="1:6" x14ac:dyDescent="0.3">
      <c r="A101" t="s">
        <v>150</v>
      </c>
      <c r="B101">
        <f>VLOOKUP('Employee Details'!A101,'Remote work mental helath'!$A$2:$T$1001,2,)</f>
        <v>53</v>
      </c>
      <c r="C101" t="str">
        <f t="shared" si="1"/>
        <v>50+</v>
      </c>
      <c r="D101" t="str">
        <f>VLOOKUP(A101,'Remote work mental helath'!$A$2:$T$1001,3,)</f>
        <v>Male</v>
      </c>
      <c r="E101" t="str">
        <f>VLOOKUP(A101,'Remote work mental helath'!$A$2:$T$1001,20,)</f>
        <v>Africa</v>
      </c>
      <c r="F101" t="str">
        <f>VLOOKUP(A101,'Remote work mental helath'!$A$2:$T$1001,4,)</f>
        <v>Project Manager</v>
      </c>
    </row>
    <row r="102" spans="1:6" x14ac:dyDescent="0.3">
      <c r="A102" t="s">
        <v>151</v>
      </c>
      <c r="B102">
        <f>VLOOKUP('Employee Details'!A102,'Remote work mental helath'!$A$2:$T$1001,2,)</f>
        <v>32</v>
      </c>
      <c r="C102" t="str">
        <f t="shared" si="1"/>
        <v>30-39</v>
      </c>
      <c r="D102" t="str">
        <f>VLOOKUP(A102,'Remote work mental helath'!$A$2:$T$1001,3,)</f>
        <v>Prefer not to say</v>
      </c>
      <c r="E102" t="str">
        <f>VLOOKUP(A102,'Remote work mental helath'!$A$2:$T$1001,20,)</f>
        <v>Asia</v>
      </c>
      <c r="F102" t="str">
        <f>VLOOKUP(A102,'Remote work mental helath'!$A$2:$T$1001,4,)</f>
        <v>Designer</v>
      </c>
    </row>
    <row r="103" spans="1:6" x14ac:dyDescent="0.3">
      <c r="A103" t="s">
        <v>152</v>
      </c>
      <c r="B103">
        <f>VLOOKUP('Employee Details'!A103,'Remote work mental helath'!$A$2:$T$1001,2,)</f>
        <v>33</v>
      </c>
      <c r="C103" t="str">
        <f t="shared" si="1"/>
        <v>30-39</v>
      </c>
      <c r="D103" t="str">
        <f>VLOOKUP(A103,'Remote work mental helath'!$A$2:$T$1001,3,)</f>
        <v>Prefer not to say</v>
      </c>
      <c r="E103" t="str">
        <f>VLOOKUP(A103,'Remote work mental helath'!$A$2:$T$1001,20,)</f>
        <v>Africa</v>
      </c>
      <c r="F103" t="str">
        <f>VLOOKUP(A103,'Remote work mental helath'!$A$2:$T$1001,4,)</f>
        <v>Sales</v>
      </c>
    </row>
    <row r="104" spans="1:6" x14ac:dyDescent="0.3">
      <c r="A104" t="s">
        <v>153</v>
      </c>
      <c r="B104">
        <f>VLOOKUP('Employee Details'!A104,'Remote work mental helath'!$A$2:$T$1001,2,)</f>
        <v>45</v>
      </c>
      <c r="C104" t="str">
        <f t="shared" si="1"/>
        <v>40-49</v>
      </c>
      <c r="D104" t="str">
        <f>VLOOKUP(A104,'Remote work mental helath'!$A$2:$T$1001,3,)</f>
        <v>Prefer not to say</v>
      </c>
      <c r="E104" t="str">
        <f>VLOOKUP(A104,'Remote work mental helath'!$A$2:$T$1001,20,)</f>
        <v>Africa</v>
      </c>
      <c r="F104" t="str">
        <f>VLOOKUP(A104,'Remote work mental helath'!$A$2:$T$1001,4,)</f>
        <v>Sales</v>
      </c>
    </row>
    <row r="105" spans="1:6" x14ac:dyDescent="0.3">
      <c r="A105" t="s">
        <v>154</v>
      </c>
      <c r="B105">
        <f>VLOOKUP('Employee Details'!A105,'Remote work mental helath'!$A$2:$T$1001,2,)</f>
        <v>50</v>
      </c>
      <c r="C105" t="str">
        <f t="shared" si="1"/>
        <v>50+</v>
      </c>
      <c r="D105" t="str">
        <f>VLOOKUP(A105,'Remote work mental helath'!$A$2:$T$1001,3,)</f>
        <v>Male</v>
      </c>
      <c r="E105" t="str">
        <f>VLOOKUP(A105,'Remote work mental helath'!$A$2:$T$1001,20,)</f>
        <v>Africa</v>
      </c>
      <c r="F105" t="str">
        <f>VLOOKUP(A105,'Remote work mental helath'!$A$2:$T$1001,4,)</f>
        <v>Software Engineer</v>
      </c>
    </row>
    <row r="106" spans="1:6" x14ac:dyDescent="0.3">
      <c r="A106" t="s">
        <v>155</v>
      </c>
      <c r="B106">
        <f>VLOOKUP('Employee Details'!A106,'Remote work mental helath'!$A$2:$T$1001,2,)</f>
        <v>41</v>
      </c>
      <c r="C106" t="str">
        <f t="shared" si="1"/>
        <v>40-49</v>
      </c>
      <c r="D106" t="str">
        <f>VLOOKUP(A106,'Remote work mental helath'!$A$2:$T$1001,3,)</f>
        <v>Female</v>
      </c>
      <c r="E106" t="str">
        <f>VLOOKUP(A106,'Remote work mental helath'!$A$2:$T$1001,20,)</f>
        <v>Africa</v>
      </c>
      <c r="F106" t="str">
        <f>VLOOKUP(A106,'Remote work mental helath'!$A$2:$T$1001,4,)</f>
        <v>Designer</v>
      </c>
    </row>
    <row r="107" spans="1:6" x14ac:dyDescent="0.3">
      <c r="A107" t="s">
        <v>156</v>
      </c>
      <c r="B107">
        <f>VLOOKUP('Employee Details'!A107,'Remote work mental helath'!$A$2:$T$1001,2,)</f>
        <v>43</v>
      </c>
      <c r="C107" t="str">
        <f t="shared" si="1"/>
        <v>40-49</v>
      </c>
      <c r="D107" t="str">
        <f>VLOOKUP(A107,'Remote work mental helath'!$A$2:$T$1001,3,)</f>
        <v>Non-binary</v>
      </c>
      <c r="E107" t="str">
        <f>VLOOKUP(A107,'Remote work mental helath'!$A$2:$T$1001,20,)</f>
        <v>South America</v>
      </c>
      <c r="F107" t="str">
        <f>VLOOKUP(A107,'Remote work mental helath'!$A$2:$T$1001,4,)</f>
        <v>Data Scientist</v>
      </c>
    </row>
    <row r="108" spans="1:6" x14ac:dyDescent="0.3">
      <c r="A108" t="s">
        <v>157</v>
      </c>
      <c r="B108">
        <f>VLOOKUP('Employee Details'!A108,'Remote work mental helath'!$A$2:$T$1001,2,)</f>
        <v>29</v>
      </c>
      <c r="C108" t="str">
        <f t="shared" si="1"/>
        <v>20-29</v>
      </c>
      <c r="D108" t="str">
        <f>VLOOKUP(A108,'Remote work mental helath'!$A$2:$T$1001,3,)</f>
        <v>Prefer not to say</v>
      </c>
      <c r="E108" t="str">
        <f>VLOOKUP(A108,'Remote work mental helath'!$A$2:$T$1001,20,)</f>
        <v>South America</v>
      </c>
      <c r="F108" t="str">
        <f>VLOOKUP(A108,'Remote work mental helath'!$A$2:$T$1001,4,)</f>
        <v>HR</v>
      </c>
    </row>
    <row r="109" spans="1:6" x14ac:dyDescent="0.3">
      <c r="A109" t="s">
        <v>158</v>
      </c>
      <c r="B109">
        <f>VLOOKUP('Employee Details'!A109,'Remote work mental helath'!$A$2:$T$1001,2,)</f>
        <v>44</v>
      </c>
      <c r="C109" t="str">
        <f t="shared" si="1"/>
        <v>40-49</v>
      </c>
      <c r="D109" t="str">
        <f>VLOOKUP(A109,'Remote work mental helath'!$A$2:$T$1001,3,)</f>
        <v>Prefer not to say</v>
      </c>
      <c r="E109" t="str">
        <f>VLOOKUP(A109,'Remote work mental helath'!$A$2:$T$1001,20,)</f>
        <v>Europe</v>
      </c>
      <c r="F109" t="str">
        <f>VLOOKUP(A109,'Remote work mental helath'!$A$2:$T$1001,4,)</f>
        <v>Software Engineer</v>
      </c>
    </row>
    <row r="110" spans="1:6" x14ac:dyDescent="0.3">
      <c r="A110" t="s">
        <v>159</v>
      </c>
      <c r="B110">
        <f>VLOOKUP('Employee Details'!A110,'Remote work mental helath'!$A$2:$T$1001,2,)</f>
        <v>50</v>
      </c>
      <c r="C110" t="str">
        <f t="shared" si="1"/>
        <v>50+</v>
      </c>
      <c r="D110" t="str">
        <f>VLOOKUP(A110,'Remote work mental helath'!$A$2:$T$1001,3,)</f>
        <v>Prefer not to say</v>
      </c>
      <c r="E110" t="str">
        <f>VLOOKUP(A110,'Remote work mental helath'!$A$2:$T$1001,20,)</f>
        <v>Oceania</v>
      </c>
      <c r="F110" t="str">
        <f>VLOOKUP(A110,'Remote work mental helath'!$A$2:$T$1001,4,)</f>
        <v>Software Engineer</v>
      </c>
    </row>
    <row r="111" spans="1:6" x14ac:dyDescent="0.3">
      <c r="A111" t="s">
        <v>160</v>
      </c>
      <c r="B111">
        <f>VLOOKUP('Employee Details'!A111,'Remote work mental helath'!$A$2:$T$1001,2,)</f>
        <v>36</v>
      </c>
      <c r="C111" t="str">
        <f t="shared" si="1"/>
        <v>30-39</v>
      </c>
      <c r="D111" t="str">
        <f>VLOOKUP(A111,'Remote work mental helath'!$A$2:$T$1001,3,)</f>
        <v>Male</v>
      </c>
      <c r="E111" t="str">
        <f>VLOOKUP(A111,'Remote work mental helath'!$A$2:$T$1001,20,)</f>
        <v>Asia</v>
      </c>
      <c r="F111" t="str">
        <f>VLOOKUP(A111,'Remote work mental helath'!$A$2:$T$1001,4,)</f>
        <v>Data Scientist</v>
      </c>
    </row>
    <row r="112" spans="1:6" x14ac:dyDescent="0.3">
      <c r="A112" t="s">
        <v>161</v>
      </c>
      <c r="B112">
        <f>VLOOKUP('Employee Details'!A112,'Remote work mental helath'!$A$2:$T$1001,2,)</f>
        <v>34</v>
      </c>
      <c r="C112" t="str">
        <f t="shared" si="1"/>
        <v>30-39</v>
      </c>
      <c r="D112" t="str">
        <f>VLOOKUP(A112,'Remote work mental helath'!$A$2:$T$1001,3,)</f>
        <v>Female</v>
      </c>
      <c r="E112" t="str">
        <f>VLOOKUP(A112,'Remote work mental helath'!$A$2:$T$1001,20,)</f>
        <v>Africa</v>
      </c>
      <c r="F112" t="str">
        <f>VLOOKUP(A112,'Remote work mental helath'!$A$2:$T$1001,4,)</f>
        <v>Data Scientist</v>
      </c>
    </row>
    <row r="113" spans="1:6" x14ac:dyDescent="0.3">
      <c r="A113" t="s">
        <v>162</v>
      </c>
      <c r="B113">
        <f>VLOOKUP('Employee Details'!A113,'Remote work mental helath'!$A$2:$T$1001,2,)</f>
        <v>49</v>
      </c>
      <c r="C113" t="str">
        <f t="shared" si="1"/>
        <v>40-49</v>
      </c>
      <c r="D113" t="str">
        <f>VLOOKUP(A113,'Remote work mental helath'!$A$2:$T$1001,3,)</f>
        <v>Male</v>
      </c>
      <c r="E113" t="str">
        <f>VLOOKUP(A113,'Remote work mental helath'!$A$2:$T$1001,20,)</f>
        <v>Africa</v>
      </c>
      <c r="F113" t="str">
        <f>VLOOKUP(A113,'Remote work mental helath'!$A$2:$T$1001,4,)</f>
        <v>HR</v>
      </c>
    </row>
    <row r="114" spans="1:6" x14ac:dyDescent="0.3">
      <c r="A114" t="s">
        <v>163</v>
      </c>
      <c r="B114">
        <f>VLOOKUP('Employee Details'!A114,'Remote work mental helath'!$A$2:$T$1001,2,)</f>
        <v>45</v>
      </c>
      <c r="C114" t="str">
        <f t="shared" si="1"/>
        <v>40-49</v>
      </c>
      <c r="D114" t="str">
        <f>VLOOKUP(A114,'Remote work mental helath'!$A$2:$T$1001,3,)</f>
        <v>Female</v>
      </c>
      <c r="E114" t="str">
        <f>VLOOKUP(A114,'Remote work mental helath'!$A$2:$T$1001,20,)</f>
        <v>Europe</v>
      </c>
      <c r="F114" t="str">
        <f>VLOOKUP(A114,'Remote work mental helath'!$A$2:$T$1001,4,)</f>
        <v>Marketing</v>
      </c>
    </row>
    <row r="115" spans="1:6" x14ac:dyDescent="0.3">
      <c r="A115" t="s">
        <v>164</v>
      </c>
      <c r="B115">
        <f>VLOOKUP('Employee Details'!A115,'Remote work mental helath'!$A$2:$T$1001,2,)</f>
        <v>45</v>
      </c>
      <c r="C115" t="str">
        <f t="shared" si="1"/>
        <v>40-49</v>
      </c>
      <c r="D115" t="str">
        <f>VLOOKUP(A115,'Remote work mental helath'!$A$2:$T$1001,3,)</f>
        <v>Prefer not to say</v>
      </c>
      <c r="E115" t="str">
        <f>VLOOKUP(A115,'Remote work mental helath'!$A$2:$T$1001,20,)</f>
        <v>Europe</v>
      </c>
      <c r="F115" t="str">
        <f>VLOOKUP(A115,'Remote work mental helath'!$A$2:$T$1001,4,)</f>
        <v>Data Scientist</v>
      </c>
    </row>
    <row r="116" spans="1:6" x14ac:dyDescent="0.3">
      <c r="A116" t="s">
        <v>165</v>
      </c>
      <c r="B116">
        <f>VLOOKUP('Employee Details'!A116,'Remote work mental helath'!$A$2:$T$1001,2,)</f>
        <v>53</v>
      </c>
      <c r="C116" t="str">
        <f t="shared" si="1"/>
        <v>50+</v>
      </c>
      <c r="D116" t="str">
        <f>VLOOKUP(A116,'Remote work mental helath'!$A$2:$T$1001,3,)</f>
        <v>Female</v>
      </c>
      <c r="E116" t="str">
        <f>VLOOKUP(A116,'Remote work mental helath'!$A$2:$T$1001,20,)</f>
        <v>Oceania</v>
      </c>
      <c r="F116" t="str">
        <f>VLOOKUP(A116,'Remote work mental helath'!$A$2:$T$1001,4,)</f>
        <v>Designer</v>
      </c>
    </row>
    <row r="117" spans="1:6" x14ac:dyDescent="0.3">
      <c r="A117" t="s">
        <v>166</v>
      </c>
      <c r="B117">
        <f>VLOOKUP('Employee Details'!A117,'Remote work mental helath'!$A$2:$T$1001,2,)</f>
        <v>29</v>
      </c>
      <c r="C117" t="str">
        <f t="shared" si="1"/>
        <v>20-29</v>
      </c>
      <c r="D117" t="str">
        <f>VLOOKUP(A117,'Remote work mental helath'!$A$2:$T$1001,3,)</f>
        <v>Male</v>
      </c>
      <c r="E117" t="str">
        <f>VLOOKUP(A117,'Remote work mental helath'!$A$2:$T$1001,20,)</f>
        <v>South America</v>
      </c>
      <c r="F117" t="str">
        <f>VLOOKUP(A117,'Remote work mental helath'!$A$2:$T$1001,4,)</f>
        <v>Marketing</v>
      </c>
    </row>
    <row r="118" spans="1:6" x14ac:dyDescent="0.3">
      <c r="A118" t="s">
        <v>167</v>
      </c>
      <c r="B118">
        <f>VLOOKUP('Employee Details'!A118,'Remote work mental helath'!$A$2:$T$1001,2,)</f>
        <v>34</v>
      </c>
      <c r="C118" t="str">
        <f t="shared" si="1"/>
        <v>30-39</v>
      </c>
      <c r="D118" t="str">
        <f>VLOOKUP(A118,'Remote work mental helath'!$A$2:$T$1001,3,)</f>
        <v>Prefer not to say</v>
      </c>
      <c r="E118" t="str">
        <f>VLOOKUP(A118,'Remote work mental helath'!$A$2:$T$1001,20,)</f>
        <v>North America</v>
      </c>
      <c r="F118" t="str">
        <f>VLOOKUP(A118,'Remote work mental helath'!$A$2:$T$1001,4,)</f>
        <v>Project Manager</v>
      </c>
    </row>
    <row r="119" spans="1:6" x14ac:dyDescent="0.3">
      <c r="A119" t="s">
        <v>168</v>
      </c>
      <c r="B119">
        <f>VLOOKUP('Employee Details'!A119,'Remote work mental helath'!$A$2:$T$1001,2,)</f>
        <v>58</v>
      </c>
      <c r="C119" t="str">
        <f t="shared" si="1"/>
        <v>50+</v>
      </c>
      <c r="D119" t="str">
        <f>VLOOKUP(A119,'Remote work mental helath'!$A$2:$T$1001,3,)</f>
        <v>Female</v>
      </c>
      <c r="E119" t="str">
        <f>VLOOKUP(A119,'Remote work mental helath'!$A$2:$T$1001,20,)</f>
        <v>Europe</v>
      </c>
      <c r="F119" t="str">
        <f>VLOOKUP(A119,'Remote work mental helath'!$A$2:$T$1001,4,)</f>
        <v>Data Scientist</v>
      </c>
    </row>
    <row r="120" spans="1:6" x14ac:dyDescent="0.3">
      <c r="A120" t="s">
        <v>169</v>
      </c>
      <c r="B120">
        <f>VLOOKUP('Employee Details'!A120,'Remote work mental helath'!$A$2:$T$1001,2,)</f>
        <v>38</v>
      </c>
      <c r="C120" t="str">
        <f t="shared" si="1"/>
        <v>30-39</v>
      </c>
      <c r="D120" t="str">
        <f>VLOOKUP(A120,'Remote work mental helath'!$A$2:$T$1001,3,)</f>
        <v>Female</v>
      </c>
      <c r="E120" t="str">
        <f>VLOOKUP(A120,'Remote work mental helath'!$A$2:$T$1001,20,)</f>
        <v>Europe</v>
      </c>
      <c r="F120" t="str">
        <f>VLOOKUP(A120,'Remote work mental helath'!$A$2:$T$1001,4,)</f>
        <v>Data Scientist</v>
      </c>
    </row>
    <row r="121" spans="1:6" x14ac:dyDescent="0.3">
      <c r="A121" t="s">
        <v>170</v>
      </c>
      <c r="B121">
        <f>VLOOKUP('Employee Details'!A121,'Remote work mental helath'!$A$2:$T$1001,2,)</f>
        <v>40</v>
      </c>
      <c r="C121" t="str">
        <f t="shared" si="1"/>
        <v>40-49</v>
      </c>
      <c r="D121" t="str">
        <f>VLOOKUP(A121,'Remote work mental helath'!$A$2:$T$1001,3,)</f>
        <v>Prefer not to say</v>
      </c>
      <c r="E121" t="str">
        <f>VLOOKUP(A121,'Remote work mental helath'!$A$2:$T$1001,20,)</f>
        <v>Africa</v>
      </c>
      <c r="F121" t="str">
        <f>VLOOKUP(A121,'Remote work mental helath'!$A$2:$T$1001,4,)</f>
        <v>Project Manager</v>
      </c>
    </row>
    <row r="122" spans="1:6" x14ac:dyDescent="0.3">
      <c r="A122" t="s">
        <v>171</v>
      </c>
      <c r="B122">
        <f>VLOOKUP('Employee Details'!A122,'Remote work mental helath'!$A$2:$T$1001,2,)</f>
        <v>45</v>
      </c>
      <c r="C122" t="str">
        <f t="shared" si="1"/>
        <v>40-49</v>
      </c>
      <c r="D122" t="str">
        <f>VLOOKUP(A122,'Remote work mental helath'!$A$2:$T$1001,3,)</f>
        <v>Prefer not to say</v>
      </c>
      <c r="E122" t="str">
        <f>VLOOKUP(A122,'Remote work mental helath'!$A$2:$T$1001,20,)</f>
        <v>South America</v>
      </c>
      <c r="F122" t="str">
        <f>VLOOKUP(A122,'Remote work mental helath'!$A$2:$T$1001,4,)</f>
        <v>Project Manager</v>
      </c>
    </row>
    <row r="123" spans="1:6" x14ac:dyDescent="0.3">
      <c r="A123" t="s">
        <v>172</v>
      </c>
      <c r="B123">
        <f>VLOOKUP('Employee Details'!A123,'Remote work mental helath'!$A$2:$T$1001,2,)</f>
        <v>43</v>
      </c>
      <c r="C123" t="str">
        <f t="shared" si="1"/>
        <v>40-49</v>
      </c>
      <c r="D123" t="str">
        <f>VLOOKUP(A123,'Remote work mental helath'!$A$2:$T$1001,3,)</f>
        <v>Non-binary</v>
      </c>
      <c r="E123" t="str">
        <f>VLOOKUP(A123,'Remote work mental helath'!$A$2:$T$1001,20,)</f>
        <v>Europe</v>
      </c>
      <c r="F123" t="str">
        <f>VLOOKUP(A123,'Remote work mental helath'!$A$2:$T$1001,4,)</f>
        <v>Marketing</v>
      </c>
    </row>
    <row r="124" spans="1:6" x14ac:dyDescent="0.3">
      <c r="A124" t="s">
        <v>173</v>
      </c>
      <c r="B124">
        <f>VLOOKUP('Employee Details'!A124,'Remote work mental helath'!$A$2:$T$1001,2,)</f>
        <v>50</v>
      </c>
      <c r="C124" t="str">
        <f t="shared" si="1"/>
        <v>50+</v>
      </c>
      <c r="D124" t="str">
        <f>VLOOKUP(A124,'Remote work mental helath'!$A$2:$T$1001,3,)</f>
        <v>Male</v>
      </c>
      <c r="E124" t="str">
        <f>VLOOKUP(A124,'Remote work mental helath'!$A$2:$T$1001,20,)</f>
        <v>Africa</v>
      </c>
      <c r="F124" t="str">
        <f>VLOOKUP(A124,'Remote work mental helath'!$A$2:$T$1001,4,)</f>
        <v>Software Engineer</v>
      </c>
    </row>
    <row r="125" spans="1:6" x14ac:dyDescent="0.3">
      <c r="A125" t="s">
        <v>174</v>
      </c>
      <c r="B125">
        <f>VLOOKUP('Employee Details'!A125,'Remote work mental helath'!$A$2:$T$1001,2,)</f>
        <v>58</v>
      </c>
      <c r="C125" t="str">
        <f t="shared" si="1"/>
        <v>50+</v>
      </c>
      <c r="D125" t="str">
        <f>VLOOKUP(A125,'Remote work mental helath'!$A$2:$T$1001,3,)</f>
        <v>Prefer not to say</v>
      </c>
      <c r="E125" t="str">
        <f>VLOOKUP(A125,'Remote work mental helath'!$A$2:$T$1001,20,)</f>
        <v>North America</v>
      </c>
      <c r="F125" t="str">
        <f>VLOOKUP(A125,'Remote work mental helath'!$A$2:$T$1001,4,)</f>
        <v>Sales</v>
      </c>
    </row>
    <row r="126" spans="1:6" x14ac:dyDescent="0.3">
      <c r="A126" t="s">
        <v>175</v>
      </c>
      <c r="B126">
        <f>VLOOKUP('Employee Details'!A126,'Remote work mental helath'!$A$2:$T$1001,2,)</f>
        <v>42</v>
      </c>
      <c r="C126" t="str">
        <f t="shared" si="1"/>
        <v>40-49</v>
      </c>
      <c r="D126" t="str">
        <f>VLOOKUP(A126,'Remote work mental helath'!$A$2:$T$1001,3,)</f>
        <v>Non-binary</v>
      </c>
      <c r="E126" t="str">
        <f>VLOOKUP(A126,'Remote work mental helath'!$A$2:$T$1001,20,)</f>
        <v>South America</v>
      </c>
      <c r="F126" t="str">
        <f>VLOOKUP(A126,'Remote work mental helath'!$A$2:$T$1001,4,)</f>
        <v>HR</v>
      </c>
    </row>
    <row r="127" spans="1:6" x14ac:dyDescent="0.3">
      <c r="A127" t="s">
        <v>176</v>
      </c>
      <c r="B127">
        <f>VLOOKUP('Employee Details'!A127,'Remote work mental helath'!$A$2:$T$1001,2,)</f>
        <v>53</v>
      </c>
      <c r="C127" t="str">
        <f t="shared" si="1"/>
        <v>50+</v>
      </c>
      <c r="D127" t="str">
        <f>VLOOKUP(A127,'Remote work mental helath'!$A$2:$T$1001,3,)</f>
        <v>Prefer not to say</v>
      </c>
      <c r="E127" t="str">
        <f>VLOOKUP(A127,'Remote work mental helath'!$A$2:$T$1001,20,)</f>
        <v>South America</v>
      </c>
      <c r="F127" t="str">
        <f>VLOOKUP(A127,'Remote work mental helath'!$A$2:$T$1001,4,)</f>
        <v>Data Scientist</v>
      </c>
    </row>
    <row r="128" spans="1:6" x14ac:dyDescent="0.3">
      <c r="A128" t="s">
        <v>177</v>
      </c>
      <c r="B128">
        <f>VLOOKUP('Employee Details'!A128,'Remote work mental helath'!$A$2:$T$1001,2,)</f>
        <v>36</v>
      </c>
      <c r="C128" t="str">
        <f t="shared" si="1"/>
        <v>30-39</v>
      </c>
      <c r="D128" t="str">
        <f>VLOOKUP(A128,'Remote work mental helath'!$A$2:$T$1001,3,)</f>
        <v>Female</v>
      </c>
      <c r="E128" t="str">
        <f>VLOOKUP(A128,'Remote work mental helath'!$A$2:$T$1001,20,)</f>
        <v>North America</v>
      </c>
      <c r="F128" t="str">
        <f>VLOOKUP(A128,'Remote work mental helath'!$A$2:$T$1001,4,)</f>
        <v>Marketing</v>
      </c>
    </row>
    <row r="129" spans="1:6" x14ac:dyDescent="0.3">
      <c r="A129" t="s">
        <v>178</v>
      </c>
      <c r="B129">
        <f>VLOOKUP('Employee Details'!A129,'Remote work mental helath'!$A$2:$T$1001,2,)</f>
        <v>51</v>
      </c>
      <c r="C129" t="str">
        <f t="shared" si="1"/>
        <v>50+</v>
      </c>
      <c r="D129" t="str">
        <f>VLOOKUP(A129,'Remote work mental helath'!$A$2:$T$1001,3,)</f>
        <v>Female</v>
      </c>
      <c r="E129" t="str">
        <f>VLOOKUP(A129,'Remote work mental helath'!$A$2:$T$1001,20,)</f>
        <v>Europe</v>
      </c>
      <c r="F129" t="str">
        <f>VLOOKUP(A129,'Remote work mental helath'!$A$2:$T$1001,4,)</f>
        <v>Project Manager</v>
      </c>
    </row>
    <row r="130" spans="1:6" x14ac:dyDescent="0.3">
      <c r="A130" t="s">
        <v>179</v>
      </c>
      <c r="B130">
        <f>VLOOKUP('Employee Details'!A130,'Remote work mental helath'!$A$2:$T$1001,2,)</f>
        <v>27</v>
      </c>
      <c r="C130" t="str">
        <f t="shared" si="1"/>
        <v>20-29</v>
      </c>
      <c r="D130" t="str">
        <f>VLOOKUP(A130,'Remote work mental helath'!$A$2:$T$1001,3,)</f>
        <v>Female</v>
      </c>
      <c r="E130" t="str">
        <f>VLOOKUP(A130,'Remote work mental helath'!$A$2:$T$1001,20,)</f>
        <v>Europe</v>
      </c>
      <c r="F130" t="str">
        <f>VLOOKUP(A130,'Remote work mental helath'!$A$2:$T$1001,4,)</f>
        <v>Designer</v>
      </c>
    </row>
    <row r="131" spans="1:6" x14ac:dyDescent="0.3">
      <c r="A131" t="s">
        <v>180</v>
      </c>
      <c r="B131">
        <f>VLOOKUP('Employee Details'!A131,'Remote work mental helath'!$A$2:$T$1001,2,)</f>
        <v>22</v>
      </c>
      <c r="C131" t="str">
        <f t="shared" ref="C131:C194" si="2">IF(B131&lt;30,"20-29",IF(B131&lt;40,"30-39",IF(B131&lt;50,"40-49","50+")))</f>
        <v>20-29</v>
      </c>
      <c r="D131" t="str">
        <f>VLOOKUP(A131,'Remote work mental helath'!$A$2:$T$1001,3,)</f>
        <v>Female</v>
      </c>
      <c r="E131" t="str">
        <f>VLOOKUP(A131,'Remote work mental helath'!$A$2:$T$1001,20,)</f>
        <v>Oceania</v>
      </c>
      <c r="F131" t="str">
        <f>VLOOKUP(A131,'Remote work mental helath'!$A$2:$T$1001,4,)</f>
        <v>Sales</v>
      </c>
    </row>
    <row r="132" spans="1:6" x14ac:dyDescent="0.3">
      <c r="A132" t="s">
        <v>181</v>
      </c>
      <c r="B132">
        <f>VLOOKUP('Employee Details'!A132,'Remote work mental helath'!$A$2:$T$1001,2,)</f>
        <v>32</v>
      </c>
      <c r="C132" t="str">
        <f t="shared" si="2"/>
        <v>30-39</v>
      </c>
      <c r="D132" t="str">
        <f>VLOOKUP(A132,'Remote work mental helath'!$A$2:$T$1001,3,)</f>
        <v>Female</v>
      </c>
      <c r="E132" t="str">
        <f>VLOOKUP(A132,'Remote work mental helath'!$A$2:$T$1001,20,)</f>
        <v>Africa</v>
      </c>
      <c r="F132" t="str">
        <f>VLOOKUP(A132,'Remote work mental helath'!$A$2:$T$1001,4,)</f>
        <v>Designer</v>
      </c>
    </row>
    <row r="133" spans="1:6" x14ac:dyDescent="0.3">
      <c r="A133" t="s">
        <v>182</v>
      </c>
      <c r="B133">
        <f>VLOOKUP('Employee Details'!A133,'Remote work mental helath'!$A$2:$T$1001,2,)</f>
        <v>32</v>
      </c>
      <c r="C133" t="str">
        <f t="shared" si="2"/>
        <v>30-39</v>
      </c>
      <c r="D133" t="str">
        <f>VLOOKUP(A133,'Remote work mental helath'!$A$2:$T$1001,3,)</f>
        <v>Female</v>
      </c>
      <c r="E133" t="str">
        <f>VLOOKUP(A133,'Remote work mental helath'!$A$2:$T$1001,20,)</f>
        <v>Africa</v>
      </c>
      <c r="F133" t="str">
        <f>VLOOKUP(A133,'Remote work mental helath'!$A$2:$T$1001,4,)</f>
        <v>Marketing</v>
      </c>
    </row>
    <row r="134" spans="1:6" x14ac:dyDescent="0.3">
      <c r="A134" t="s">
        <v>183</v>
      </c>
      <c r="B134">
        <f>VLOOKUP('Employee Details'!A134,'Remote work mental helath'!$A$2:$T$1001,2,)</f>
        <v>53</v>
      </c>
      <c r="C134" t="str">
        <f t="shared" si="2"/>
        <v>50+</v>
      </c>
      <c r="D134" t="str">
        <f>VLOOKUP(A134,'Remote work mental helath'!$A$2:$T$1001,3,)</f>
        <v>Male</v>
      </c>
      <c r="E134" t="str">
        <f>VLOOKUP(A134,'Remote work mental helath'!$A$2:$T$1001,20,)</f>
        <v>South America</v>
      </c>
      <c r="F134" t="str">
        <f>VLOOKUP(A134,'Remote work mental helath'!$A$2:$T$1001,4,)</f>
        <v>Marketing</v>
      </c>
    </row>
    <row r="135" spans="1:6" x14ac:dyDescent="0.3">
      <c r="A135" t="s">
        <v>184</v>
      </c>
      <c r="B135">
        <f>VLOOKUP('Employee Details'!A135,'Remote work mental helath'!$A$2:$T$1001,2,)</f>
        <v>26</v>
      </c>
      <c r="C135" t="str">
        <f t="shared" si="2"/>
        <v>20-29</v>
      </c>
      <c r="D135" t="str">
        <f>VLOOKUP(A135,'Remote work mental helath'!$A$2:$T$1001,3,)</f>
        <v>Non-binary</v>
      </c>
      <c r="E135" t="str">
        <f>VLOOKUP(A135,'Remote work mental helath'!$A$2:$T$1001,20,)</f>
        <v>Europe</v>
      </c>
      <c r="F135" t="str">
        <f>VLOOKUP(A135,'Remote work mental helath'!$A$2:$T$1001,4,)</f>
        <v>Marketing</v>
      </c>
    </row>
    <row r="136" spans="1:6" x14ac:dyDescent="0.3">
      <c r="A136" t="s">
        <v>185</v>
      </c>
      <c r="B136">
        <f>VLOOKUP('Employee Details'!A136,'Remote work mental helath'!$A$2:$T$1001,2,)</f>
        <v>60</v>
      </c>
      <c r="C136" t="str">
        <f t="shared" si="2"/>
        <v>50+</v>
      </c>
      <c r="D136" t="str">
        <f>VLOOKUP(A136,'Remote work mental helath'!$A$2:$T$1001,3,)</f>
        <v>Male</v>
      </c>
      <c r="E136" t="str">
        <f>VLOOKUP(A136,'Remote work mental helath'!$A$2:$T$1001,20,)</f>
        <v>Oceania</v>
      </c>
      <c r="F136" t="str">
        <f>VLOOKUP(A136,'Remote work mental helath'!$A$2:$T$1001,4,)</f>
        <v>Marketing</v>
      </c>
    </row>
    <row r="137" spans="1:6" x14ac:dyDescent="0.3">
      <c r="A137" t="s">
        <v>186</v>
      </c>
      <c r="B137">
        <f>VLOOKUP('Employee Details'!A137,'Remote work mental helath'!$A$2:$T$1001,2,)</f>
        <v>51</v>
      </c>
      <c r="C137" t="str">
        <f t="shared" si="2"/>
        <v>50+</v>
      </c>
      <c r="D137" t="str">
        <f>VLOOKUP(A137,'Remote work mental helath'!$A$2:$T$1001,3,)</f>
        <v>Non-binary</v>
      </c>
      <c r="E137" t="str">
        <f>VLOOKUP(A137,'Remote work mental helath'!$A$2:$T$1001,20,)</f>
        <v>Oceania</v>
      </c>
      <c r="F137" t="str">
        <f>VLOOKUP(A137,'Remote work mental helath'!$A$2:$T$1001,4,)</f>
        <v>Marketing</v>
      </c>
    </row>
    <row r="138" spans="1:6" x14ac:dyDescent="0.3">
      <c r="A138" t="s">
        <v>187</v>
      </c>
      <c r="B138">
        <f>VLOOKUP('Employee Details'!A138,'Remote work mental helath'!$A$2:$T$1001,2,)</f>
        <v>44</v>
      </c>
      <c r="C138" t="str">
        <f t="shared" si="2"/>
        <v>40-49</v>
      </c>
      <c r="D138" t="str">
        <f>VLOOKUP(A138,'Remote work mental helath'!$A$2:$T$1001,3,)</f>
        <v>Male</v>
      </c>
      <c r="E138" t="str">
        <f>VLOOKUP(A138,'Remote work mental helath'!$A$2:$T$1001,20,)</f>
        <v>South America</v>
      </c>
      <c r="F138" t="str">
        <f>VLOOKUP(A138,'Remote work mental helath'!$A$2:$T$1001,4,)</f>
        <v>Data Scientist</v>
      </c>
    </row>
    <row r="139" spans="1:6" x14ac:dyDescent="0.3">
      <c r="A139" t="s">
        <v>188</v>
      </c>
      <c r="B139">
        <f>VLOOKUP('Employee Details'!A139,'Remote work mental helath'!$A$2:$T$1001,2,)</f>
        <v>48</v>
      </c>
      <c r="C139" t="str">
        <f t="shared" si="2"/>
        <v>40-49</v>
      </c>
      <c r="D139" t="str">
        <f>VLOOKUP(A139,'Remote work mental helath'!$A$2:$T$1001,3,)</f>
        <v>Non-binary</v>
      </c>
      <c r="E139" t="str">
        <f>VLOOKUP(A139,'Remote work mental helath'!$A$2:$T$1001,20,)</f>
        <v>Oceania</v>
      </c>
      <c r="F139" t="str">
        <f>VLOOKUP(A139,'Remote work mental helath'!$A$2:$T$1001,4,)</f>
        <v>Sales</v>
      </c>
    </row>
    <row r="140" spans="1:6" x14ac:dyDescent="0.3">
      <c r="A140" t="s">
        <v>189</v>
      </c>
      <c r="B140">
        <f>VLOOKUP('Employee Details'!A140,'Remote work mental helath'!$A$2:$T$1001,2,)</f>
        <v>57</v>
      </c>
      <c r="C140" t="str">
        <f t="shared" si="2"/>
        <v>50+</v>
      </c>
      <c r="D140" t="str">
        <f>VLOOKUP(A140,'Remote work mental helath'!$A$2:$T$1001,3,)</f>
        <v>Non-binary</v>
      </c>
      <c r="E140" t="str">
        <f>VLOOKUP(A140,'Remote work mental helath'!$A$2:$T$1001,20,)</f>
        <v>North America</v>
      </c>
      <c r="F140" t="str">
        <f>VLOOKUP(A140,'Remote work mental helath'!$A$2:$T$1001,4,)</f>
        <v>Data Scientist</v>
      </c>
    </row>
    <row r="141" spans="1:6" x14ac:dyDescent="0.3">
      <c r="A141" t="s">
        <v>190</v>
      </c>
      <c r="B141">
        <f>VLOOKUP('Employee Details'!A141,'Remote work mental helath'!$A$2:$T$1001,2,)</f>
        <v>49</v>
      </c>
      <c r="C141" t="str">
        <f t="shared" si="2"/>
        <v>40-49</v>
      </c>
      <c r="D141" t="str">
        <f>VLOOKUP(A141,'Remote work mental helath'!$A$2:$T$1001,3,)</f>
        <v>Non-binary</v>
      </c>
      <c r="E141" t="str">
        <f>VLOOKUP(A141,'Remote work mental helath'!$A$2:$T$1001,20,)</f>
        <v>Asia</v>
      </c>
      <c r="F141" t="str">
        <f>VLOOKUP(A141,'Remote work mental helath'!$A$2:$T$1001,4,)</f>
        <v>Project Manager</v>
      </c>
    </row>
    <row r="142" spans="1:6" x14ac:dyDescent="0.3">
      <c r="A142" t="s">
        <v>191</v>
      </c>
      <c r="B142">
        <f>VLOOKUP('Employee Details'!A142,'Remote work mental helath'!$A$2:$T$1001,2,)</f>
        <v>32</v>
      </c>
      <c r="C142" t="str">
        <f t="shared" si="2"/>
        <v>30-39</v>
      </c>
      <c r="D142" t="str">
        <f>VLOOKUP(A142,'Remote work mental helath'!$A$2:$T$1001,3,)</f>
        <v>Non-binary</v>
      </c>
      <c r="E142" t="str">
        <f>VLOOKUP(A142,'Remote work mental helath'!$A$2:$T$1001,20,)</f>
        <v>Africa</v>
      </c>
      <c r="F142" t="str">
        <f>VLOOKUP(A142,'Remote work mental helath'!$A$2:$T$1001,4,)</f>
        <v>Project Manager</v>
      </c>
    </row>
    <row r="143" spans="1:6" x14ac:dyDescent="0.3">
      <c r="A143" t="s">
        <v>192</v>
      </c>
      <c r="B143">
        <f>VLOOKUP('Employee Details'!A143,'Remote work mental helath'!$A$2:$T$1001,2,)</f>
        <v>49</v>
      </c>
      <c r="C143" t="str">
        <f t="shared" si="2"/>
        <v>40-49</v>
      </c>
      <c r="D143" t="str">
        <f>VLOOKUP(A143,'Remote work mental helath'!$A$2:$T$1001,3,)</f>
        <v>Female</v>
      </c>
      <c r="E143" t="str">
        <f>VLOOKUP(A143,'Remote work mental helath'!$A$2:$T$1001,20,)</f>
        <v>Asia</v>
      </c>
      <c r="F143" t="str">
        <f>VLOOKUP(A143,'Remote work mental helath'!$A$2:$T$1001,4,)</f>
        <v>Project Manager</v>
      </c>
    </row>
    <row r="144" spans="1:6" x14ac:dyDescent="0.3">
      <c r="A144" t="s">
        <v>193</v>
      </c>
      <c r="B144">
        <f>VLOOKUP('Employee Details'!A144,'Remote work mental helath'!$A$2:$T$1001,2,)</f>
        <v>23</v>
      </c>
      <c r="C144" t="str">
        <f t="shared" si="2"/>
        <v>20-29</v>
      </c>
      <c r="D144" t="str">
        <f>VLOOKUP(A144,'Remote work mental helath'!$A$2:$T$1001,3,)</f>
        <v>Female</v>
      </c>
      <c r="E144" t="str">
        <f>VLOOKUP(A144,'Remote work mental helath'!$A$2:$T$1001,20,)</f>
        <v>Europe</v>
      </c>
      <c r="F144" t="str">
        <f>VLOOKUP(A144,'Remote work mental helath'!$A$2:$T$1001,4,)</f>
        <v>Designer</v>
      </c>
    </row>
    <row r="145" spans="1:6" x14ac:dyDescent="0.3">
      <c r="A145" t="s">
        <v>194</v>
      </c>
      <c r="B145">
        <f>VLOOKUP('Employee Details'!A145,'Remote work mental helath'!$A$2:$T$1001,2,)</f>
        <v>55</v>
      </c>
      <c r="C145" t="str">
        <f t="shared" si="2"/>
        <v>50+</v>
      </c>
      <c r="D145" t="str">
        <f>VLOOKUP(A145,'Remote work mental helath'!$A$2:$T$1001,3,)</f>
        <v>Prefer not to say</v>
      </c>
      <c r="E145" t="str">
        <f>VLOOKUP(A145,'Remote work mental helath'!$A$2:$T$1001,20,)</f>
        <v>North America</v>
      </c>
      <c r="F145" t="str">
        <f>VLOOKUP(A145,'Remote work mental helath'!$A$2:$T$1001,4,)</f>
        <v>Designer</v>
      </c>
    </row>
    <row r="146" spans="1:6" x14ac:dyDescent="0.3">
      <c r="A146" t="s">
        <v>195</v>
      </c>
      <c r="B146">
        <f>VLOOKUP('Employee Details'!A146,'Remote work mental helath'!$A$2:$T$1001,2,)</f>
        <v>47</v>
      </c>
      <c r="C146" t="str">
        <f t="shared" si="2"/>
        <v>40-49</v>
      </c>
      <c r="D146" t="str">
        <f>VLOOKUP(A146,'Remote work mental helath'!$A$2:$T$1001,3,)</f>
        <v>Non-binary</v>
      </c>
      <c r="E146" t="str">
        <f>VLOOKUP(A146,'Remote work mental helath'!$A$2:$T$1001,20,)</f>
        <v>Asia</v>
      </c>
      <c r="F146" t="str">
        <f>VLOOKUP(A146,'Remote work mental helath'!$A$2:$T$1001,4,)</f>
        <v>HR</v>
      </c>
    </row>
    <row r="147" spans="1:6" x14ac:dyDescent="0.3">
      <c r="A147" t="s">
        <v>196</v>
      </c>
      <c r="B147">
        <f>VLOOKUP('Employee Details'!A147,'Remote work mental helath'!$A$2:$T$1001,2,)</f>
        <v>48</v>
      </c>
      <c r="C147" t="str">
        <f t="shared" si="2"/>
        <v>40-49</v>
      </c>
      <c r="D147" t="str">
        <f>VLOOKUP(A147,'Remote work mental helath'!$A$2:$T$1001,3,)</f>
        <v>Non-binary</v>
      </c>
      <c r="E147" t="str">
        <f>VLOOKUP(A147,'Remote work mental helath'!$A$2:$T$1001,20,)</f>
        <v>Europe</v>
      </c>
      <c r="F147" t="str">
        <f>VLOOKUP(A147,'Remote work mental helath'!$A$2:$T$1001,4,)</f>
        <v>Marketing</v>
      </c>
    </row>
    <row r="148" spans="1:6" x14ac:dyDescent="0.3">
      <c r="A148" t="s">
        <v>197</v>
      </c>
      <c r="B148">
        <f>VLOOKUP('Employee Details'!A148,'Remote work mental helath'!$A$2:$T$1001,2,)</f>
        <v>36</v>
      </c>
      <c r="C148" t="str">
        <f t="shared" si="2"/>
        <v>30-39</v>
      </c>
      <c r="D148" t="str">
        <f>VLOOKUP(A148,'Remote work mental helath'!$A$2:$T$1001,3,)</f>
        <v>Prefer not to say</v>
      </c>
      <c r="E148" t="str">
        <f>VLOOKUP(A148,'Remote work mental helath'!$A$2:$T$1001,20,)</f>
        <v>Africa</v>
      </c>
      <c r="F148" t="str">
        <f>VLOOKUP(A148,'Remote work mental helath'!$A$2:$T$1001,4,)</f>
        <v>Software Engineer</v>
      </c>
    </row>
    <row r="149" spans="1:6" x14ac:dyDescent="0.3">
      <c r="A149" t="s">
        <v>198</v>
      </c>
      <c r="B149">
        <f>VLOOKUP('Employee Details'!A149,'Remote work mental helath'!$A$2:$T$1001,2,)</f>
        <v>45</v>
      </c>
      <c r="C149" t="str">
        <f t="shared" si="2"/>
        <v>40-49</v>
      </c>
      <c r="D149" t="str">
        <f>VLOOKUP(A149,'Remote work mental helath'!$A$2:$T$1001,3,)</f>
        <v>Male</v>
      </c>
      <c r="E149" t="str">
        <f>VLOOKUP(A149,'Remote work mental helath'!$A$2:$T$1001,20,)</f>
        <v>North America</v>
      </c>
      <c r="F149" t="str">
        <f>VLOOKUP(A149,'Remote work mental helath'!$A$2:$T$1001,4,)</f>
        <v>Designer</v>
      </c>
    </row>
    <row r="150" spans="1:6" x14ac:dyDescent="0.3">
      <c r="A150" t="s">
        <v>199</v>
      </c>
      <c r="B150">
        <f>VLOOKUP('Employee Details'!A150,'Remote work mental helath'!$A$2:$T$1001,2,)</f>
        <v>41</v>
      </c>
      <c r="C150" t="str">
        <f t="shared" si="2"/>
        <v>40-49</v>
      </c>
      <c r="D150" t="str">
        <f>VLOOKUP(A150,'Remote work mental helath'!$A$2:$T$1001,3,)</f>
        <v>Female</v>
      </c>
      <c r="E150" t="str">
        <f>VLOOKUP(A150,'Remote work mental helath'!$A$2:$T$1001,20,)</f>
        <v>Oceania</v>
      </c>
      <c r="F150" t="str">
        <f>VLOOKUP(A150,'Remote work mental helath'!$A$2:$T$1001,4,)</f>
        <v>Designer</v>
      </c>
    </row>
    <row r="151" spans="1:6" x14ac:dyDescent="0.3">
      <c r="A151" t="s">
        <v>200</v>
      </c>
      <c r="B151">
        <f>VLOOKUP('Employee Details'!A151,'Remote work mental helath'!$A$2:$T$1001,2,)</f>
        <v>50</v>
      </c>
      <c r="C151" t="str">
        <f t="shared" si="2"/>
        <v>50+</v>
      </c>
      <c r="D151" t="str">
        <f>VLOOKUP(A151,'Remote work mental helath'!$A$2:$T$1001,3,)</f>
        <v>Male</v>
      </c>
      <c r="E151" t="str">
        <f>VLOOKUP(A151,'Remote work mental helath'!$A$2:$T$1001,20,)</f>
        <v>Oceania</v>
      </c>
      <c r="F151" t="str">
        <f>VLOOKUP(A151,'Remote work mental helath'!$A$2:$T$1001,4,)</f>
        <v>Designer</v>
      </c>
    </row>
    <row r="152" spans="1:6" x14ac:dyDescent="0.3">
      <c r="A152" t="s">
        <v>201</v>
      </c>
      <c r="B152">
        <f>VLOOKUP('Employee Details'!A152,'Remote work mental helath'!$A$2:$T$1001,2,)</f>
        <v>41</v>
      </c>
      <c r="C152" t="str">
        <f t="shared" si="2"/>
        <v>40-49</v>
      </c>
      <c r="D152" t="str">
        <f>VLOOKUP(A152,'Remote work mental helath'!$A$2:$T$1001,3,)</f>
        <v>Female</v>
      </c>
      <c r="E152" t="str">
        <f>VLOOKUP(A152,'Remote work mental helath'!$A$2:$T$1001,20,)</f>
        <v>Oceania</v>
      </c>
      <c r="F152" t="str">
        <f>VLOOKUP(A152,'Remote work mental helath'!$A$2:$T$1001,4,)</f>
        <v>Software Engineer</v>
      </c>
    </row>
    <row r="153" spans="1:6" x14ac:dyDescent="0.3">
      <c r="A153" t="s">
        <v>202</v>
      </c>
      <c r="B153">
        <f>VLOOKUP('Employee Details'!A153,'Remote work mental helath'!$A$2:$T$1001,2,)</f>
        <v>57</v>
      </c>
      <c r="C153" t="str">
        <f t="shared" si="2"/>
        <v>50+</v>
      </c>
      <c r="D153" t="str">
        <f>VLOOKUP(A153,'Remote work mental helath'!$A$2:$T$1001,3,)</f>
        <v>Female</v>
      </c>
      <c r="E153" t="str">
        <f>VLOOKUP(A153,'Remote work mental helath'!$A$2:$T$1001,20,)</f>
        <v>Oceania</v>
      </c>
      <c r="F153" t="str">
        <f>VLOOKUP(A153,'Remote work mental helath'!$A$2:$T$1001,4,)</f>
        <v>Designer</v>
      </c>
    </row>
    <row r="154" spans="1:6" x14ac:dyDescent="0.3">
      <c r="A154" t="s">
        <v>203</v>
      </c>
      <c r="B154">
        <f>VLOOKUP('Employee Details'!A154,'Remote work mental helath'!$A$2:$T$1001,2,)</f>
        <v>30</v>
      </c>
      <c r="C154" t="str">
        <f t="shared" si="2"/>
        <v>30-39</v>
      </c>
      <c r="D154" t="str">
        <f>VLOOKUP(A154,'Remote work mental helath'!$A$2:$T$1001,3,)</f>
        <v>Male</v>
      </c>
      <c r="E154" t="str">
        <f>VLOOKUP(A154,'Remote work mental helath'!$A$2:$T$1001,20,)</f>
        <v>Africa</v>
      </c>
      <c r="F154" t="str">
        <f>VLOOKUP(A154,'Remote work mental helath'!$A$2:$T$1001,4,)</f>
        <v>Software Engineer</v>
      </c>
    </row>
    <row r="155" spans="1:6" x14ac:dyDescent="0.3">
      <c r="A155" t="s">
        <v>204</v>
      </c>
      <c r="B155">
        <f>VLOOKUP('Employee Details'!A155,'Remote work mental helath'!$A$2:$T$1001,2,)</f>
        <v>23</v>
      </c>
      <c r="C155" t="str">
        <f t="shared" si="2"/>
        <v>20-29</v>
      </c>
      <c r="D155" t="str">
        <f>VLOOKUP(A155,'Remote work mental helath'!$A$2:$T$1001,3,)</f>
        <v>Female</v>
      </c>
      <c r="E155" t="str">
        <f>VLOOKUP(A155,'Remote work mental helath'!$A$2:$T$1001,20,)</f>
        <v>Asia</v>
      </c>
      <c r="F155" t="str">
        <f>VLOOKUP(A155,'Remote work mental helath'!$A$2:$T$1001,4,)</f>
        <v>Data Scientist</v>
      </c>
    </row>
    <row r="156" spans="1:6" x14ac:dyDescent="0.3">
      <c r="A156" t="s">
        <v>205</v>
      </c>
      <c r="B156">
        <f>VLOOKUP('Employee Details'!A156,'Remote work mental helath'!$A$2:$T$1001,2,)</f>
        <v>30</v>
      </c>
      <c r="C156" t="str">
        <f t="shared" si="2"/>
        <v>30-39</v>
      </c>
      <c r="D156" t="str">
        <f>VLOOKUP(A156,'Remote work mental helath'!$A$2:$T$1001,3,)</f>
        <v>Male</v>
      </c>
      <c r="E156" t="str">
        <f>VLOOKUP(A156,'Remote work mental helath'!$A$2:$T$1001,20,)</f>
        <v>North America</v>
      </c>
      <c r="F156" t="str">
        <f>VLOOKUP(A156,'Remote work mental helath'!$A$2:$T$1001,4,)</f>
        <v>Software Engineer</v>
      </c>
    </row>
    <row r="157" spans="1:6" x14ac:dyDescent="0.3">
      <c r="A157" t="s">
        <v>206</v>
      </c>
      <c r="B157">
        <f>VLOOKUP('Employee Details'!A157,'Remote work mental helath'!$A$2:$T$1001,2,)</f>
        <v>47</v>
      </c>
      <c r="C157" t="str">
        <f t="shared" si="2"/>
        <v>40-49</v>
      </c>
      <c r="D157" t="str">
        <f>VLOOKUP(A157,'Remote work mental helath'!$A$2:$T$1001,3,)</f>
        <v>Female</v>
      </c>
      <c r="E157" t="str">
        <f>VLOOKUP(A157,'Remote work mental helath'!$A$2:$T$1001,20,)</f>
        <v>North America</v>
      </c>
      <c r="F157" t="str">
        <f>VLOOKUP(A157,'Remote work mental helath'!$A$2:$T$1001,4,)</f>
        <v>Project Manager</v>
      </c>
    </row>
    <row r="158" spans="1:6" x14ac:dyDescent="0.3">
      <c r="A158" t="s">
        <v>207</v>
      </c>
      <c r="B158">
        <f>VLOOKUP('Employee Details'!A158,'Remote work mental helath'!$A$2:$T$1001,2,)</f>
        <v>33</v>
      </c>
      <c r="C158" t="str">
        <f t="shared" si="2"/>
        <v>30-39</v>
      </c>
      <c r="D158" t="str">
        <f>VLOOKUP(A158,'Remote work mental helath'!$A$2:$T$1001,3,)</f>
        <v>Prefer not to say</v>
      </c>
      <c r="E158" t="str">
        <f>VLOOKUP(A158,'Remote work mental helath'!$A$2:$T$1001,20,)</f>
        <v>South America</v>
      </c>
      <c r="F158" t="str">
        <f>VLOOKUP(A158,'Remote work mental helath'!$A$2:$T$1001,4,)</f>
        <v>Project Manager</v>
      </c>
    </row>
    <row r="159" spans="1:6" x14ac:dyDescent="0.3">
      <c r="A159" t="s">
        <v>208</v>
      </c>
      <c r="B159">
        <f>VLOOKUP('Employee Details'!A159,'Remote work mental helath'!$A$2:$T$1001,2,)</f>
        <v>32</v>
      </c>
      <c r="C159" t="str">
        <f t="shared" si="2"/>
        <v>30-39</v>
      </c>
      <c r="D159" t="str">
        <f>VLOOKUP(A159,'Remote work mental helath'!$A$2:$T$1001,3,)</f>
        <v>Male</v>
      </c>
      <c r="E159" t="str">
        <f>VLOOKUP(A159,'Remote work mental helath'!$A$2:$T$1001,20,)</f>
        <v>North America</v>
      </c>
      <c r="F159" t="str">
        <f>VLOOKUP(A159,'Remote work mental helath'!$A$2:$T$1001,4,)</f>
        <v>Data Scientist</v>
      </c>
    </row>
    <row r="160" spans="1:6" x14ac:dyDescent="0.3">
      <c r="A160" t="s">
        <v>209</v>
      </c>
      <c r="B160">
        <f>VLOOKUP('Employee Details'!A160,'Remote work mental helath'!$A$2:$T$1001,2,)</f>
        <v>43</v>
      </c>
      <c r="C160" t="str">
        <f t="shared" si="2"/>
        <v>40-49</v>
      </c>
      <c r="D160" t="str">
        <f>VLOOKUP(A160,'Remote work mental helath'!$A$2:$T$1001,3,)</f>
        <v>Male</v>
      </c>
      <c r="E160" t="str">
        <f>VLOOKUP(A160,'Remote work mental helath'!$A$2:$T$1001,20,)</f>
        <v>South America</v>
      </c>
      <c r="F160" t="str">
        <f>VLOOKUP(A160,'Remote work mental helath'!$A$2:$T$1001,4,)</f>
        <v>Designer</v>
      </c>
    </row>
    <row r="161" spans="1:6" x14ac:dyDescent="0.3">
      <c r="A161" t="s">
        <v>210</v>
      </c>
      <c r="B161">
        <f>VLOOKUP('Employee Details'!A161,'Remote work mental helath'!$A$2:$T$1001,2,)</f>
        <v>43</v>
      </c>
      <c r="C161" t="str">
        <f t="shared" si="2"/>
        <v>40-49</v>
      </c>
      <c r="D161" t="str">
        <f>VLOOKUP(A161,'Remote work mental helath'!$A$2:$T$1001,3,)</f>
        <v>Non-binary</v>
      </c>
      <c r="E161" t="str">
        <f>VLOOKUP(A161,'Remote work mental helath'!$A$2:$T$1001,20,)</f>
        <v>Oceania</v>
      </c>
      <c r="F161" t="str">
        <f>VLOOKUP(A161,'Remote work mental helath'!$A$2:$T$1001,4,)</f>
        <v>Software Engineer</v>
      </c>
    </row>
    <row r="162" spans="1:6" x14ac:dyDescent="0.3">
      <c r="A162" t="s">
        <v>211</v>
      </c>
      <c r="B162">
        <f>VLOOKUP('Employee Details'!A162,'Remote work mental helath'!$A$2:$T$1001,2,)</f>
        <v>35</v>
      </c>
      <c r="C162" t="str">
        <f t="shared" si="2"/>
        <v>30-39</v>
      </c>
      <c r="D162" t="str">
        <f>VLOOKUP(A162,'Remote work mental helath'!$A$2:$T$1001,3,)</f>
        <v>Female</v>
      </c>
      <c r="E162" t="str">
        <f>VLOOKUP(A162,'Remote work mental helath'!$A$2:$T$1001,20,)</f>
        <v>Africa</v>
      </c>
      <c r="F162" t="str">
        <f>VLOOKUP(A162,'Remote work mental helath'!$A$2:$T$1001,4,)</f>
        <v>Marketing</v>
      </c>
    </row>
    <row r="163" spans="1:6" x14ac:dyDescent="0.3">
      <c r="A163" t="s">
        <v>212</v>
      </c>
      <c r="B163">
        <f>VLOOKUP('Employee Details'!A163,'Remote work mental helath'!$A$2:$T$1001,2,)</f>
        <v>40</v>
      </c>
      <c r="C163" t="str">
        <f t="shared" si="2"/>
        <v>40-49</v>
      </c>
      <c r="D163" t="str">
        <f>VLOOKUP(A163,'Remote work mental helath'!$A$2:$T$1001,3,)</f>
        <v>Female</v>
      </c>
      <c r="E163" t="str">
        <f>VLOOKUP(A163,'Remote work mental helath'!$A$2:$T$1001,20,)</f>
        <v>Africa</v>
      </c>
      <c r="F163" t="str">
        <f>VLOOKUP(A163,'Remote work mental helath'!$A$2:$T$1001,4,)</f>
        <v>Data Scientist</v>
      </c>
    </row>
    <row r="164" spans="1:6" x14ac:dyDescent="0.3">
      <c r="A164" t="s">
        <v>213</v>
      </c>
      <c r="B164">
        <f>VLOOKUP('Employee Details'!A164,'Remote work mental helath'!$A$2:$T$1001,2,)</f>
        <v>29</v>
      </c>
      <c r="C164" t="str">
        <f t="shared" si="2"/>
        <v>20-29</v>
      </c>
      <c r="D164" t="str">
        <f>VLOOKUP(A164,'Remote work mental helath'!$A$2:$T$1001,3,)</f>
        <v>Prefer not to say</v>
      </c>
      <c r="E164" t="str">
        <f>VLOOKUP(A164,'Remote work mental helath'!$A$2:$T$1001,20,)</f>
        <v>South America</v>
      </c>
      <c r="F164" t="str">
        <f>VLOOKUP(A164,'Remote work mental helath'!$A$2:$T$1001,4,)</f>
        <v>Designer</v>
      </c>
    </row>
    <row r="165" spans="1:6" x14ac:dyDescent="0.3">
      <c r="A165" t="s">
        <v>214</v>
      </c>
      <c r="B165">
        <f>VLOOKUP('Employee Details'!A165,'Remote work mental helath'!$A$2:$T$1001,2,)</f>
        <v>24</v>
      </c>
      <c r="C165" t="str">
        <f t="shared" si="2"/>
        <v>20-29</v>
      </c>
      <c r="D165" t="str">
        <f>VLOOKUP(A165,'Remote work mental helath'!$A$2:$T$1001,3,)</f>
        <v>Non-binary</v>
      </c>
      <c r="E165" t="str">
        <f>VLOOKUP(A165,'Remote work mental helath'!$A$2:$T$1001,20,)</f>
        <v>Africa</v>
      </c>
      <c r="F165" t="str">
        <f>VLOOKUP(A165,'Remote work mental helath'!$A$2:$T$1001,4,)</f>
        <v>Data Scientist</v>
      </c>
    </row>
    <row r="166" spans="1:6" x14ac:dyDescent="0.3">
      <c r="A166" t="s">
        <v>215</v>
      </c>
      <c r="B166">
        <f>VLOOKUP('Employee Details'!A166,'Remote work mental helath'!$A$2:$T$1001,2,)</f>
        <v>40</v>
      </c>
      <c r="C166" t="str">
        <f t="shared" si="2"/>
        <v>40-49</v>
      </c>
      <c r="D166" t="str">
        <f>VLOOKUP(A166,'Remote work mental helath'!$A$2:$T$1001,3,)</f>
        <v>Male</v>
      </c>
      <c r="E166" t="str">
        <f>VLOOKUP(A166,'Remote work mental helath'!$A$2:$T$1001,20,)</f>
        <v>Oceania</v>
      </c>
      <c r="F166" t="str">
        <f>VLOOKUP(A166,'Remote work mental helath'!$A$2:$T$1001,4,)</f>
        <v>Software Engineer</v>
      </c>
    </row>
    <row r="167" spans="1:6" x14ac:dyDescent="0.3">
      <c r="A167" t="s">
        <v>216</v>
      </c>
      <c r="B167">
        <f>VLOOKUP('Employee Details'!A167,'Remote work mental helath'!$A$2:$T$1001,2,)</f>
        <v>22</v>
      </c>
      <c r="C167" t="str">
        <f t="shared" si="2"/>
        <v>20-29</v>
      </c>
      <c r="D167" t="str">
        <f>VLOOKUP(A167,'Remote work mental helath'!$A$2:$T$1001,3,)</f>
        <v>Female</v>
      </c>
      <c r="E167" t="str">
        <f>VLOOKUP(A167,'Remote work mental helath'!$A$2:$T$1001,20,)</f>
        <v>Africa</v>
      </c>
      <c r="F167" t="str">
        <f>VLOOKUP(A167,'Remote work mental helath'!$A$2:$T$1001,4,)</f>
        <v>Software Engineer</v>
      </c>
    </row>
    <row r="168" spans="1:6" x14ac:dyDescent="0.3">
      <c r="A168" t="s">
        <v>217</v>
      </c>
      <c r="B168">
        <f>VLOOKUP('Employee Details'!A168,'Remote work mental helath'!$A$2:$T$1001,2,)</f>
        <v>48</v>
      </c>
      <c r="C168" t="str">
        <f t="shared" si="2"/>
        <v>40-49</v>
      </c>
      <c r="D168" t="str">
        <f>VLOOKUP(A168,'Remote work mental helath'!$A$2:$T$1001,3,)</f>
        <v>Non-binary</v>
      </c>
      <c r="E168" t="str">
        <f>VLOOKUP(A168,'Remote work mental helath'!$A$2:$T$1001,20,)</f>
        <v>Africa</v>
      </c>
      <c r="F168" t="str">
        <f>VLOOKUP(A168,'Remote work mental helath'!$A$2:$T$1001,4,)</f>
        <v>Software Engineer</v>
      </c>
    </row>
    <row r="169" spans="1:6" x14ac:dyDescent="0.3">
      <c r="A169" t="s">
        <v>218</v>
      </c>
      <c r="B169">
        <f>VLOOKUP('Employee Details'!A169,'Remote work mental helath'!$A$2:$T$1001,2,)</f>
        <v>60</v>
      </c>
      <c r="C169" t="str">
        <f t="shared" si="2"/>
        <v>50+</v>
      </c>
      <c r="D169" t="str">
        <f>VLOOKUP(A169,'Remote work mental helath'!$A$2:$T$1001,3,)</f>
        <v>Non-binary</v>
      </c>
      <c r="E169" t="str">
        <f>VLOOKUP(A169,'Remote work mental helath'!$A$2:$T$1001,20,)</f>
        <v>Asia</v>
      </c>
      <c r="F169" t="str">
        <f>VLOOKUP(A169,'Remote work mental helath'!$A$2:$T$1001,4,)</f>
        <v>Software Engineer</v>
      </c>
    </row>
    <row r="170" spans="1:6" x14ac:dyDescent="0.3">
      <c r="A170" t="s">
        <v>219</v>
      </c>
      <c r="B170">
        <f>VLOOKUP('Employee Details'!A170,'Remote work mental helath'!$A$2:$T$1001,2,)</f>
        <v>34</v>
      </c>
      <c r="C170" t="str">
        <f t="shared" si="2"/>
        <v>30-39</v>
      </c>
      <c r="D170" t="str">
        <f>VLOOKUP(A170,'Remote work mental helath'!$A$2:$T$1001,3,)</f>
        <v>Prefer not to say</v>
      </c>
      <c r="E170" t="str">
        <f>VLOOKUP(A170,'Remote work mental helath'!$A$2:$T$1001,20,)</f>
        <v>Europe</v>
      </c>
      <c r="F170" t="str">
        <f>VLOOKUP(A170,'Remote work mental helath'!$A$2:$T$1001,4,)</f>
        <v>HR</v>
      </c>
    </row>
    <row r="171" spans="1:6" x14ac:dyDescent="0.3">
      <c r="A171" t="s">
        <v>220</v>
      </c>
      <c r="B171">
        <f>VLOOKUP('Employee Details'!A171,'Remote work mental helath'!$A$2:$T$1001,2,)</f>
        <v>50</v>
      </c>
      <c r="C171" t="str">
        <f t="shared" si="2"/>
        <v>50+</v>
      </c>
      <c r="D171" t="str">
        <f>VLOOKUP(A171,'Remote work mental helath'!$A$2:$T$1001,3,)</f>
        <v>Prefer not to say</v>
      </c>
      <c r="E171" t="str">
        <f>VLOOKUP(A171,'Remote work mental helath'!$A$2:$T$1001,20,)</f>
        <v>Europe</v>
      </c>
      <c r="F171" t="str">
        <f>VLOOKUP(A171,'Remote work mental helath'!$A$2:$T$1001,4,)</f>
        <v>Project Manager</v>
      </c>
    </row>
    <row r="172" spans="1:6" x14ac:dyDescent="0.3">
      <c r="A172" t="s">
        <v>221</v>
      </c>
      <c r="B172">
        <f>VLOOKUP('Employee Details'!A172,'Remote work mental helath'!$A$2:$T$1001,2,)</f>
        <v>38</v>
      </c>
      <c r="C172" t="str">
        <f t="shared" si="2"/>
        <v>30-39</v>
      </c>
      <c r="D172" t="str">
        <f>VLOOKUP(A172,'Remote work mental helath'!$A$2:$T$1001,3,)</f>
        <v>Male</v>
      </c>
      <c r="E172" t="str">
        <f>VLOOKUP(A172,'Remote work mental helath'!$A$2:$T$1001,20,)</f>
        <v>North America</v>
      </c>
      <c r="F172" t="str">
        <f>VLOOKUP(A172,'Remote work mental helath'!$A$2:$T$1001,4,)</f>
        <v>Designer</v>
      </c>
    </row>
    <row r="173" spans="1:6" x14ac:dyDescent="0.3">
      <c r="A173" t="s">
        <v>222</v>
      </c>
      <c r="B173">
        <f>VLOOKUP('Employee Details'!A173,'Remote work mental helath'!$A$2:$T$1001,2,)</f>
        <v>36</v>
      </c>
      <c r="C173" t="str">
        <f t="shared" si="2"/>
        <v>30-39</v>
      </c>
      <c r="D173" t="str">
        <f>VLOOKUP(A173,'Remote work mental helath'!$A$2:$T$1001,3,)</f>
        <v>Male</v>
      </c>
      <c r="E173" t="str">
        <f>VLOOKUP(A173,'Remote work mental helath'!$A$2:$T$1001,20,)</f>
        <v>Europe</v>
      </c>
      <c r="F173" t="str">
        <f>VLOOKUP(A173,'Remote work mental helath'!$A$2:$T$1001,4,)</f>
        <v>Data Scientist</v>
      </c>
    </row>
    <row r="174" spans="1:6" x14ac:dyDescent="0.3">
      <c r="A174" t="s">
        <v>223</v>
      </c>
      <c r="B174">
        <f>VLOOKUP('Employee Details'!A174,'Remote work mental helath'!$A$2:$T$1001,2,)</f>
        <v>35</v>
      </c>
      <c r="C174" t="str">
        <f t="shared" si="2"/>
        <v>30-39</v>
      </c>
      <c r="D174" t="str">
        <f>VLOOKUP(A174,'Remote work mental helath'!$A$2:$T$1001,3,)</f>
        <v>Non-binary</v>
      </c>
      <c r="E174" t="str">
        <f>VLOOKUP(A174,'Remote work mental helath'!$A$2:$T$1001,20,)</f>
        <v>South America</v>
      </c>
      <c r="F174" t="str">
        <f>VLOOKUP(A174,'Remote work mental helath'!$A$2:$T$1001,4,)</f>
        <v>Software Engineer</v>
      </c>
    </row>
    <row r="175" spans="1:6" x14ac:dyDescent="0.3">
      <c r="A175" t="s">
        <v>224</v>
      </c>
      <c r="B175">
        <f>VLOOKUP('Employee Details'!A175,'Remote work mental helath'!$A$2:$T$1001,2,)</f>
        <v>25</v>
      </c>
      <c r="C175" t="str">
        <f t="shared" si="2"/>
        <v>20-29</v>
      </c>
      <c r="D175" t="str">
        <f>VLOOKUP(A175,'Remote work mental helath'!$A$2:$T$1001,3,)</f>
        <v>Prefer not to say</v>
      </c>
      <c r="E175" t="str">
        <f>VLOOKUP(A175,'Remote work mental helath'!$A$2:$T$1001,20,)</f>
        <v>North America</v>
      </c>
      <c r="F175" t="str">
        <f>VLOOKUP(A175,'Remote work mental helath'!$A$2:$T$1001,4,)</f>
        <v>Designer</v>
      </c>
    </row>
    <row r="176" spans="1:6" x14ac:dyDescent="0.3">
      <c r="A176" t="s">
        <v>225</v>
      </c>
      <c r="B176">
        <f>VLOOKUP('Employee Details'!A176,'Remote work mental helath'!$A$2:$T$1001,2,)</f>
        <v>34</v>
      </c>
      <c r="C176" t="str">
        <f t="shared" si="2"/>
        <v>30-39</v>
      </c>
      <c r="D176" t="str">
        <f>VLOOKUP(A176,'Remote work mental helath'!$A$2:$T$1001,3,)</f>
        <v>Non-binary</v>
      </c>
      <c r="E176" t="str">
        <f>VLOOKUP(A176,'Remote work mental helath'!$A$2:$T$1001,20,)</f>
        <v>Europe</v>
      </c>
      <c r="F176" t="str">
        <f>VLOOKUP(A176,'Remote work mental helath'!$A$2:$T$1001,4,)</f>
        <v>HR</v>
      </c>
    </row>
    <row r="177" spans="1:6" x14ac:dyDescent="0.3">
      <c r="A177" t="s">
        <v>226</v>
      </c>
      <c r="B177">
        <f>VLOOKUP('Employee Details'!A177,'Remote work mental helath'!$A$2:$T$1001,2,)</f>
        <v>32</v>
      </c>
      <c r="C177" t="str">
        <f t="shared" si="2"/>
        <v>30-39</v>
      </c>
      <c r="D177" t="str">
        <f>VLOOKUP(A177,'Remote work mental helath'!$A$2:$T$1001,3,)</f>
        <v>Prefer not to say</v>
      </c>
      <c r="E177" t="str">
        <f>VLOOKUP(A177,'Remote work mental helath'!$A$2:$T$1001,20,)</f>
        <v>Europe</v>
      </c>
      <c r="F177" t="str">
        <f>VLOOKUP(A177,'Remote work mental helath'!$A$2:$T$1001,4,)</f>
        <v>Project Manager</v>
      </c>
    </row>
    <row r="178" spans="1:6" x14ac:dyDescent="0.3">
      <c r="A178" t="s">
        <v>227</v>
      </c>
      <c r="B178">
        <f>VLOOKUP('Employee Details'!A178,'Remote work mental helath'!$A$2:$T$1001,2,)</f>
        <v>58</v>
      </c>
      <c r="C178" t="str">
        <f t="shared" si="2"/>
        <v>50+</v>
      </c>
      <c r="D178" t="str">
        <f>VLOOKUP(A178,'Remote work mental helath'!$A$2:$T$1001,3,)</f>
        <v>Prefer not to say</v>
      </c>
      <c r="E178" t="str">
        <f>VLOOKUP(A178,'Remote work mental helath'!$A$2:$T$1001,20,)</f>
        <v>North America</v>
      </c>
      <c r="F178" t="str">
        <f>VLOOKUP(A178,'Remote work mental helath'!$A$2:$T$1001,4,)</f>
        <v>Marketing</v>
      </c>
    </row>
    <row r="179" spans="1:6" x14ac:dyDescent="0.3">
      <c r="A179" t="s">
        <v>228</v>
      </c>
      <c r="B179">
        <f>VLOOKUP('Employee Details'!A179,'Remote work mental helath'!$A$2:$T$1001,2,)</f>
        <v>40</v>
      </c>
      <c r="C179" t="str">
        <f t="shared" si="2"/>
        <v>40-49</v>
      </c>
      <c r="D179" t="str">
        <f>VLOOKUP(A179,'Remote work mental helath'!$A$2:$T$1001,3,)</f>
        <v>Female</v>
      </c>
      <c r="E179" t="str">
        <f>VLOOKUP(A179,'Remote work mental helath'!$A$2:$T$1001,20,)</f>
        <v>Europe</v>
      </c>
      <c r="F179" t="str">
        <f>VLOOKUP(A179,'Remote work mental helath'!$A$2:$T$1001,4,)</f>
        <v>Project Manager</v>
      </c>
    </row>
    <row r="180" spans="1:6" x14ac:dyDescent="0.3">
      <c r="A180" t="s">
        <v>229</v>
      </c>
      <c r="B180">
        <f>VLOOKUP('Employee Details'!A180,'Remote work mental helath'!$A$2:$T$1001,2,)</f>
        <v>56</v>
      </c>
      <c r="C180" t="str">
        <f t="shared" si="2"/>
        <v>50+</v>
      </c>
      <c r="D180" t="str">
        <f>VLOOKUP(A180,'Remote work mental helath'!$A$2:$T$1001,3,)</f>
        <v>Female</v>
      </c>
      <c r="E180" t="str">
        <f>VLOOKUP(A180,'Remote work mental helath'!$A$2:$T$1001,20,)</f>
        <v>South America</v>
      </c>
      <c r="F180" t="str">
        <f>VLOOKUP(A180,'Remote work mental helath'!$A$2:$T$1001,4,)</f>
        <v>HR</v>
      </c>
    </row>
    <row r="181" spans="1:6" x14ac:dyDescent="0.3">
      <c r="A181" t="s">
        <v>230</v>
      </c>
      <c r="B181">
        <f>VLOOKUP('Employee Details'!A181,'Remote work mental helath'!$A$2:$T$1001,2,)</f>
        <v>44</v>
      </c>
      <c r="C181" t="str">
        <f t="shared" si="2"/>
        <v>40-49</v>
      </c>
      <c r="D181" t="str">
        <f>VLOOKUP(A181,'Remote work mental helath'!$A$2:$T$1001,3,)</f>
        <v>Non-binary</v>
      </c>
      <c r="E181" t="str">
        <f>VLOOKUP(A181,'Remote work mental helath'!$A$2:$T$1001,20,)</f>
        <v>South America</v>
      </c>
      <c r="F181" t="str">
        <f>VLOOKUP(A181,'Remote work mental helath'!$A$2:$T$1001,4,)</f>
        <v>HR</v>
      </c>
    </row>
    <row r="182" spans="1:6" x14ac:dyDescent="0.3">
      <c r="A182" t="s">
        <v>231</v>
      </c>
      <c r="B182">
        <f>VLOOKUP('Employee Details'!A182,'Remote work mental helath'!$A$2:$T$1001,2,)</f>
        <v>30</v>
      </c>
      <c r="C182" t="str">
        <f t="shared" si="2"/>
        <v>30-39</v>
      </c>
      <c r="D182" t="str">
        <f>VLOOKUP(A182,'Remote work mental helath'!$A$2:$T$1001,3,)</f>
        <v>Non-binary</v>
      </c>
      <c r="E182" t="str">
        <f>VLOOKUP(A182,'Remote work mental helath'!$A$2:$T$1001,20,)</f>
        <v>Europe</v>
      </c>
      <c r="F182" t="str">
        <f>VLOOKUP(A182,'Remote work mental helath'!$A$2:$T$1001,4,)</f>
        <v>Data Scientist</v>
      </c>
    </row>
    <row r="183" spans="1:6" x14ac:dyDescent="0.3">
      <c r="A183" t="s">
        <v>232</v>
      </c>
      <c r="B183">
        <f>VLOOKUP('Employee Details'!A183,'Remote work mental helath'!$A$2:$T$1001,2,)</f>
        <v>49</v>
      </c>
      <c r="C183" t="str">
        <f t="shared" si="2"/>
        <v>40-49</v>
      </c>
      <c r="D183" t="str">
        <f>VLOOKUP(A183,'Remote work mental helath'!$A$2:$T$1001,3,)</f>
        <v>Non-binary</v>
      </c>
      <c r="E183" t="str">
        <f>VLOOKUP(A183,'Remote work mental helath'!$A$2:$T$1001,20,)</f>
        <v>South America</v>
      </c>
      <c r="F183" t="str">
        <f>VLOOKUP(A183,'Remote work mental helath'!$A$2:$T$1001,4,)</f>
        <v>Marketing</v>
      </c>
    </row>
    <row r="184" spans="1:6" x14ac:dyDescent="0.3">
      <c r="A184" t="s">
        <v>233</v>
      </c>
      <c r="B184">
        <f>VLOOKUP('Employee Details'!A184,'Remote work mental helath'!$A$2:$T$1001,2,)</f>
        <v>26</v>
      </c>
      <c r="C184" t="str">
        <f t="shared" si="2"/>
        <v>20-29</v>
      </c>
      <c r="D184" t="str">
        <f>VLOOKUP(A184,'Remote work mental helath'!$A$2:$T$1001,3,)</f>
        <v>Male</v>
      </c>
      <c r="E184" t="str">
        <f>VLOOKUP(A184,'Remote work mental helath'!$A$2:$T$1001,20,)</f>
        <v>Europe</v>
      </c>
      <c r="F184" t="str">
        <f>VLOOKUP(A184,'Remote work mental helath'!$A$2:$T$1001,4,)</f>
        <v>Designer</v>
      </c>
    </row>
    <row r="185" spans="1:6" x14ac:dyDescent="0.3">
      <c r="A185" t="s">
        <v>234</v>
      </c>
      <c r="B185">
        <f>VLOOKUP('Employee Details'!A185,'Remote work mental helath'!$A$2:$T$1001,2,)</f>
        <v>52</v>
      </c>
      <c r="C185" t="str">
        <f t="shared" si="2"/>
        <v>50+</v>
      </c>
      <c r="D185" t="str">
        <f>VLOOKUP(A185,'Remote work mental helath'!$A$2:$T$1001,3,)</f>
        <v>Male</v>
      </c>
      <c r="E185" t="str">
        <f>VLOOKUP(A185,'Remote work mental helath'!$A$2:$T$1001,20,)</f>
        <v>Africa</v>
      </c>
      <c r="F185" t="str">
        <f>VLOOKUP(A185,'Remote work mental helath'!$A$2:$T$1001,4,)</f>
        <v>Data Scientist</v>
      </c>
    </row>
    <row r="186" spans="1:6" x14ac:dyDescent="0.3">
      <c r="A186" t="s">
        <v>235</v>
      </c>
      <c r="B186">
        <f>VLOOKUP('Employee Details'!A186,'Remote work mental helath'!$A$2:$T$1001,2,)</f>
        <v>24</v>
      </c>
      <c r="C186" t="str">
        <f t="shared" si="2"/>
        <v>20-29</v>
      </c>
      <c r="D186" t="str">
        <f>VLOOKUP(A186,'Remote work mental helath'!$A$2:$T$1001,3,)</f>
        <v>Prefer not to say</v>
      </c>
      <c r="E186" t="str">
        <f>VLOOKUP(A186,'Remote work mental helath'!$A$2:$T$1001,20,)</f>
        <v>Europe</v>
      </c>
      <c r="F186" t="str">
        <f>VLOOKUP(A186,'Remote work mental helath'!$A$2:$T$1001,4,)</f>
        <v>HR</v>
      </c>
    </row>
    <row r="187" spans="1:6" x14ac:dyDescent="0.3">
      <c r="A187" t="s">
        <v>236</v>
      </c>
      <c r="B187">
        <f>VLOOKUP('Employee Details'!A187,'Remote work mental helath'!$A$2:$T$1001,2,)</f>
        <v>40</v>
      </c>
      <c r="C187" t="str">
        <f t="shared" si="2"/>
        <v>40-49</v>
      </c>
      <c r="D187" t="str">
        <f>VLOOKUP(A187,'Remote work mental helath'!$A$2:$T$1001,3,)</f>
        <v>Non-binary</v>
      </c>
      <c r="E187" t="str">
        <f>VLOOKUP(A187,'Remote work mental helath'!$A$2:$T$1001,20,)</f>
        <v>Asia</v>
      </c>
      <c r="F187" t="str">
        <f>VLOOKUP(A187,'Remote work mental helath'!$A$2:$T$1001,4,)</f>
        <v>Designer</v>
      </c>
    </row>
    <row r="188" spans="1:6" x14ac:dyDescent="0.3">
      <c r="A188" t="s">
        <v>237</v>
      </c>
      <c r="B188">
        <f>VLOOKUP('Employee Details'!A188,'Remote work mental helath'!$A$2:$T$1001,2,)</f>
        <v>57</v>
      </c>
      <c r="C188" t="str">
        <f t="shared" si="2"/>
        <v>50+</v>
      </c>
      <c r="D188" t="str">
        <f>VLOOKUP(A188,'Remote work mental helath'!$A$2:$T$1001,3,)</f>
        <v>Non-binary</v>
      </c>
      <c r="E188" t="str">
        <f>VLOOKUP(A188,'Remote work mental helath'!$A$2:$T$1001,20,)</f>
        <v>Oceania</v>
      </c>
      <c r="F188" t="str">
        <f>VLOOKUP(A188,'Remote work mental helath'!$A$2:$T$1001,4,)</f>
        <v>HR</v>
      </c>
    </row>
    <row r="189" spans="1:6" x14ac:dyDescent="0.3">
      <c r="A189" t="s">
        <v>238</v>
      </c>
      <c r="B189">
        <f>VLOOKUP('Employee Details'!A189,'Remote work mental helath'!$A$2:$T$1001,2,)</f>
        <v>23</v>
      </c>
      <c r="C189" t="str">
        <f t="shared" si="2"/>
        <v>20-29</v>
      </c>
      <c r="D189" t="str">
        <f>VLOOKUP(A189,'Remote work mental helath'!$A$2:$T$1001,3,)</f>
        <v>Prefer not to say</v>
      </c>
      <c r="E189" t="str">
        <f>VLOOKUP(A189,'Remote work mental helath'!$A$2:$T$1001,20,)</f>
        <v>Oceania</v>
      </c>
      <c r="F189" t="str">
        <f>VLOOKUP(A189,'Remote work mental helath'!$A$2:$T$1001,4,)</f>
        <v>Software Engineer</v>
      </c>
    </row>
    <row r="190" spans="1:6" x14ac:dyDescent="0.3">
      <c r="A190" t="s">
        <v>239</v>
      </c>
      <c r="B190">
        <f>VLOOKUP('Employee Details'!A190,'Remote work mental helath'!$A$2:$T$1001,2,)</f>
        <v>40</v>
      </c>
      <c r="C190" t="str">
        <f t="shared" si="2"/>
        <v>40-49</v>
      </c>
      <c r="D190" t="str">
        <f>VLOOKUP(A190,'Remote work mental helath'!$A$2:$T$1001,3,)</f>
        <v>Prefer not to say</v>
      </c>
      <c r="E190" t="str">
        <f>VLOOKUP(A190,'Remote work mental helath'!$A$2:$T$1001,20,)</f>
        <v>Oceania</v>
      </c>
      <c r="F190" t="str">
        <f>VLOOKUP(A190,'Remote work mental helath'!$A$2:$T$1001,4,)</f>
        <v>Data Scientist</v>
      </c>
    </row>
    <row r="191" spans="1:6" x14ac:dyDescent="0.3">
      <c r="A191" t="s">
        <v>240</v>
      </c>
      <c r="B191">
        <f>VLOOKUP('Employee Details'!A191,'Remote work mental helath'!$A$2:$T$1001,2,)</f>
        <v>45</v>
      </c>
      <c r="C191" t="str">
        <f t="shared" si="2"/>
        <v>40-49</v>
      </c>
      <c r="D191" t="str">
        <f>VLOOKUP(A191,'Remote work mental helath'!$A$2:$T$1001,3,)</f>
        <v>Male</v>
      </c>
      <c r="E191" t="str">
        <f>VLOOKUP(A191,'Remote work mental helath'!$A$2:$T$1001,20,)</f>
        <v>North America</v>
      </c>
      <c r="F191" t="str">
        <f>VLOOKUP(A191,'Remote work mental helath'!$A$2:$T$1001,4,)</f>
        <v>Data Scientist</v>
      </c>
    </row>
    <row r="192" spans="1:6" x14ac:dyDescent="0.3">
      <c r="A192" t="s">
        <v>241</v>
      </c>
      <c r="B192">
        <f>VLOOKUP('Employee Details'!A192,'Remote work mental helath'!$A$2:$T$1001,2,)</f>
        <v>46</v>
      </c>
      <c r="C192" t="str">
        <f t="shared" si="2"/>
        <v>40-49</v>
      </c>
      <c r="D192" t="str">
        <f>VLOOKUP(A192,'Remote work mental helath'!$A$2:$T$1001,3,)</f>
        <v>Female</v>
      </c>
      <c r="E192" t="str">
        <f>VLOOKUP(A192,'Remote work mental helath'!$A$2:$T$1001,20,)</f>
        <v>Europe</v>
      </c>
      <c r="F192" t="str">
        <f>VLOOKUP(A192,'Remote work mental helath'!$A$2:$T$1001,4,)</f>
        <v>Data Scientist</v>
      </c>
    </row>
    <row r="193" spans="1:6" x14ac:dyDescent="0.3">
      <c r="A193" t="s">
        <v>242</v>
      </c>
      <c r="B193">
        <f>VLOOKUP('Employee Details'!A193,'Remote work mental helath'!$A$2:$T$1001,2,)</f>
        <v>37</v>
      </c>
      <c r="C193" t="str">
        <f t="shared" si="2"/>
        <v>30-39</v>
      </c>
      <c r="D193" t="str">
        <f>VLOOKUP(A193,'Remote work mental helath'!$A$2:$T$1001,3,)</f>
        <v>Female</v>
      </c>
      <c r="E193" t="str">
        <f>VLOOKUP(A193,'Remote work mental helath'!$A$2:$T$1001,20,)</f>
        <v>North America</v>
      </c>
      <c r="F193" t="str">
        <f>VLOOKUP(A193,'Remote work mental helath'!$A$2:$T$1001,4,)</f>
        <v>Software Engineer</v>
      </c>
    </row>
    <row r="194" spans="1:6" x14ac:dyDescent="0.3">
      <c r="A194" t="s">
        <v>243</v>
      </c>
      <c r="B194">
        <f>VLOOKUP('Employee Details'!A194,'Remote work mental helath'!$A$2:$T$1001,2,)</f>
        <v>51</v>
      </c>
      <c r="C194" t="str">
        <f t="shared" si="2"/>
        <v>50+</v>
      </c>
      <c r="D194" t="str">
        <f>VLOOKUP(A194,'Remote work mental helath'!$A$2:$T$1001,3,)</f>
        <v>Female</v>
      </c>
      <c r="E194" t="str">
        <f>VLOOKUP(A194,'Remote work mental helath'!$A$2:$T$1001,20,)</f>
        <v>South America</v>
      </c>
      <c r="F194" t="str">
        <f>VLOOKUP(A194,'Remote work mental helath'!$A$2:$T$1001,4,)</f>
        <v>Software Engineer</v>
      </c>
    </row>
    <row r="195" spans="1:6" x14ac:dyDescent="0.3">
      <c r="A195" t="s">
        <v>244</v>
      </c>
      <c r="B195">
        <f>VLOOKUP('Employee Details'!A195,'Remote work mental helath'!$A$2:$T$1001,2,)</f>
        <v>52</v>
      </c>
      <c r="C195" t="str">
        <f t="shared" ref="C195:C258" si="3">IF(B195&lt;30,"20-29",IF(B195&lt;40,"30-39",IF(B195&lt;50,"40-49","50+")))</f>
        <v>50+</v>
      </c>
      <c r="D195" t="str">
        <f>VLOOKUP(A195,'Remote work mental helath'!$A$2:$T$1001,3,)</f>
        <v>Male</v>
      </c>
      <c r="E195" t="str">
        <f>VLOOKUP(A195,'Remote work mental helath'!$A$2:$T$1001,20,)</f>
        <v>South America</v>
      </c>
      <c r="F195" t="str">
        <f>VLOOKUP(A195,'Remote work mental helath'!$A$2:$T$1001,4,)</f>
        <v>Sales</v>
      </c>
    </row>
    <row r="196" spans="1:6" x14ac:dyDescent="0.3">
      <c r="A196" t="s">
        <v>245</v>
      </c>
      <c r="B196">
        <f>VLOOKUP('Employee Details'!A196,'Remote work mental helath'!$A$2:$T$1001,2,)</f>
        <v>53</v>
      </c>
      <c r="C196" t="str">
        <f t="shared" si="3"/>
        <v>50+</v>
      </c>
      <c r="D196" t="str">
        <f>VLOOKUP(A196,'Remote work mental helath'!$A$2:$T$1001,3,)</f>
        <v>Male</v>
      </c>
      <c r="E196" t="str">
        <f>VLOOKUP(A196,'Remote work mental helath'!$A$2:$T$1001,20,)</f>
        <v>Africa</v>
      </c>
      <c r="F196" t="str">
        <f>VLOOKUP(A196,'Remote work mental helath'!$A$2:$T$1001,4,)</f>
        <v>Data Scientist</v>
      </c>
    </row>
    <row r="197" spans="1:6" x14ac:dyDescent="0.3">
      <c r="A197" t="s">
        <v>246</v>
      </c>
      <c r="B197">
        <f>VLOOKUP('Employee Details'!A197,'Remote work mental helath'!$A$2:$T$1001,2,)</f>
        <v>39</v>
      </c>
      <c r="C197" t="str">
        <f t="shared" si="3"/>
        <v>30-39</v>
      </c>
      <c r="D197" t="str">
        <f>VLOOKUP(A197,'Remote work mental helath'!$A$2:$T$1001,3,)</f>
        <v>Male</v>
      </c>
      <c r="E197" t="str">
        <f>VLOOKUP(A197,'Remote work mental helath'!$A$2:$T$1001,20,)</f>
        <v>North America</v>
      </c>
      <c r="F197" t="str">
        <f>VLOOKUP(A197,'Remote work mental helath'!$A$2:$T$1001,4,)</f>
        <v>Sales</v>
      </c>
    </row>
    <row r="198" spans="1:6" x14ac:dyDescent="0.3">
      <c r="A198" t="s">
        <v>247</v>
      </c>
      <c r="B198">
        <f>VLOOKUP('Employee Details'!A198,'Remote work mental helath'!$A$2:$T$1001,2,)</f>
        <v>56</v>
      </c>
      <c r="C198" t="str">
        <f t="shared" si="3"/>
        <v>50+</v>
      </c>
      <c r="D198" t="str">
        <f>VLOOKUP(A198,'Remote work mental helath'!$A$2:$T$1001,3,)</f>
        <v>Female</v>
      </c>
      <c r="E198" t="str">
        <f>VLOOKUP(A198,'Remote work mental helath'!$A$2:$T$1001,20,)</f>
        <v>Oceania</v>
      </c>
      <c r="F198" t="str">
        <f>VLOOKUP(A198,'Remote work mental helath'!$A$2:$T$1001,4,)</f>
        <v>Designer</v>
      </c>
    </row>
    <row r="199" spans="1:6" x14ac:dyDescent="0.3">
      <c r="A199" t="s">
        <v>248</v>
      </c>
      <c r="B199">
        <f>VLOOKUP('Employee Details'!A199,'Remote work mental helath'!$A$2:$T$1001,2,)</f>
        <v>59</v>
      </c>
      <c r="C199" t="str">
        <f t="shared" si="3"/>
        <v>50+</v>
      </c>
      <c r="D199" t="str">
        <f>VLOOKUP(A199,'Remote work mental helath'!$A$2:$T$1001,3,)</f>
        <v>Non-binary</v>
      </c>
      <c r="E199" t="str">
        <f>VLOOKUP(A199,'Remote work mental helath'!$A$2:$T$1001,20,)</f>
        <v>South America</v>
      </c>
      <c r="F199" t="str">
        <f>VLOOKUP(A199,'Remote work mental helath'!$A$2:$T$1001,4,)</f>
        <v>Marketing</v>
      </c>
    </row>
    <row r="200" spans="1:6" x14ac:dyDescent="0.3">
      <c r="A200" t="s">
        <v>249</v>
      </c>
      <c r="B200">
        <f>VLOOKUP('Employee Details'!A200,'Remote work mental helath'!$A$2:$T$1001,2,)</f>
        <v>28</v>
      </c>
      <c r="C200" t="str">
        <f t="shared" si="3"/>
        <v>20-29</v>
      </c>
      <c r="D200" t="str">
        <f>VLOOKUP(A200,'Remote work mental helath'!$A$2:$T$1001,3,)</f>
        <v>Male</v>
      </c>
      <c r="E200" t="str">
        <f>VLOOKUP(A200,'Remote work mental helath'!$A$2:$T$1001,20,)</f>
        <v>Oceania</v>
      </c>
      <c r="F200" t="str">
        <f>VLOOKUP(A200,'Remote work mental helath'!$A$2:$T$1001,4,)</f>
        <v>Project Manager</v>
      </c>
    </row>
    <row r="201" spans="1:6" x14ac:dyDescent="0.3">
      <c r="A201" t="s">
        <v>250</v>
      </c>
      <c r="B201">
        <f>VLOOKUP('Employee Details'!A201,'Remote work mental helath'!$A$2:$T$1001,2,)</f>
        <v>36</v>
      </c>
      <c r="C201" t="str">
        <f t="shared" si="3"/>
        <v>30-39</v>
      </c>
      <c r="D201" t="str">
        <f>VLOOKUP(A201,'Remote work mental helath'!$A$2:$T$1001,3,)</f>
        <v>Female</v>
      </c>
      <c r="E201" t="str">
        <f>VLOOKUP(A201,'Remote work mental helath'!$A$2:$T$1001,20,)</f>
        <v>South America</v>
      </c>
      <c r="F201" t="str">
        <f>VLOOKUP(A201,'Remote work mental helath'!$A$2:$T$1001,4,)</f>
        <v>Data Scientist</v>
      </c>
    </row>
    <row r="202" spans="1:6" x14ac:dyDescent="0.3">
      <c r="A202" t="s">
        <v>251</v>
      </c>
      <c r="B202">
        <f>VLOOKUP('Employee Details'!A202,'Remote work mental helath'!$A$2:$T$1001,2,)</f>
        <v>45</v>
      </c>
      <c r="C202" t="str">
        <f t="shared" si="3"/>
        <v>40-49</v>
      </c>
      <c r="D202" t="str">
        <f>VLOOKUP(A202,'Remote work mental helath'!$A$2:$T$1001,3,)</f>
        <v>Non-binary</v>
      </c>
      <c r="E202" t="str">
        <f>VLOOKUP(A202,'Remote work mental helath'!$A$2:$T$1001,20,)</f>
        <v>Oceania</v>
      </c>
      <c r="F202" t="str">
        <f>VLOOKUP(A202,'Remote work mental helath'!$A$2:$T$1001,4,)</f>
        <v>Sales</v>
      </c>
    </row>
    <row r="203" spans="1:6" x14ac:dyDescent="0.3">
      <c r="A203" t="s">
        <v>252</v>
      </c>
      <c r="B203">
        <f>VLOOKUP('Employee Details'!A203,'Remote work mental helath'!$A$2:$T$1001,2,)</f>
        <v>52</v>
      </c>
      <c r="C203" t="str">
        <f t="shared" si="3"/>
        <v>50+</v>
      </c>
      <c r="D203" t="str">
        <f>VLOOKUP(A203,'Remote work mental helath'!$A$2:$T$1001,3,)</f>
        <v>Male</v>
      </c>
      <c r="E203" t="str">
        <f>VLOOKUP(A203,'Remote work mental helath'!$A$2:$T$1001,20,)</f>
        <v>Asia</v>
      </c>
      <c r="F203" t="str">
        <f>VLOOKUP(A203,'Remote work mental helath'!$A$2:$T$1001,4,)</f>
        <v>Sales</v>
      </c>
    </row>
    <row r="204" spans="1:6" x14ac:dyDescent="0.3">
      <c r="A204" t="s">
        <v>253</v>
      </c>
      <c r="B204">
        <f>VLOOKUP('Employee Details'!A204,'Remote work mental helath'!$A$2:$T$1001,2,)</f>
        <v>55</v>
      </c>
      <c r="C204" t="str">
        <f t="shared" si="3"/>
        <v>50+</v>
      </c>
      <c r="D204" t="str">
        <f>VLOOKUP(A204,'Remote work mental helath'!$A$2:$T$1001,3,)</f>
        <v>Female</v>
      </c>
      <c r="E204" t="str">
        <f>VLOOKUP(A204,'Remote work mental helath'!$A$2:$T$1001,20,)</f>
        <v>Asia</v>
      </c>
      <c r="F204" t="str">
        <f>VLOOKUP(A204,'Remote work mental helath'!$A$2:$T$1001,4,)</f>
        <v>Project Manager</v>
      </c>
    </row>
    <row r="205" spans="1:6" x14ac:dyDescent="0.3">
      <c r="A205" t="s">
        <v>254</v>
      </c>
      <c r="B205">
        <f>VLOOKUP('Employee Details'!A205,'Remote work mental helath'!$A$2:$T$1001,2,)</f>
        <v>58</v>
      </c>
      <c r="C205" t="str">
        <f t="shared" si="3"/>
        <v>50+</v>
      </c>
      <c r="D205" t="str">
        <f>VLOOKUP(A205,'Remote work mental helath'!$A$2:$T$1001,3,)</f>
        <v>Male</v>
      </c>
      <c r="E205" t="str">
        <f>VLOOKUP(A205,'Remote work mental helath'!$A$2:$T$1001,20,)</f>
        <v>South America</v>
      </c>
      <c r="F205" t="str">
        <f>VLOOKUP(A205,'Remote work mental helath'!$A$2:$T$1001,4,)</f>
        <v>Sales</v>
      </c>
    </row>
    <row r="206" spans="1:6" x14ac:dyDescent="0.3">
      <c r="A206" t="s">
        <v>255</v>
      </c>
      <c r="B206">
        <f>VLOOKUP('Employee Details'!A206,'Remote work mental helath'!$A$2:$T$1001,2,)</f>
        <v>51</v>
      </c>
      <c r="C206" t="str">
        <f t="shared" si="3"/>
        <v>50+</v>
      </c>
      <c r="D206" t="str">
        <f>VLOOKUP(A206,'Remote work mental helath'!$A$2:$T$1001,3,)</f>
        <v>Prefer not to say</v>
      </c>
      <c r="E206" t="str">
        <f>VLOOKUP(A206,'Remote work mental helath'!$A$2:$T$1001,20,)</f>
        <v>Asia</v>
      </c>
      <c r="F206" t="str">
        <f>VLOOKUP(A206,'Remote work mental helath'!$A$2:$T$1001,4,)</f>
        <v>Software Engineer</v>
      </c>
    </row>
    <row r="207" spans="1:6" x14ac:dyDescent="0.3">
      <c r="A207" t="s">
        <v>256</v>
      </c>
      <c r="B207">
        <f>VLOOKUP('Employee Details'!A207,'Remote work mental helath'!$A$2:$T$1001,2,)</f>
        <v>52</v>
      </c>
      <c r="C207" t="str">
        <f t="shared" si="3"/>
        <v>50+</v>
      </c>
      <c r="D207" t="str">
        <f>VLOOKUP(A207,'Remote work mental helath'!$A$2:$T$1001,3,)</f>
        <v>Male</v>
      </c>
      <c r="E207" t="str">
        <f>VLOOKUP(A207,'Remote work mental helath'!$A$2:$T$1001,20,)</f>
        <v>Oceania</v>
      </c>
      <c r="F207" t="str">
        <f>VLOOKUP(A207,'Remote work mental helath'!$A$2:$T$1001,4,)</f>
        <v>Data Scientist</v>
      </c>
    </row>
    <row r="208" spans="1:6" x14ac:dyDescent="0.3">
      <c r="A208" t="s">
        <v>257</v>
      </c>
      <c r="B208">
        <f>VLOOKUP('Employee Details'!A208,'Remote work mental helath'!$A$2:$T$1001,2,)</f>
        <v>54</v>
      </c>
      <c r="C208" t="str">
        <f t="shared" si="3"/>
        <v>50+</v>
      </c>
      <c r="D208" t="str">
        <f>VLOOKUP(A208,'Remote work mental helath'!$A$2:$T$1001,3,)</f>
        <v>Non-binary</v>
      </c>
      <c r="E208" t="str">
        <f>VLOOKUP(A208,'Remote work mental helath'!$A$2:$T$1001,20,)</f>
        <v>Africa</v>
      </c>
      <c r="F208" t="str">
        <f>VLOOKUP(A208,'Remote work mental helath'!$A$2:$T$1001,4,)</f>
        <v>Project Manager</v>
      </c>
    </row>
    <row r="209" spans="1:6" x14ac:dyDescent="0.3">
      <c r="A209" t="s">
        <v>258</v>
      </c>
      <c r="B209">
        <f>VLOOKUP('Employee Details'!A209,'Remote work mental helath'!$A$2:$T$1001,2,)</f>
        <v>35</v>
      </c>
      <c r="C209" t="str">
        <f t="shared" si="3"/>
        <v>30-39</v>
      </c>
      <c r="D209" t="str">
        <f>VLOOKUP(A209,'Remote work mental helath'!$A$2:$T$1001,3,)</f>
        <v>Male</v>
      </c>
      <c r="E209" t="str">
        <f>VLOOKUP(A209,'Remote work mental helath'!$A$2:$T$1001,20,)</f>
        <v>Europe</v>
      </c>
      <c r="F209" t="str">
        <f>VLOOKUP(A209,'Remote work mental helath'!$A$2:$T$1001,4,)</f>
        <v>Designer</v>
      </c>
    </row>
    <row r="210" spans="1:6" x14ac:dyDescent="0.3">
      <c r="A210" t="s">
        <v>259</v>
      </c>
      <c r="B210">
        <f>VLOOKUP('Employee Details'!A210,'Remote work mental helath'!$A$2:$T$1001,2,)</f>
        <v>39</v>
      </c>
      <c r="C210" t="str">
        <f t="shared" si="3"/>
        <v>30-39</v>
      </c>
      <c r="D210" t="str">
        <f>VLOOKUP(A210,'Remote work mental helath'!$A$2:$T$1001,3,)</f>
        <v>Male</v>
      </c>
      <c r="E210" t="str">
        <f>VLOOKUP(A210,'Remote work mental helath'!$A$2:$T$1001,20,)</f>
        <v>North America</v>
      </c>
      <c r="F210" t="str">
        <f>VLOOKUP(A210,'Remote work mental helath'!$A$2:$T$1001,4,)</f>
        <v>Marketing</v>
      </c>
    </row>
    <row r="211" spans="1:6" x14ac:dyDescent="0.3">
      <c r="A211" t="s">
        <v>260</v>
      </c>
      <c r="B211">
        <f>VLOOKUP('Employee Details'!A211,'Remote work mental helath'!$A$2:$T$1001,2,)</f>
        <v>47</v>
      </c>
      <c r="C211" t="str">
        <f t="shared" si="3"/>
        <v>40-49</v>
      </c>
      <c r="D211" t="str">
        <f>VLOOKUP(A211,'Remote work mental helath'!$A$2:$T$1001,3,)</f>
        <v>Prefer not to say</v>
      </c>
      <c r="E211" t="str">
        <f>VLOOKUP(A211,'Remote work mental helath'!$A$2:$T$1001,20,)</f>
        <v>Africa</v>
      </c>
      <c r="F211" t="str">
        <f>VLOOKUP(A211,'Remote work mental helath'!$A$2:$T$1001,4,)</f>
        <v>Sales</v>
      </c>
    </row>
    <row r="212" spans="1:6" x14ac:dyDescent="0.3">
      <c r="A212" t="s">
        <v>261</v>
      </c>
      <c r="B212">
        <f>VLOOKUP('Employee Details'!A212,'Remote work mental helath'!$A$2:$T$1001,2,)</f>
        <v>49</v>
      </c>
      <c r="C212" t="str">
        <f t="shared" si="3"/>
        <v>40-49</v>
      </c>
      <c r="D212" t="str">
        <f>VLOOKUP(A212,'Remote work mental helath'!$A$2:$T$1001,3,)</f>
        <v>Male</v>
      </c>
      <c r="E212" t="str">
        <f>VLOOKUP(A212,'Remote work mental helath'!$A$2:$T$1001,20,)</f>
        <v>Europe</v>
      </c>
      <c r="F212" t="str">
        <f>VLOOKUP(A212,'Remote work mental helath'!$A$2:$T$1001,4,)</f>
        <v>Project Manager</v>
      </c>
    </row>
    <row r="213" spans="1:6" x14ac:dyDescent="0.3">
      <c r="A213" t="s">
        <v>262</v>
      </c>
      <c r="B213">
        <f>VLOOKUP('Employee Details'!A213,'Remote work mental helath'!$A$2:$T$1001,2,)</f>
        <v>60</v>
      </c>
      <c r="C213" t="str">
        <f t="shared" si="3"/>
        <v>50+</v>
      </c>
      <c r="D213" t="str">
        <f>VLOOKUP(A213,'Remote work mental helath'!$A$2:$T$1001,3,)</f>
        <v>Prefer not to say</v>
      </c>
      <c r="E213" t="str">
        <f>VLOOKUP(A213,'Remote work mental helath'!$A$2:$T$1001,20,)</f>
        <v>North America</v>
      </c>
      <c r="F213" t="str">
        <f>VLOOKUP(A213,'Remote work mental helath'!$A$2:$T$1001,4,)</f>
        <v>Marketing</v>
      </c>
    </row>
    <row r="214" spans="1:6" x14ac:dyDescent="0.3">
      <c r="A214" t="s">
        <v>263</v>
      </c>
      <c r="B214">
        <f>VLOOKUP('Employee Details'!A214,'Remote work mental helath'!$A$2:$T$1001,2,)</f>
        <v>47</v>
      </c>
      <c r="C214" t="str">
        <f t="shared" si="3"/>
        <v>40-49</v>
      </c>
      <c r="D214" t="str">
        <f>VLOOKUP(A214,'Remote work mental helath'!$A$2:$T$1001,3,)</f>
        <v>Female</v>
      </c>
      <c r="E214" t="str">
        <f>VLOOKUP(A214,'Remote work mental helath'!$A$2:$T$1001,20,)</f>
        <v>Oceania</v>
      </c>
      <c r="F214" t="str">
        <f>VLOOKUP(A214,'Remote work mental helath'!$A$2:$T$1001,4,)</f>
        <v>Software Engineer</v>
      </c>
    </row>
    <row r="215" spans="1:6" x14ac:dyDescent="0.3">
      <c r="A215" t="s">
        <v>264</v>
      </c>
      <c r="B215">
        <f>VLOOKUP('Employee Details'!A215,'Remote work mental helath'!$A$2:$T$1001,2,)</f>
        <v>27</v>
      </c>
      <c r="C215" t="str">
        <f t="shared" si="3"/>
        <v>20-29</v>
      </c>
      <c r="D215" t="str">
        <f>VLOOKUP(A215,'Remote work mental helath'!$A$2:$T$1001,3,)</f>
        <v>Prefer not to say</v>
      </c>
      <c r="E215" t="str">
        <f>VLOOKUP(A215,'Remote work mental helath'!$A$2:$T$1001,20,)</f>
        <v>Europe</v>
      </c>
      <c r="F215" t="str">
        <f>VLOOKUP(A215,'Remote work mental helath'!$A$2:$T$1001,4,)</f>
        <v>Project Manager</v>
      </c>
    </row>
    <row r="216" spans="1:6" x14ac:dyDescent="0.3">
      <c r="A216" t="s">
        <v>265</v>
      </c>
      <c r="B216">
        <f>VLOOKUP('Employee Details'!A216,'Remote work mental helath'!$A$2:$T$1001,2,)</f>
        <v>46</v>
      </c>
      <c r="C216" t="str">
        <f t="shared" si="3"/>
        <v>40-49</v>
      </c>
      <c r="D216" t="str">
        <f>VLOOKUP(A216,'Remote work mental helath'!$A$2:$T$1001,3,)</f>
        <v>Prefer not to say</v>
      </c>
      <c r="E216" t="str">
        <f>VLOOKUP(A216,'Remote work mental helath'!$A$2:$T$1001,20,)</f>
        <v>South America</v>
      </c>
      <c r="F216" t="str">
        <f>VLOOKUP(A216,'Remote work mental helath'!$A$2:$T$1001,4,)</f>
        <v>Marketing</v>
      </c>
    </row>
    <row r="217" spans="1:6" x14ac:dyDescent="0.3">
      <c r="A217" t="s">
        <v>266</v>
      </c>
      <c r="B217">
        <f>VLOOKUP('Employee Details'!A217,'Remote work mental helath'!$A$2:$T$1001,2,)</f>
        <v>25</v>
      </c>
      <c r="C217" t="str">
        <f t="shared" si="3"/>
        <v>20-29</v>
      </c>
      <c r="D217" t="str">
        <f>VLOOKUP(A217,'Remote work mental helath'!$A$2:$T$1001,3,)</f>
        <v>Non-binary</v>
      </c>
      <c r="E217" t="str">
        <f>VLOOKUP(A217,'Remote work mental helath'!$A$2:$T$1001,20,)</f>
        <v>Europe</v>
      </c>
      <c r="F217" t="str">
        <f>VLOOKUP(A217,'Remote work mental helath'!$A$2:$T$1001,4,)</f>
        <v>Software Engineer</v>
      </c>
    </row>
    <row r="218" spans="1:6" x14ac:dyDescent="0.3">
      <c r="A218" t="s">
        <v>267</v>
      </c>
      <c r="B218">
        <f>VLOOKUP('Employee Details'!A218,'Remote work mental helath'!$A$2:$T$1001,2,)</f>
        <v>30</v>
      </c>
      <c r="C218" t="str">
        <f t="shared" si="3"/>
        <v>30-39</v>
      </c>
      <c r="D218" t="str">
        <f>VLOOKUP(A218,'Remote work mental helath'!$A$2:$T$1001,3,)</f>
        <v>Male</v>
      </c>
      <c r="E218" t="str">
        <f>VLOOKUP(A218,'Remote work mental helath'!$A$2:$T$1001,20,)</f>
        <v>Oceania</v>
      </c>
      <c r="F218" t="str">
        <f>VLOOKUP(A218,'Remote work mental helath'!$A$2:$T$1001,4,)</f>
        <v>HR</v>
      </c>
    </row>
    <row r="219" spans="1:6" x14ac:dyDescent="0.3">
      <c r="A219" t="s">
        <v>268</v>
      </c>
      <c r="B219">
        <f>VLOOKUP('Employee Details'!A219,'Remote work mental helath'!$A$2:$T$1001,2,)</f>
        <v>38</v>
      </c>
      <c r="C219" t="str">
        <f t="shared" si="3"/>
        <v>30-39</v>
      </c>
      <c r="D219" t="str">
        <f>VLOOKUP(A219,'Remote work mental helath'!$A$2:$T$1001,3,)</f>
        <v>Prefer not to say</v>
      </c>
      <c r="E219" t="str">
        <f>VLOOKUP(A219,'Remote work mental helath'!$A$2:$T$1001,20,)</f>
        <v>Europe</v>
      </c>
      <c r="F219" t="str">
        <f>VLOOKUP(A219,'Remote work mental helath'!$A$2:$T$1001,4,)</f>
        <v>Data Scientist</v>
      </c>
    </row>
    <row r="220" spans="1:6" x14ac:dyDescent="0.3">
      <c r="A220" t="s">
        <v>269</v>
      </c>
      <c r="B220">
        <f>VLOOKUP('Employee Details'!A220,'Remote work mental helath'!$A$2:$T$1001,2,)</f>
        <v>56</v>
      </c>
      <c r="C220" t="str">
        <f t="shared" si="3"/>
        <v>50+</v>
      </c>
      <c r="D220" t="str">
        <f>VLOOKUP(A220,'Remote work mental helath'!$A$2:$T$1001,3,)</f>
        <v>Female</v>
      </c>
      <c r="E220" t="str">
        <f>VLOOKUP(A220,'Remote work mental helath'!$A$2:$T$1001,20,)</f>
        <v>Asia</v>
      </c>
      <c r="F220" t="str">
        <f>VLOOKUP(A220,'Remote work mental helath'!$A$2:$T$1001,4,)</f>
        <v>HR</v>
      </c>
    </row>
    <row r="221" spans="1:6" x14ac:dyDescent="0.3">
      <c r="A221" t="s">
        <v>270</v>
      </c>
      <c r="B221">
        <f>VLOOKUP('Employee Details'!A221,'Remote work mental helath'!$A$2:$T$1001,2,)</f>
        <v>42</v>
      </c>
      <c r="C221" t="str">
        <f t="shared" si="3"/>
        <v>40-49</v>
      </c>
      <c r="D221" t="str">
        <f>VLOOKUP(A221,'Remote work mental helath'!$A$2:$T$1001,3,)</f>
        <v>Male</v>
      </c>
      <c r="E221" t="str">
        <f>VLOOKUP(A221,'Remote work mental helath'!$A$2:$T$1001,20,)</f>
        <v>South America</v>
      </c>
      <c r="F221" t="str">
        <f>VLOOKUP(A221,'Remote work mental helath'!$A$2:$T$1001,4,)</f>
        <v>Sales</v>
      </c>
    </row>
    <row r="222" spans="1:6" x14ac:dyDescent="0.3">
      <c r="A222" t="s">
        <v>271</v>
      </c>
      <c r="B222">
        <f>VLOOKUP('Employee Details'!A222,'Remote work mental helath'!$A$2:$T$1001,2,)</f>
        <v>42</v>
      </c>
      <c r="C222" t="str">
        <f t="shared" si="3"/>
        <v>40-49</v>
      </c>
      <c r="D222" t="str">
        <f>VLOOKUP(A222,'Remote work mental helath'!$A$2:$T$1001,3,)</f>
        <v>Prefer not to say</v>
      </c>
      <c r="E222" t="str">
        <f>VLOOKUP(A222,'Remote work mental helath'!$A$2:$T$1001,20,)</f>
        <v>Oceania</v>
      </c>
      <c r="F222" t="str">
        <f>VLOOKUP(A222,'Remote work mental helath'!$A$2:$T$1001,4,)</f>
        <v>Project Manager</v>
      </c>
    </row>
    <row r="223" spans="1:6" x14ac:dyDescent="0.3">
      <c r="A223" t="s">
        <v>272</v>
      </c>
      <c r="B223">
        <f>VLOOKUP('Employee Details'!A223,'Remote work mental helath'!$A$2:$T$1001,2,)</f>
        <v>30</v>
      </c>
      <c r="C223" t="str">
        <f t="shared" si="3"/>
        <v>30-39</v>
      </c>
      <c r="D223" t="str">
        <f>VLOOKUP(A223,'Remote work mental helath'!$A$2:$T$1001,3,)</f>
        <v>Female</v>
      </c>
      <c r="E223" t="str">
        <f>VLOOKUP(A223,'Remote work mental helath'!$A$2:$T$1001,20,)</f>
        <v>Asia</v>
      </c>
      <c r="F223" t="str">
        <f>VLOOKUP(A223,'Remote work mental helath'!$A$2:$T$1001,4,)</f>
        <v>HR</v>
      </c>
    </row>
    <row r="224" spans="1:6" x14ac:dyDescent="0.3">
      <c r="A224" t="s">
        <v>273</v>
      </c>
      <c r="B224">
        <f>VLOOKUP('Employee Details'!A224,'Remote work mental helath'!$A$2:$T$1001,2,)</f>
        <v>33</v>
      </c>
      <c r="C224" t="str">
        <f t="shared" si="3"/>
        <v>30-39</v>
      </c>
      <c r="D224" t="str">
        <f>VLOOKUP(A224,'Remote work mental helath'!$A$2:$T$1001,3,)</f>
        <v>Male</v>
      </c>
      <c r="E224" t="str">
        <f>VLOOKUP(A224,'Remote work mental helath'!$A$2:$T$1001,20,)</f>
        <v>Asia</v>
      </c>
      <c r="F224" t="str">
        <f>VLOOKUP(A224,'Remote work mental helath'!$A$2:$T$1001,4,)</f>
        <v>Software Engineer</v>
      </c>
    </row>
    <row r="225" spans="1:6" x14ac:dyDescent="0.3">
      <c r="A225" t="s">
        <v>274</v>
      </c>
      <c r="B225">
        <f>VLOOKUP('Employee Details'!A225,'Remote work mental helath'!$A$2:$T$1001,2,)</f>
        <v>28</v>
      </c>
      <c r="C225" t="str">
        <f t="shared" si="3"/>
        <v>20-29</v>
      </c>
      <c r="D225" t="str">
        <f>VLOOKUP(A225,'Remote work mental helath'!$A$2:$T$1001,3,)</f>
        <v>Non-binary</v>
      </c>
      <c r="E225" t="str">
        <f>VLOOKUP(A225,'Remote work mental helath'!$A$2:$T$1001,20,)</f>
        <v>Africa</v>
      </c>
      <c r="F225" t="str">
        <f>VLOOKUP(A225,'Remote work mental helath'!$A$2:$T$1001,4,)</f>
        <v>Marketing</v>
      </c>
    </row>
    <row r="226" spans="1:6" x14ac:dyDescent="0.3">
      <c r="A226" t="s">
        <v>275</v>
      </c>
      <c r="B226">
        <f>VLOOKUP('Employee Details'!A226,'Remote work mental helath'!$A$2:$T$1001,2,)</f>
        <v>50</v>
      </c>
      <c r="C226" t="str">
        <f t="shared" si="3"/>
        <v>50+</v>
      </c>
      <c r="D226" t="str">
        <f>VLOOKUP(A226,'Remote work mental helath'!$A$2:$T$1001,3,)</f>
        <v>Non-binary</v>
      </c>
      <c r="E226" t="str">
        <f>VLOOKUP(A226,'Remote work mental helath'!$A$2:$T$1001,20,)</f>
        <v>North America</v>
      </c>
      <c r="F226" t="str">
        <f>VLOOKUP(A226,'Remote work mental helath'!$A$2:$T$1001,4,)</f>
        <v>Designer</v>
      </c>
    </row>
    <row r="227" spans="1:6" x14ac:dyDescent="0.3">
      <c r="A227" t="s">
        <v>276</v>
      </c>
      <c r="B227">
        <f>VLOOKUP('Employee Details'!A227,'Remote work mental helath'!$A$2:$T$1001,2,)</f>
        <v>44</v>
      </c>
      <c r="C227" t="str">
        <f t="shared" si="3"/>
        <v>40-49</v>
      </c>
      <c r="D227" t="str">
        <f>VLOOKUP(A227,'Remote work mental helath'!$A$2:$T$1001,3,)</f>
        <v>Male</v>
      </c>
      <c r="E227" t="str">
        <f>VLOOKUP(A227,'Remote work mental helath'!$A$2:$T$1001,20,)</f>
        <v>Africa</v>
      </c>
      <c r="F227" t="str">
        <f>VLOOKUP(A227,'Remote work mental helath'!$A$2:$T$1001,4,)</f>
        <v>Software Engineer</v>
      </c>
    </row>
    <row r="228" spans="1:6" x14ac:dyDescent="0.3">
      <c r="A228" t="s">
        <v>277</v>
      </c>
      <c r="B228">
        <f>VLOOKUP('Employee Details'!A228,'Remote work mental helath'!$A$2:$T$1001,2,)</f>
        <v>40</v>
      </c>
      <c r="C228" t="str">
        <f t="shared" si="3"/>
        <v>40-49</v>
      </c>
      <c r="D228" t="str">
        <f>VLOOKUP(A228,'Remote work mental helath'!$A$2:$T$1001,3,)</f>
        <v>Female</v>
      </c>
      <c r="E228" t="str">
        <f>VLOOKUP(A228,'Remote work mental helath'!$A$2:$T$1001,20,)</f>
        <v>South America</v>
      </c>
      <c r="F228" t="str">
        <f>VLOOKUP(A228,'Remote work mental helath'!$A$2:$T$1001,4,)</f>
        <v>Data Scientist</v>
      </c>
    </row>
    <row r="229" spans="1:6" x14ac:dyDescent="0.3">
      <c r="A229" t="s">
        <v>278</v>
      </c>
      <c r="B229">
        <f>VLOOKUP('Employee Details'!A229,'Remote work mental helath'!$A$2:$T$1001,2,)</f>
        <v>23</v>
      </c>
      <c r="C229" t="str">
        <f t="shared" si="3"/>
        <v>20-29</v>
      </c>
      <c r="D229" t="str">
        <f>VLOOKUP(A229,'Remote work mental helath'!$A$2:$T$1001,3,)</f>
        <v>Male</v>
      </c>
      <c r="E229" t="str">
        <f>VLOOKUP(A229,'Remote work mental helath'!$A$2:$T$1001,20,)</f>
        <v>Asia</v>
      </c>
      <c r="F229" t="str">
        <f>VLOOKUP(A229,'Remote work mental helath'!$A$2:$T$1001,4,)</f>
        <v>Project Manager</v>
      </c>
    </row>
    <row r="230" spans="1:6" x14ac:dyDescent="0.3">
      <c r="A230" t="s">
        <v>279</v>
      </c>
      <c r="B230">
        <f>VLOOKUP('Employee Details'!A230,'Remote work mental helath'!$A$2:$T$1001,2,)</f>
        <v>30</v>
      </c>
      <c r="C230" t="str">
        <f t="shared" si="3"/>
        <v>30-39</v>
      </c>
      <c r="D230" t="str">
        <f>VLOOKUP(A230,'Remote work mental helath'!$A$2:$T$1001,3,)</f>
        <v>Female</v>
      </c>
      <c r="E230" t="str">
        <f>VLOOKUP(A230,'Remote work mental helath'!$A$2:$T$1001,20,)</f>
        <v>Oceania</v>
      </c>
      <c r="F230" t="str">
        <f>VLOOKUP(A230,'Remote work mental helath'!$A$2:$T$1001,4,)</f>
        <v>Marketing</v>
      </c>
    </row>
    <row r="231" spans="1:6" x14ac:dyDescent="0.3">
      <c r="A231" t="s">
        <v>280</v>
      </c>
      <c r="B231">
        <f>VLOOKUP('Employee Details'!A231,'Remote work mental helath'!$A$2:$T$1001,2,)</f>
        <v>42</v>
      </c>
      <c r="C231" t="str">
        <f t="shared" si="3"/>
        <v>40-49</v>
      </c>
      <c r="D231" t="str">
        <f>VLOOKUP(A231,'Remote work mental helath'!$A$2:$T$1001,3,)</f>
        <v>Female</v>
      </c>
      <c r="E231" t="str">
        <f>VLOOKUP(A231,'Remote work mental helath'!$A$2:$T$1001,20,)</f>
        <v>Europe</v>
      </c>
      <c r="F231" t="str">
        <f>VLOOKUP(A231,'Remote work mental helath'!$A$2:$T$1001,4,)</f>
        <v>HR</v>
      </c>
    </row>
    <row r="232" spans="1:6" x14ac:dyDescent="0.3">
      <c r="A232" t="s">
        <v>281</v>
      </c>
      <c r="B232">
        <f>VLOOKUP('Employee Details'!A232,'Remote work mental helath'!$A$2:$T$1001,2,)</f>
        <v>52</v>
      </c>
      <c r="C232" t="str">
        <f t="shared" si="3"/>
        <v>50+</v>
      </c>
      <c r="D232" t="str">
        <f>VLOOKUP(A232,'Remote work mental helath'!$A$2:$T$1001,3,)</f>
        <v>Male</v>
      </c>
      <c r="E232" t="str">
        <f>VLOOKUP(A232,'Remote work mental helath'!$A$2:$T$1001,20,)</f>
        <v>Africa</v>
      </c>
      <c r="F232" t="str">
        <f>VLOOKUP(A232,'Remote work mental helath'!$A$2:$T$1001,4,)</f>
        <v>Marketing</v>
      </c>
    </row>
    <row r="233" spans="1:6" x14ac:dyDescent="0.3">
      <c r="A233" t="s">
        <v>282</v>
      </c>
      <c r="B233">
        <f>VLOOKUP('Employee Details'!A233,'Remote work mental helath'!$A$2:$T$1001,2,)</f>
        <v>37</v>
      </c>
      <c r="C233" t="str">
        <f t="shared" si="3"/>
        <v>30-39</v>
      </c>
      <c r="D233" t="str">
        <f>VLOOKUP(A233,'Remote work mental helath'!$A$2:$T$1001,3,)</f>
        <v>Male</v>
      </c>
      <c r="E233" t="str">
        <f>VLOOKUP(A233,'Remote work mental helath'!$A$2:$T$1001,20,)</f>
        <v>Oceania</v>
      </c>
      <c r="F233" t="str">
        <f>VLOOKUP(A233,'Remote work mental helath'!$A$2:$T$1001,4,)</f>
        <v>Marketing</v>
      </c>
    </row>
    <row r="234" spans="1:6" x14ac:dyDescent="0.3">
      <c r="A234" t="s">
        <v>283</v>
      </c>
      <c r="B234">
        <f>VLOOKUP('Employee Details'!A234,'Remote work mental helath'!$A$2:$T$1001,2,)</f>
        <v>28</v>
      </c>
      <c r="C234" t="str">
        <f t="shared" si="3"/>
        <v>20-29</v>
      </c>
      <c r="D234" t="str">
        <f>VLOOKUP(A234,'Remote work mental helath'!$A$2:$T$1001,3,)</f>
        <v>Prefer not to say</v>
      </c>
      <c r="E234" t="str">
        <f>VLOOKUP(A234,'Remote work mental helath'!$A$2:$T$1001,20,)</f>
        <v>Africa</v>
      </c>
      <c r="F234" t="str">
        <f>VLOOKUP(A234,'Remote work mental helath'!$A$2:$T$1001,4,)</f>
        <v>Marketing</v>
      </c>
    </row>
    <row r="235" spans="1:6" x14ac:dyDescent="0.3">
      <c r="A235" t="s">
        <v>284</v>
      </c>
      <c r="B235">
        <f>VLOOKUP('Employee Details'!A235,'Remote work mental helath'!$A$2:$T$1001,2,)</f>
        <v>31</v>
      </c>
      <c r="C235" t="str">
        <f t="shared" si="3"/>
        <v>30-39</v>
      </c>
      <c r="D235" t="str">
        <f>VLOOKUP(A235,'Remote work mental helath'!$A$2:$T$1001,3,)</f>
        <v>Prefer not to say</v>
      </c>
      <c r="E235" t="str">
        <f>VLOOKUP(A235,'Remote work mental helath'!$A$2:$T$1001,20,)</f>
        <v>Asia</v>
      </c>
      <c r="F235" t="str">
        <f>VLOOKUP(A235,'Remote work mental helath'!$A$2:$T$1001,4,)</f>
        <v>Software Engineer</v>
      </c>
    </row>
    <row r="236" spans="1:6" x14ac:dyDescent="0.3">
      <c r="A236" t="s">
        <v>285</v>
      </c>
      <c r="B236">
        <f>VLOOKUP('Employee Details'!A236,'Remote work mental helath'!$A$2:$T$1001,2,)</f>
        <v>23</v>
      </c>
      <c r="C236" t="str">
        <f t="shared" si="3"/>
        <v>20-29</v>
      </c>
      <c r="D236" t="str">
        <f>VLOOKUP(A236,'Remote work mental helath'!$A$2:$T$1001,3,)</f>
        <v>Prefer not to say</v>
      </c>
      <c r="E236" t="str">
        <f>VLOOKUP(A236,'Remote work mental helath'!$A$2:$T$1001,20,)</f>
        <v>Africa</v>
      </c>
      <c r="F236" t="str">
        <f>VLOOKUP(A236,'Remote work mental helath'!$A$2:$T$1001,4,)</f>
        <v>Marketing</v>
      </c>
    </row>
    <row r="237" spans="1:6" x14ac:dyDescent="0.3">
      <c r="A237" t="s">
        <v>286</v>
      </c>
      <c r="B237">
        <f>VLOOKUP('Employee Details'!A237,'Remote work mental helath'!$A$2:$T$1001,2,)</f>
        <v>37</v>
      </c>
      <c r="C237" t="str">
        <f t="shared" si="3"/>
        <v>30-39</v>
      </c>
      <c r="D237" t="str">
        <f>VLOOKUP(A237,'Remote work mental helath'!$A$2:$T$1001,3,)</f>
        <v>Male</v>
      </c>
      <c r="E237" t="str">
        <f>VLOOKUP(A237,'Remote work mental helath'!$A$2:$T$1001,20,)</f>
        <v>Oceania</v>
      </c>
      <c r="F237" t="str">
        <f>VLOOKUP(A237,'Remote work mental helath'!$A$2:$T$1001,4,)</f>
        <v>Data Scientist</v>
      </c>
    </row>
    <row r="238" spans="1:6" x14ac:dyDescent="0.3">
      <c r="A238" t="s">
        <v>287</v>
      </c>
      <c r="B238">
        <f>VLOOKUP('Employee Details'!A238,'Remote work mental helath'!$A$2:$T$1001,2,)</f>
        <v>25</v>
      </c>
      <c r="C238" t="str">
        <f t="shared" si="3"/>
        <v>20-29</v>
      </c>
      <c r="D238" t="str">
        <f>VLOOKUP(A238,'Remote work mental helath'!$A$2:$T$1001,3,)</f>
        <v>Male</v>
      </c>
      <c r="E238" t="str">
        <f>VLOOKUP(A238,'Remote work mental helath'!$A$2:$T$1001,20,)</f>
        <v>Europe</v>
      </c>
      <c r="F238" t="str">
        <f>VLOOKUP(A238,'Remote work mental helath'!$A$2:$T$1001,4,)</f>
        <v>HR</v>
      </c>
    </row>
    <row r="239" spans="1:6" x14ac:dyDescent="0.3">
      <c r="A239" t="s">
        <v>288</v>
      </c>
      <c r="B239">
        <f>VLOOKUP('Employee Details'!A239,'Remote work mental helath'!$A$2:$T$1001,2,)</f>
        <v>55</v>
      </c>
      <c r="C239" t="str">
        <f t="shared" si="3"/>
        <v>50+</v>
      </c>
      <c r="D239" t="str">
        <f>VLOOKUP(A239,'Remote work mental helath'!$A$2:$T$1001,3,)</f>
        <v>Female</v>
      </c>
      <c r="E239" t="str">
        <f>VLOOKUP(A239,'Remote work mental helath'!$A$2:$T$1001,20,)</f>
        <v>Europe</v>
      </c>
      <c r="F239" t="str">
        <f>VLOOKUP(A239,'Remote work mental helath'!$A$2:$T$1001,4,)</f>
        <v>Software Engineer</v>
      </c>
    </row>
    <row r="240" spans="1:6" x14ac:dyDescent="0.3">
      <c r="A240" t="s">
        <v>289</v>
      </c>
      <c r="B240">
        <f>VLOOKUP('Employee Details'!A240,'Remote work mental helath'!$A$2:$T$1001,2,)</f>
        <v>56</v>
      </c>
      <c r="C240" t="str">
        <f t="shared" si="3"/>
        <v>50+</v>
      </c>
      <c r="D240" t="str">
        <f>VLOOKUP(A240,'Remote work mental helath'!$A$2:$T$1001,3,)</f>
        <v>Non-binary</v>
      </c>
      <c r="E240" t="str">
        <f>VLOOKUP(A240,'Remote work mental helath'!$A$2:$T$1001,20,)</f>
        <v>North America</v>
      </c>
      <c r="F240" t="str">
        <f>VLOOKUP(A240,'Remote work mental helath'!$A$2:$T$1001,4,)</f>
        <v>Marketing</v>
      </c>
    </row>
    <row r="241" spans="1:6" x14ac:dyDescent="0.3">
      <c r="A241" t="s">
        <v>290</v>
      </c>
      <c r="B241">
        <f>VLOOKUP('Employee Details'!A241,'Remote work mental helath'!$A$2:$T$1001,2,)</f>
        <v>51</v>
      </c>
      <c r="C241" t="str">
        <f t="shared" si="3"/>
        <v>50+</v>
      </c>
      <c r="D241" t="str">
        <f>VLOOKUP(A241,'Remote work mental helath'!$A$2:$T$1001,3,)</f>
        <v>Prefer not to say</v>
      </c>
      <c r="E241" t="str">
        <f>VLOOKUP(A241,'Remote work mental helath'!$A$2:$T$1001,20,)</f>
        <v>South America</v>
      </c>
      <c r="F241" t="str">
        <f>VLOOKUP(A241,'Remote work mental helath'!$A$2:$T$1001,4,)</f>
        <v>Software Engineer</v>
      </c>
    </row>
    <row r="242" spans="1:6" x14ac:dyDescent="0.3">
      <c r="A242" t="s">
        <v>291</v>
      </c>
      <c r="B242">
        <f>VLOOKUP('Employee Details'!A242,'Remote work mental helath'!$A$2:$T$1001,2,)</f>
        <v>35</v>
      </c>
      <c r="C242" t="str">
        <f t="shared" si="3"/>
        <v>30-39</v>
      </c>
      <c r="D242" t="str">
        <f>VLOOKUP(A242,'Remote work mental helath'!$A$2:$T$1001,3,)</f>
        <v>Male</v>
      </c>
      <c r="E242" t="str">
        <f>VLOOKUP(A242,'Remote work mental helath'!$A$2:$T$1001,20,)</f>
        <v>Oceania</v>
      </c>
      <c r="F242" t="str">
        <f>VLOOKUP(A242,'Remote work mental helath'!$A$2:$T$1001,4,)</f>
        <v>HR</v>
      </c>
    </row>
    <row r="243" spans="1:6" x14ac:dyDescent="0.3">
      <c r="A243" t="s">
        <v>292</v>
      </c>
      <c r="B243">
        <f>VLOOKUP('Employee Details'!A243,'Remote work mental helath'!$A$2:$T$1001,2,)</f>
        <v>22</v>
      </c>
      <c r="C243" t="str">
        <f t="shared" si="3"/>
        <v>20-29</v>
      </c>
      <c r="D243" t="str">
        <f>VLOOKUP(A243,'Remote work mental helath'!$A$2:$T$1001,3,)</f>
        <v>Non-binary</v>
      </c>
      <c r="E243" t="str">
        <f>VLOOKUP(A243,'Remote work mental helath'!$A$2:$T$1001,20,)</f>
        <v>North America</v>
      </c>
      <c r="F243" t="str">
        <f>VLOOKUP(A243,'Remote work mental helath'!$A$2:$T$1001,4,)</f>
        <v>Sales</v>
      </c>
    </row>
    <row r="244" spans="1:6" x14ac:dyDescent="0.3">
      <c r="A244" t="s">
        <v>293</v>
      </c>
      <c r="B244">
        <f>VLOOKUP('Employee Details'!A244,'Remote work mental helath'!$A$2:$T$1001,2,)</f>
        <v>34</v>
      </c>
      <c r="C244" t="str">
        <f t="shared" si="3"/>
        <v>30-39</v>
      </c>
      <c r="D244" t="str">
        <f>VLOOKUP(A244,'Remote work mental helath'!$A$2:$T$1001,3,)</f>
        <v>Non-binary</v>
      </c>
      <c r="E244" t="str">
        <f>VLOOKUP(A244,'Remote work mental helath'!$A$2:$T$1001,20,)</f>
        <v>Oceania</v>
      </c>
      <c r="F244" t="str">
        <f>VLOOKUP(A244,'Remote work mental helath'!$A$2:$T$1001,4,)</f>
        <v>Project Manager</v>
      </c>
    </row>
    <row r="245" spans="1:6" x14ac:dyDescent="0.3">
      <c r="A245" t="s">
        <v>294</v>
      </c>
      <c r="B245">
        <f>VLOOKUP('Employee Details'!A245,'Remote work mental helath'!$A$2:$T$1001,2,)</f>
        <v>37</v>
      </c>
      <c r="C245" t="str">
        <f t="shared" si="3"/>
        <v>30-39</v>
      </c>
      <c r="D245" t="str">
        <f>VLOOKUP(A245,'Remote work mental helath'!$A$2:$T$1001,3,)</f>
        <v>Prefer not to say</v>
      </c>
      <c r="E245" t="str">
        <f>VLOOKUP(A245,'Remote work mental helath'!$A$2:$T$1001,20,)</f>
        <v>Europe</v>
      </c>
      <c r="F245" t="str">
        <f>VLOOKUP(A245,'Remote work mental helath'!$A$2:$T$1001,4,)</f>
        <v>Sales</v>
      </c>
    </row>
    <row r="246" spans="1:6" x14ac:dyDescent="0.3">
      <c r="A246" t="s">
        <v>295</v>
      </c>
      <c r="B246">
        <f>VLOOKUP('Employee Details'!A246,'Remote work mental helath'!$A$2:$T$1001,2,)</f>
        <v>59</v>
      </c>
      <c r="C246" t="str">
        <f t="shared" si="3"/>
        <v>50+</v>
      </c>
      <c r="D246" t="str">
        <f>VLOOKUP(A246,'Remote work mental helath'!$A$2:$T$1001,3,)</f>
        <v>Prefer not to say</v>
      </c>
      <c r="E246" t="str">
        <f>VLOOKUP(A246,'Remote work mental helath'!$A$2:$T$1001,20,)</f>
        <v>North America</v>
      </c>
      <c r="F246" t="str">
        <f>VLOOKUP(A246,'Remote work mental helath'!$A$2:$T$1001,4,)</f>
        <v>Software Engineer</v>
      </c>
    </row>
    <row r="247" spans="1:6" x14ac:dyDescent="0.3">
      <c r="A247" t="s">
        <v>296</v>
      </c>
      <c r="B247">
        <f>VLOOKUP('Employee Details'!A247,'Remote work mental helath'!$A$2:$T$1001,2,)</f>
        <v>53</v>
      </c>
      <c r="C247" t="str">
        <f t="shared" si="3"/>
        <v>50+</v>
      </c>
      <c r="D247" t="str">
        <f>VLOOKUP(A247,'Remote work mental helath'!$A$2:$T$1001,3,)</f>
        <v>Female</v>
      </c>
      <c r="E247" t="str">
        <f>VLOOKUP(A247,'Remote work mental helath'!$A$2:$T$1001,20,)</f>
        <v>South America</v>
      </c>
      <c r="F247" t="str">
        <f>VLOOKUP(A247,'Remote work mental helath'!$A$2:$T$1001,4,)</f>
        <v>Project Manager</v>
      </c>
    </row>
    <row r="248" spans="1:6" x14ac:dyDescent="0.3">
      <c r="A248" t="s">
        <v>297</v>
      </c>
      <c r="B248">
        <f>VLOOKUP('Employee Details'!A248,'Remote work mental helath'!$A$2:$T$1001,2,)</f>
        <v>38</v>
      </c>
      <c r="C248" t="str">
        <f t="shared" si="3"/>
        <v>30-39</v>
      </c>
      <c r="D248" t="str">
        <f>VLOOKUP(A248,'Remote work mental helath'!$A$2:$T$1001,3,)</f>
        <v>Male</v>
      </c>
      <c r="E248" t="str">
        <f>VLOOKUP(A248,'Remote work mental helath'!$A$2:$T$1001,20,)</f>
        <v>South America</v>
      </c>
      <c r="F248" t="str">
        <f>VLOOKUP(A248,'Remote work mental helath'!$A$2:$T$1001,4,)</f>
        <v>Data Scientist</v>
      </c>
    </row>
    <row r="249" spans="1:6" x14ac:dyDescent="0.3">
      <c r="A249" t="s">
        <v>298</v>
      </c>
      <c r="B249">
        <f>VLOOKUP('Employee Details'!A249,'Remote work mental helath'!$A$2:$T$1001,2,)</f>
        <v>32</v>
      </c>
      <c r="C249" t="str">
        <f t="shared" si="3"/>
        <v>30-39</v>
      </c>
      <c r="D249" t="str">
        <f>VLOOKUP(A249,'Remote work mental helath'!$A$2:$T$1001,3,)</f>
        <v>Male</v>
      </c>
      <c r="E249" t="str">
        <f>VLOOKUP(A249,'Remote work mental helath'!$A$2:$T$1001,20,)</f>
        <v>Oceania</v>
      </c>
      <c r="F249" t="str">
        <f>VLOOKUP(A249,'Remote work mental helath'!$A$2:$T$1001,4,)</f>
        <v>Project Manager</v>
      </c>
    </row>
    <row r="250" spans="1:6" x14ac:dyDescent="0.3">
      <c r="A250" t="s">
        <v>299</v>
      </c>
      <c r="B250">
        <f>VLOOKUP('Employee Details'!A250,'Remote work mental helath'!$A$2:$T$1001,2,)</f>
        <v>36</v>
      </c>
      <c r="C250" t="str">
        <f t="shared" si="3"/>
        <v>30-39</v>
      </c>
      <c r="D250" t="str">
        <f>VLOOKUP(A250,'Remote work mental helath'!$A$2:$T$1001,3,)</f>
        <v>Prefer not to say</v>
      </c>
      <c r="E250" t="str">
        <f>VLOOKUP(A250,'Remote work mental helath'!$A$2:$T$1001,20,)</f>
        <v>Africa</v>
      </c>
      <c r="F250" t="str">
        <f>VLOOKUP(A250,'Remote work mental helath'!$A$2:$T$1001,4,)</f>
        <v>HR</v>
      </c>
    </row>
    <row r="251" spans="1:6" x14ac:dyDescent="0.3">
      <c r="A251" t="s">
        <v>300</v>
      </c>
      <c r="B251">
        <f>VLOOKUP('Employee Details'!A251,'Remote work mental helath'!$A$2:$T$1001,2,)</f>
        <v>29</v>
      </c>
      <c r="C251" t="str">
        <f t="shared" si="3"/>
        <v>20-29</v>
      </c>
      <c r="D251" t="str">
        <f>VLOOKUP(A251,'Remote work mental helath'!$A$2:$T$1001,3,)</f>
        <v>Female</v>
      </c>
      <c r="E251" t="str">
        <f>VLOOKUP(A251,'Remote work mental helath'!$A$2:$T$1001,20,)</f>
        <v>Africa</v>
      </c>
      <c r="F251" t="str">
        <f>VLOOKUP(A251,'Remote work mental helath'!$A$2:$T$1001,4,)</f>
        <v>Project Manager</v>
      </c>
    </row>
    <row r="252" spans="1:6" x14ac:dyDescent="0.3">
      <c r="A252" t="s">
        <v>301</v>
      </c>
      <c r="B252">
        <f>VLOOKUP('Employee Details'!A252,'Remote work mental helath'!$A$2:$T$1001,2,)</f>
        <v>38</v>
      </c>
      <c r="C252" t="str">
        <f t="shared" si="3"/>
        <v>30-39</v>
      </c>
      <c r="D252" t="str">
        <f>VLOOKUP(A252,'Remote work mental helath'!$A$2:$T$1001,3,)</f>
        <v>Non-binary</v>
      </c>
      <c r="E252" t="str">
        <f>VLOOKUP(A252,'Remote work mental helath'!$A$2:$T$1001,20,)</f>
        <v>South America</v>
      </c>
      <c r="F252" t="str">
        <f>VLOOKUP(A252,'Remote work mental helath'!$A$2:$T$1001,4,)</f>
        <v>Project Manager</v>
      </c>
    </row>
    <row r="253" spans="1:6" x14ac:dyDescent="0.3">
      <c r="A253" t="s">
        <v>302</v>
      </c>
      <c r="B253">
        <f>VLOOKUP('Employee Details'!A253,'Remote work mental helath'!$A$2:$T$1001,2,)</f>
        <v>32</v>
      </c>
      <c r="C253" t="str">
        <f t="shared" si="3"/>
        <v>30-39</v>
      </c>
      <c r="D253" t="str">
        <f>VLOOKUP(A253,'Remote work mental helath'!$A$2:$T$1001,3,)</f>
        <v>Male</v>
      </c>
      <c r="E253" t="str">
        <f>VLOOKUP(A253,'Remote work mental helath'!$A$2:$T$1001,20,)</f>
        <v>Oceania</v>
      </c>
      <c r="F253" t="str">
        <f>VLOOKUP(A253,'Remote work mental helath'!$A$2:$T$1001,4,)</f>
        <v>Project Manager</v>
      </c>
    </row>
    <row r="254" spans="1:6" x14ac:dyDescent="0.3">
      <c r="A254" t="s">
        <v>303</v>
      </c>
      <c r="B254">
        <f>VLOOKUP('Employee Details'!A254,'Remote work mental helath'!$A$2:$T$1001,2,)</f>
        <v>43</v>
      </c>
      <c r="C254" t="str">
        <f t="shared" si="3"/>
        <v>40-49</v>
      </c>
      <c r="D254" t="str">
        <f>VLOOKUP(A254,'Remote work mental helath'!$A$2:$T$1001,3,)</f>
        <v>Prefer not to say</v>
      </c>
      <c r="E254" t="str">
        <f>VLOOKUP(A254,'Remote work mental helath'!$A$2:$T$1001,20,)</f>
        <v>Oceania</v>
      </c>
      <c r="F254" t="str">
        <f>VLOOKUP(A254,'Remote work mental helath'!$A$2:$T$1001,4,)</f>
        <v>Sales</v>
      </c>
    </row>
    <row r="255" spans="1:6" x14ac:dyDescent="0.3">
      <c r="A255" t="s">
        <v>304</v>
      </c>
      <c r="B255">
        <f>VLOOKUP('Employee Details'!A255,'Remote work mental helath'!$A$2:$T$1001,2,)</f>
        <v>46</v>
      </c>
      <c r="C255" t="str">
        <f t="shared" si="3"/>
        <v>40-49</v>
      </c>
      <c r="D255" t="str">
        <f>VLOOKUP(A255,'Remote work mental helath'!$A$2:$T$1001,3,)</f>
        <v>Prefer not to say</v>
      </c>
      <c r="E255" t="str">
        <f>VLOOKUP(A255,'Remote work mental helath'!$A$2:$T$1001,20,)</f>
        <v>Africa</v>
      </c>
      <c r="F255" t="str">
        <f>VLOOKUP(A255,'Remote work mental helath'!$A$2:$T$1001,4,)</f>
        <v>HR</v>
      </c>
    </row>
    <row r="256" spans="1:6" x14ac:dyDescent="0.3">
      <c r="A256" t="s">
        <v>305</v>
      </c>
      <c r="B256">
        <f>VLOOKUP('Employee Details'!A256,'Remote work mental helath'!$A$2:$T$1001,2,)</f>
        <v>42</v>
      </c>
      <c r="C256" t="str">
        <f t="shared" si="3"/>
        <v>40-49</v>
      </c>
      <c r="D256" t="str">
        <f>VLOOKUP(A256,'Remote work mental helath'!$A$2:$T$1001,3,)</f>
        <v>Prefer not to say</v>
      </c>
      <c r="E256" t="str">
        <f>VLOOKUP(A256,'Remote work mental helath'!$A$2:$T$1001,20,)</f>
        <v>Africa</v>
      </c>
      <c r="F256" t="str">
        <f>VLOOKUP(A256,'Remote work mental helath'!$A$2:$T$1001,4,)</f>
        <v>Data Scientist</v>
      </c>
    </row>
    <row r="257" spans="1:6" x14ac:dyDescent="0.3">
      <c r="A257" t="s">
        <v>306</v>
      </c>
      <c r="B257">
        <f>VLOOKUP('Employee Details'!A257,'Remote work mental helath'!$A$2:$T$1001,2,)</f>
        <v>27</v>
      </c>
      <c r="C257" t="str">
        <f t="shared" si="3"/>
        <v>20-29</v>
      </c>
      <c r="D257" t="str">
        <f>VLOOKUP(A257,'Remote work mental helath'!$A$2:$T$1001,3,)</f>
        <v>Male</v>
      </c>
      <c r="E257" t="str">
        <f>VLOOKUP(A257,'Remote work mental helath'!$A$2:$T$1001,20,)</f>
        <v>Oceania</v>
      </c>
      <c r="F257" t="str">
        <f>VLOOKUP(A257,'Remote work mental helath'!$A$2:$T$1001,4,)</f>
        <v>Project Manager</v>
      </c>
    </row>
    <row r="258" spans="1:6" x14ac:dyDescent="0.3">
      <c r="A258" t="s">
        <v>307</v>
      </c>
      <c r="B258">
        <f>VLOOKUP('Employee Details'!A258,'Remote work mental helath'!$A$2:$T$1001,2,)</f>
        <v>54</v>
      </c>
      <c r="C258" t="str">
        <f t="shared" si="3"/>
        <v>50+</v>
      </c>
      <c r="D258" t="str">
        <f>VLOOKUP(A258,'Remote work mental helath'!$A$2:$T$1001,3,)</f>
        <v>Prefer not to say</v>
      </c>
      <c r="E258" t="str">
        <f>VLOOKUP(A258,'Remote work mental helath'!$A$2:$T$1001,20,)</f>
        <v>Europe</v>
      </c>
      <c r="F258" t="str">
        <f>VLOOKUP(A258,'Remote work mental helath'!$A$2:$T$1001,4,)</f>
        <v>Marketing</v>
      </c>
    </row>
    <row r="259" spans="1:6" x14ac:dyDescent="0.3">
      <c r="A259" t="s">
        <v>308</v>
      </c>
      <c r="B259">
        <f>VLOOKUP('Employee Details'!A259,'Remote work mental helath'!$A$2:$T$1001,2,)</f>
        <v>43</v>
      </c>
      <c r="C259" t="str">
        <f t="shared" ref="C259:C322" si="4">IF(B259&lt;30,"20-29",IF(B259&lt;40,"30-39",IF(B259&lt;50,"40-49","50+")))</f>
        <v>40-49</v>
      </c>
      <c r="D259" t="str">
        <f>VLOOKUP(A259,'Remote work mental helath'!$A$2:$T$1001,3,)</f>
        <v>Male</v>
      </c>
      <c r="E259" t="str">
        <f>VLOOKUP(A259,'Remote work mental helath'!$A$2:$T$1001,20,)</f>
        <v>Oceania</v>
      </c>
      <c r="F259" t="str">
        <f>VLOOKUP(A259,'Remote work mental helath'!$A$2:$T$1001,4,)</f>
        <v>Designer</v>
      </c>
    </row>
    <row r="260" spans="1:6" x14ac:dyDescent="0.3">
      <c r="A260" t="s">
        <v>309</v>
      </c>
      <c r="B260">
        <f>VLOOKUP('Employee Details'!A260,'Remote work mental helath'!$A$2:$T$1001,2,)</f>
        <v>31</v>
      </c>
      <c r="C260" t="str">
        <f t="shared" si="4"/>
        <v>30-39</v>
      </c>
      <c r="D260" t="str">
        <f>VLOOKUP(A260,'Remote work mental helath'!$A$2:$T$1001,3,)</f>
        <v>Female</v>
      </c>
      <c r="E260" t="str">
        <f>VLOOKUP(A260,'Remote work mental helath'!$A$2:$T$1001,20,)</f>
        <v>Oceania</v>
      </c>
      <c r="F260" t="str">
        <f>VLOOKUP(A260,'Remote work mental helath'!$A$2:$T$1001,4,)</f>
        <v>Data Scientist</v>
      </c>
    </row>
    <row r="261" spans="1:6" x14ac:dyDescent="0.3">
      <c r="A261" t="s">
        <v>310</v>
      </c>
      <c r="B261">
        <f>VLOOKUP('Employee Details'!A261,'Remote work mental helath'!$A$2:$T$1001,2,)</f>
        <v>53</v>
      </c>
      <c r="C261" t="str">
        <f t="shared" si="4"/>
        <v>50+</v>
      </c>
      <c r="D261" t="str">
        <f>VLOOKUP(A261,'Remote work mental helath'!$A$2:$T$1001,3,)</f>
        <v>Non-binary</v>
      </c>
      <c r="E261" t="str">
        <f>VLOOKUP(A261,'Remote work mental helath'!$A$2:$T$1001,20,)</f>
        <v>Asia</v>
      </c>
      <c r="F261" t="str">
        <f>VLOOKUP(A261,'Remote work mental helath'!$A$2:$T$1001,4,)</f>
        <v>Software Engineer</v>
      </c>
    </row>
    <row r="262" spans="1:6" x14ac:dyDescent="0.3">
      <c r="A262" t="s">
        <v>311</v>
      </c>
      <c r="B262">
        <f>VLOOKUP('Employee Details'!A262,'Remote work mental helath'!$A$2:$T$1001,2,)</f>
        <v>57</v>
      </c>
      <c r="C262" t="str">
        <f t="shared" si="4"/>
        <v>50+</v>
      </c>
      <c r="D262" t="str">
        <f>VLOOKUP(A262,'Remote work mental helath'!$A$2:$T$1001,3,)</f>
        <v>Non-binary</v>
      </c>
      <c r="E262" t="str">
        <f>VLOOKUP(A262,'Remote work mental helath'!$A$2:$T$1001,20,)</f>
        <v>North America</v>
      </c>
      <c r="F262" t="str">
        <f>VLOOKUP(A262,'Remote work mental helath'!$A$2:$T$1001,4,)</f>
        <v>Software Engineer</v>
      </c>
    </row>
    <row r="263" spans="1:6" x14ac:dyDescent="0.3">
      <c r="A263" t="s">
        <v>312</v>
      </c>
      <c r="B263">
        <f>VLOOKUP('Employee Details'!A263,'Remote work mental helath'!$A$2:$T$1001,2,)</f>
        <v>50</v>
      </c>
      <c r="C263" t="str">
        <f t="shared" si="4"/>
        <v>50+</v>
      </c>
      <c r="D263" t="str">
        <f>VLOOKUP(A263,'Remote work mental helath'!$A$2:$T$1001,3,)</f>
        <v>Non-binary</v>
      </c>
      <c r="E263" t="str">
        <f>VLOOKUP(A263,'Remote work mental helath'!$A$2:$T$1001,20,)</f>
        <v>Asia</v>
      </c>
      <c r="F263" t="str">
        <f>VLOOKUP(A263,'Remote work mental helath'!$A$2:$T$1001,4,)</f>
        <v>Project Manager</v>
      </c>
    </row>
    <row r="264" spans="1:6" x14ac:dyDescent="0.3">
      <c r="A264" t="s">
        <v>313</v>
      </c>
      <c r="B264">
        <f>VLOOKUP('Employee Details'!A264,'Remote work mental helath'!$A$2:$T$1001,2,)</f>
        <v>37</v>
      </c>
      <c r="C264" t="str">
        <f t="shared" si="4"/>
        <v>30-39</v>
      </c>
      <c r="D264" t="str">
        <f>VLOOKUP(A264,'Remote work mental helath'!$A$2:$T$1001,3,)</f>
        <v>Male</v>
      </c>
      <c r="E264" t="str">
        <f>VLOOKUP(A264,'Remote work mental helath'!$A$2:$T$1001,20,)</f>
        <v>Africa</v>
      </c>
      <c r="F264" t="str">
        <f>VLOOKUP(A264,'Remote work mental helath'!$A$2:$T$1001,4,)</f>
        <v>Sales</v>
      </c>
    </row>
    <row r="265" spans="1:6" x14ac:dyDescent="0.3">
      <c r="A265" t="s">
        <v>314</v>
      </c>
      <c r="B265">
        <f>VLOOKUP('Employee Details'!A265,'Remote work mental helath'!$A$2:$T$1001,2,)</f>
        <v>58</v>
      </c>
      <c r="C265" t="str">
        <f t="shared" si="4"/>
        <v>50+</v>
      </c>
      <c r="D265" t="str">
        <f>VLOOKUP(A265,'Remote work mental helath'!$A$2:$T$1001,3,)</f>
        <v>Female</v>
      </c>
      <c r="E265" t="str">
        <f>VLOOKUP(A265,'Remote work mental helath'!$A$2:$T$1001,20,)</f>
        <v>Asia</v>
      </c>
      <c r="F265" t="str">
        <f>VLOOKUP(A265,'Remote work mental helath'!$A$2:$T$1001,4,)</f>
        <v>Project Manager</v>
      </c>
    </row>
    <row r="266" spans="1:6" x14ac:dyDescent="0.3">
      <c r="A266" t="s">
        <v>315</v>
      </c>
      <c r="B266">
        <f>VLOOKUP('Employee Details'!A266,'Remote work mental helath'!$A$2:$T$1001,2,)</f>
        <v>57</v>
      </c>
      <c r="C266" t="str">
        <f t="shared" si="4"/>
        <v>50+</v>
      </c>
      <c r="D266" t="str">
        <f>VLOOKUP(A266,'Remote work mental helath'!$A$2:$T$1001,3,)</f>
        <v>Non-binary</v>
      </c>
      <c r="E266" t="str">
        <f>VLOOKUP(A266,'Remote work mental helath'!$A$2:$T$1001,20,)</f>
        <v>Europe</v>
      </c>
      <c r="F266" t="str">
        <f>VLOOKUP(A266,'Remote work mental helath'!$A$2:$T$1001,4,)</f>
        <v>Sales</v>
      </c>
    </row>
    <row r="267" spans="1:6" x14ac:dyDescent="0.3">
      <c r="A267" t="s">
        <v>316</v>
      </c>
      <c r="B267">
        <f>VLOOKUP('Employee Details'!A267,'Remote work mental helath'!$A$2:$T$1001,2,)</f>
        <v>50</v>
      </c>
      <c r="C267" t="str">
        <f t="shared" si="4"/>
        <v>50+</v>
      </c>
      <c r="D267" t="str">
        <f>VLOOKUP(A267,'Remote work mental helath'!$A$2:$T$1001,3,)</f>
        <v>Prefer not to say</v>
      </c>
      <c r="E267" t="str">
        <f>VLOOKUP(A267,'Remote work mental helath'!$A$2:$T$1001,20,)</f>
        <v>Europe</v>
      </c>
      <c r="F267" t="str">
        <f>VLOOKUP(A267,'Remote work mental helath'!$A$2:$T$1001,4,)</f>
        <v>Sales</v>
      </c>
    </row>
    <row r="268" spans="1:6" x14ac:dyDescent="0.3">
      <c r="A268" t="s">
        <v>317</v>
      </c>
      <c r="B268">
        <f>VLOOKUP('Employee Details'!A268,'Remote work mental helath'!$A$2:$T$1001,2,)</f>
        <v>48</v>
      </c>
      <c r="C268" t="str">
        <f t="shared" si="4"/>
        <v>40-49</v>
      </c>
      <c r="D268" t="str">
        <f>VLOOKUP(A268,'Remote work mental helath'!$A$2:$T$1001,3,)</f>
        <v>Male</v>
      </c>
      <c r="E268" t="str">
        <f>VLOOKUP(A268,'Remote work mental helath'!$A$2:$T$1001,20,)</f>
        <v>South America</v>
      </c>
      <c r="F268" t="str">
        <f>VLOOKUP(A268,'Remote work mental helath'!$A$2:$T$1001,4,)</f>
        <v>Project Manager</v>
      </c>
    </row>
    <row r="269" spans="1:6" x14ac:dyDescent="0.3">
      <c r="A269" t="s">
        <v>318</v>
      </c>
      <c r="B269">
        <f>VLOOKUP('Employee Details'!A269,'Remote work mental helath'!$A$2:$T$1001,2,)</f>
        <v>43</v>
      </c>
      <c r="C269" t="str">
        <f t="shared" si="4"/>
        <v>40-49</v>
      </c>
      <c r="D269" t="str">
        <f>VLOOKUP(A269,'Remote work mental helath'!$A$2:$T$1001,3,)</f>
        <v>Non-binary</v>
      </c>
      <c r="E269" t="str">
        <f>VLOOKUP(A269,'Remote work mental helath'!$A$2:$T$1001,20,)</f>
        <v>South America</v>
      </c>
      <c r="F269" t="str">
        <f>VLOOKUP(A269,'Remote work mental helath'!$A$2:$T$1001,4,)</f>
        <v>HR</v>
      </c>
    </row>
    <row r="270" spans="1:6" x14ac:dyDescent="0.3">
      <c r="A270" t="s">
        <v>319</v>
      </c>
      <c r="B270">
        <f>VLOOKUP('Employee Details'!A270,'Remote work mental helath'!$A$2:$T$1001,2,)</f>
        <v>58</v>
      </c>
      <c r="C270" t="str">
        <f t="shared" si="4"/>
        <v>50+</v>
      </c>
      <c r="D270" t="str">
        <f>VLOOKUP(A270,'Remote work mental helath'!$A$2:$T$1001,3,)</f>
        <v>Female</v>
      </c>
      <c r="E270" t="str">
        <f>VLOOKUP(A270,'Remote work mental helath'!$A$2:$T$1001,20,)</f>
        <v>Europe</v>
      </c>
      <c r="F270" t="str">
        <f>VLOOKUP(A270,'Remote work mental helath'!$A$2:$T$1001,4,)</f>
        <v>Marketing</v>
      </c>
    </row>
    <row r="271" spans="1:6" x14ac:dyDescent="0.3">
      <c r="A271" t="s">
        <v>320</v>
      </c>
      <c r="B271">
        <f>VLOOKUP('Employee Details'!A271,'Remote work mental helath'!$A$2:$T$1001,2,)</f>
        <v>30</v>
      </c>
      <c r="C271" t="str">
        <f t="shared" si="4"/>
        <v>30-39</v>
      </c>
      <c r="D271" t="str">
        <f>VLOOKUP(A271,'Remote work mental helath'!$A$2:$T$1001,3,)</f>
        <v>Male</v>
      </c>
      <c r="E271" t="str">
        <f>VLOOKUP(A271,'Remote work mental helath'!$A$2:$T$1001,20,)</f>
        <v>Africa</v>
      </c>
      <c r="F271" t="str">
        <f>VLOOKUP(A271,'Remote work mental helath'!$A$2:$T$1001,4,)</f>
        <v>Designer</v>
      </c>
    </row>
    <row r="272" spans="1:6" x14ac:dyDescent="0.3">
      <c r="A272" t="s">
        <v>321</v>
      </c>
      <c r="B272">
        <f>VLOOKUP('Employee Details'!A272,'Remote work mental helath'!$A$2:$T$1001,2,)</f>
        <v>44</v>
      </c>
      <c r="C272" t="str">
        <f t="shared" si="4"/>
        <v>40-49</v>
      </c>
      <c r="D272" t="str">
        <f>VLOOKUP(A272,'Remote work mental helath'!$A$2:$T$1001,3,)</f>
        <v>Non-binary</v>
      </c>
      <c r="E272" t="str">
        <f>VLOOKUP(A272,'Remote work mental helath'!$A$2:$T$1001,20,)</f>
        <v>South America</v>
      </c>
      <c r="F272" t="str">
        <f>VLOOKUP(A272,'Remote work mental helath'!$A$2:$T$1001,4,)</f>
        <v>HR</v>
      </c>
    </row>
    <row r="273" spans="1:6" x14ac:dyDescent="0.3">
      <c r="A273" t="s">
        <v>322</v>
      </c>
      <c r="B273">
        <f>VLOOKUP('Employee Details'!A273,'Remote work mental helath'!$A$2:$T$1001,2,)</f>
        <v>41</v>
      </c>
      <c r="C273" t="str">
        <f t="shared" si="4"/>
        <v>40-49</v>
      </c>
      <c r="D273" t="str">
        <f>VLOOKUP(A273,'Remote work mental helath'!$A$2:$T$1001,3,)</f>
        <v>Prefer not to say</v>
      </c>
      <c r="E273" t="str">
        <f>VLOOKUP(A273,'Remote work mental helath'!$A$2:$T$1001,20,)</f>
        <v>Oceania</v>
      </c>
      <c r="F273" t="str">
        <f>VLOOKUP(A273,'Remote work mental helath'!$A$2:$T$1001,4,)</f>
        <v>HR</v>
      </c>
    </row>
    <row r="274" spans="1:6" x14ac:dyDescent="0.3">
      <c r="A274" t="s">
        <v>323</v>
      </c>
      <c r="B274">
        <f>VLOOKUP('Employee Details'!A274,'Remote work mental helath'!$A$2:$T$1001,2,)</f>
        <v>60</v>
      </c>
      <c r="C274" t="str">
        <f t="shared" si="4"/>
        <v>50+</v>
      </c>
      <c r="D274" t="str">
        <f>VLOOKUP(A274,'Remote work mental helath'!$A$2:$T$1001,3,)</f>
        <v>Female</v>
      </c>
      <c r="E274" t="str">
        <f>VLOOKUP(A274,'Remote work mental helath'!$A$2:$T$1001,20,)</f>
        <v>Asia</v>
      </c>
      <c r="F274" t="str">
        <f>VLOOKUP(A274,'Remote work mental helath'!$A$2:$T$1001,4,)</f>
        <v>Marketing</v>
      </c>
    </row>
    <row r="275" spans="1:6" x14ac:dyDescent="0.3">
      <c r="A275" t="s">
        <v>324</v>
      </c>
      <c r="B275">
        <f>VLOOKUP('Employee Details'!A275,'Remote work mental helath'!$A$2:$T$1001,2,)</f>
        <v>58</v>
      </c>
      <c r="C275" t="str">
        <f t="shared" si="4"/>
        <v>50+</v>
      </c>
      <c r="D275" t="str">
        <f>VLOOKUP(A275,'Remote work mental helath'!$A$2:$T$1001,3,)</f>
        <v>Non-binary</v>
      </c>
      <c r="E275" t="str">
        <f>VLOOKUP(A275,'Remote work mental helath'!$A$2:$T$1001,20,)</f>
        <v>Asia</v>
      </c>
      <c r="F275" t="str">
        <f>VLOOKUP(A275,'Remote work mental helath'!$A$2:$T$1001,4,)</f>
        <v>Designer</v>
      </c>
    </row>
    <row r="276" spans="1:6" x14ac:dyDescent="0.3">
      <c r="A276" t="s">
        <v>325</v>
      </c>
      <c r="B276">
        <f>VLOOKUP('Employee Details'!A276,'Remote work mental helath'!$A$2:$T$1001,2,)</f>
        <v>60</v>
      </c>
      <c r="C276" t="str">
        <f t="shared" si="4"/>
        <v>50+</v>
      </c>
      <c r="D276" t="str">
        <f>VLOOKUP(A276,'Remote work mental helath'!$A$2:$T$1001,3,)</f>
        <v>Prefer not to say</v>
      </c>
      <c r="E276" t="str">
        <f>VLOOKUP(A276,'Remote work mental helath'!$A$2:$T$1001,20,)</f>
        <v>Oceania</v>
      </c>
      <c r="F276" t="str">
        <f>VLOOKUP(A276,'Remote work mental helath'!$A$2:$T$1001,4,)</f>
        <v>Sales</v>
      </c>
    </row>
    <row r="277" spans="1:6" x14ac:dyDescent="0.3">
      <c r="A277" t="s">
        <v>326</v>
      </c>
      <c r="B277">
        <f>VLOOKUP('Employee Details'!A277,'Remote work mental helath'!$A$2:$T$1001,2,)</f>
        <v>27</v>
      </c>
      <c r="C277" t="str">
        <f t="shared" si="4"/>
        <v>20-29</v>
      </c>
      <c r="D277" t="str">
        <f>VLOOKUP(A277,'Remote work mental helath'!$A$2:$T$1001,3,)</f>
        <v>Non-binary</v>
      </c>
      <c r="E277" t="str">
        <f>VLOOKUP(A277,'Remote work mental helath'!$A$2:$T$1001,20,)</f>
        <v>Europe</v>
      </c>
      <c r="F277" t="str">
        <f>VLOOKUP(A277,'Remote work mental helath'!$A$2:$T$1001,4,)</f>
        <v>Designer</v>
      </c>
    </row>
    <row r="278" spans="1:6" x14ac:dyDescent="0.3">
      <c r="A278" t="s">
        <v>327</v>
      </c>
      <c r="B278">
        <f>VLOOKUP('Employee Details'!A278,'Remote work mental helath'!$A$2:$T$1001,2,)</f>
        <v>38</v>
      </c>
      <c r="C278" t="str">
        <f t="shared" si="4"/>
        <v>30-39</v>
      </c>
      <c r="D278" t="str">
        <f>VLOOKUP(A278,'Remote work mental helath'!$A$2:$T$1001,3,)</f>
        <v>Female</v>
      </c>
      <c r="E278" t="str">
        <f>VLOOKUP(A278,'Remote work mental helath'!$A$2:$T$1001,20,)</f>
        <v>Asia</v>
      </c>
      <c r="F278" t="str">
        <f>VLOOKUP(A278,'Remote work mental helath'!$A$2:$T$1001,4,)</f>
        <v>Sales</v>
      </c>
    </row>
    <row r="279" spans="1:6" x14ac:dyDescent="0.3">
      <c r="A279" t="s">
        <v>328</v>
      </c>
      <c r="B279">
        <f>VLOOKUP('Employee Details'!A279,'Remote work mental helath'!$A$2:$T$1001,2,)</f>
        <v>56</v>
      </c>
      <c r="C279" t="str">
        <f t="shared" si="4"/>
        <v>50+</v>
      </c>
      <c r="D279" t="str">
        <f>VLOOKUP(A279,'Remote work mental helath'!$A$2:$T$1001,3,)</f>
        <v>Male</v>
      </c>
      <c r="E279" t="str">
        <f>VLOOKUP(A279,'Remote work mental helath'!$A$2:$T$1001,20,)</f>
        <v>Asia</v>
      </c>
      <c r="F279" t="str">
        <f>VLOOKUP(A279,'Remote work mental helath'!$A$2:$T$1001,4,)</f>
        <v>Marketing</v>
      </c>
    </row>
    <row r="280" spans="1:6" x14ac:dyDescent="0.3">
      <c r="A280" t="s">
        <v>329</v>
      </c>
      <c r="B280">
        <f>VLOOKUP('Employee Details'!A280,'Remote work mental helath'!$A$2:$T$1001,2,)</f>
        <v>31</v>
      </c>
      <c r="C280" t="str">
        <f t="shared" si="4"/>
        <v>30-39</v>
      </c>
      <c r="D280" t="str">
        <f>VLOOKUP(A280,'Remote work mental helath'!$A$2:$T$1001,3,)</f>
        <v>Male</v>
      </c>
      <c r="E280" t="str">
        <f>VLOOKUP(A280,'Remote work mental helath'!$A$2:$T$1001,20,)</f>
        <v>Africa</v>
      </c>
      <c r="F280" t="str">
        <f>VLOOKUP(A280,'Remote work mental helath'!$A$2:$T$1001,4,)</f>
        <v>Designer</v>
      </c>
    </row>
    <row r="281" spans="1:6" x14ac:dyDescent="0.3">
      <c r="A281" t="s">
        <v>330</v>
      </c>
      <c r="B281">
        <f>VLOOKUP('Employee Details'!A281,'Remote work mental helath'!$A$2:$T$1001,2,)</f>
        <v>37</v>
      </c>
      <c r="C281" t="str">
        <f t="shared" si="4"/>
        <v>30-39</v>
      </c>
      <c r="D281" t="str">
        <f>VLOOKUP(A281,'Remote work mental helath'!$A$2:$T$1001,3,)</f>
        <v>Prefer not to say</v>
      </c>
      <c r="E281" t="str">
        <f>VLOOKUP(A281,'Remote work mental helath'!$A$2:$T$1001,20,)</f>
        <v>North America</v>
      </c>
      <c r="F281" t="str">
        <f>VLOOKUP(A281,'Remote work mental helath'!$A$2:$T$1001,4,)</f>
        <v>Software Engineer</v>
      </c>
    </row>
    <row r="282" spans="1:6" x14ac:dyDescent="0.3">
      <c r="A282" t="s">
        <v>331</v>
      </c>
      <c r="B282">
        <f>VLOOKUP('Employee Details'!A282,'Remote work mental helath'!$A$2:$T$1001,2,)</f>
        <v>41</v>
      </c>
      <c r="C282" t="str">
        <f t="shared" si="4"/>
        <v>40-49</v>
      </c>
      <c r="D282" t="str">
        <f>VLOOKUP(A282,'Remote work mental helath'!$A$2:$T$1001,3,)</f>
        <v>Female</v>
      </c>
      <c r="E282" t="str">
        <f>VLOOKUP(A282,'Remote work mental helath'!$A$2:$T$1001,20,)</f>
        <v>Asia</v>
      </c>
      <c r="F282" t="str">
        <f>VLOOKUP(A282,'Remote work mental helath'!$A$2:$T$1001,4,)</f>
        <v>Software Engineer</v>
      </c>
    </row>
    <row r="283" spans="1:6" x14ac:dyDescent="0.3">
      <c r="A283" t="s">
        <v>332</v>
      </c>
      <c r="B283">
        <f>VLOOKUP('Employee Details'!A283,'Remote work mental helath'!$A$2:$T$1001,2,)</f>
        <v>58</v>
      </c>
      <c r="C283" t="str">
        <f t="shared" si="4"/>
        <v>50+</v>
      </c>
      <c r="D283" t="str">
        <f>VLOOKUP(A283,'Remote work mental helath'!$A$2:$T$1001,3,)</f>
        <v>Male</v>
      </c>
      <c r="E283" t="str">
        <f>VLOOKUP(A283,'Remote work mental helath'!$A$2:$T$1001,20,)</f>
        <v>Europe</v>
      </c>
      <c r="F283" t="str">
        <f>VLOOKUP(A283,'Remote work mental helath'!$A$2:$T$1001,4,)</f>
        <v>Designer</v>
      </c>
    </row>
    <row r="284" spans="1:6" x14ac:dyDescent="0.3">
      <c r="A284" t="s">
        <v>333</v>
      </c>
      <c r="B284">
        <f>VLOOKUP('Employee Details'!A284,'Remote work mental helath'!$A$2:$T$1001,2,)</f>
        <v>49</v>
      </c>
      <c r="C284" t="str">
        <f t="shared" si="4"/>
        <v>40-49</v>
      </c>
      <c r="D284" t="str">
        <f>VLOOKUP(A284,'Remote work mental helath'!$A$2:$T$1001,3,)</f>
        <v>Male</v>
      </c>
      <c r="E284" t="str">
        <f>VLOOKUP(A284,'Remote work mental helath'!$A$2:$T$1001,20,)</f>
        <v>Asia</v>
      </c>
      <c r="F284" t="str">
        <f>VLOOKUP(A284,'Remote work mental helath'!$A$2:$T$1001,4,)</f>
        <v>Data Scientist</v>
      </c>
    </row>
    <row r="285" spans="1:6" x14ac:dyDescent="0.3">
      <c r="A285" t="s">
        <v>334</v>
      </c>
      <c r="B285">
        <f>VLOOKUP('Employee Details'!A285,'Remote work mental helath'!$A$2:$T$1001,2,)</f>
        <v>23</v>
      </c>
      <c r="C285" t="str">
        <f t="shared" si="4"/>
        <v>20-29</v>
      </c>
      <c r="D285" t="str">
        <f>VLOOKUP(A285,'Remote work mental helath'!$A$2:$T$1001,3,)</f>
        <v>Non-binary</v>
      </c>
      <c r="E285" t="str">
        <f>VLOOKUP(A285,'Remote work mental helath'!$A$2:$T$1001,20,)</f>
        <v>Asia</v>
      </c>
      <c r="F285" t="str">
        <f>VLOOKUP(A285,'Remote work mental helath'!$A$2:$T$1001,4,)</f>
        <v>Data Scientist</v>
      </c>
    </row>
    <row r="286" spans="1:6" x14ac:dyDescent="0.3">
      <c r="A286" t="s">
        <v>335</v>
      </c>
      <c r="B286">
        <f>VLOOKUP('Employee Details'!A286,'Remote work mental helath'!$A$2:$T$1001,2,)</f>
        <v>24</v>
      </c>
      <c r="C286" t="str">
        <f t="shared" si="4"/>
        <v>20-29</v>
      </c>
      <c r="D286" t="str">
        <f>VLOOKUP(A286,'Remote work mental helath'!$A$2:$T$1001,3,)</f>
        <v>Non-binary</v>
      </c>
      <c r="E286" t="str">
        <f>VLOOKUP(A286,'Remote work mental helath'!$A$2:$T$1001,20,)</f>
        <v>Oceania</v>
      </c>
      <c r="F286" t="str">
        <f>VLOOKUP(A286,'Remote work mental helath'!$A$2:$T$1001,4,)</f>
        <v>Project Manager</v>
      </c>
    </row>
    <row r="287" spans="1:6" x14ac:dyDescent="0.3">
      <c r="A287" t="s">
        <v>336</v>
      </c>
      <c r="B287">
        <f>VLOOKUP('Employee Details'!A287,'Remote work mental helath'!$A$2:$T$1001,2,)</f>
        <v>41</v>
      </c>
      <c r="C287" t="str">
        <f t="shared" si="4"/>
        <v>40-49</v>
      </c>
      <c r="D287" t="str">
        <f>VLOOKUP(A287,'Remote work mental helath'!$A$2:$T$1001,3,)</f>
        <v>Prefer not to say</v>
      </c>
      <c r="E287" t="str">
        <f>VLOOKUP(A287,'Remote work mental helath'!$A$2:$T$1001,20,)</f>
        <v>Asia</v>
      </c>
      <c r="F287" t="str">
        <f>VLOOKUP(A287,'Remote work mental helath'!$A$2:$T$1001,4,)</f>
        <v>Project Manager</v>
      </c>
    </row>
    <row r="288" spans="1:6" x14ac:dyDescent="0.3">
      <c r="A288" t="s">
        <v>337</v>
      </c>
      <c r="B288">
        <f>VLOOKUP('Employee Details'!A288,'Remote work mental helath'!$A$2:$T$1001,2,)</f>
        <v>32</v>
      </c>
      <c r="C288" t="str">
        <f t="shared" si="4"/>
        <v>30-39</v>
      </c>
      <c r="D288" t="str">
        <f>VLOOKUP(A288,'Remote work mental helath'!$A$2:$T$1001,3,)</f>
        <v>Female</v>
      </c>
      <c r="E288" t="str">
        <f>VLOOKUP(A288,'Remote work mental helath'!$A$2:$T$1001,20,)</f>
        <v>Africa</v>
      </c>
      <c r="F288" t="str">
        <f>VLOOKUP(A288,'Remote work mental helath'!$A$2:$T$1001,4,)</f>
        <v>HR</v>
      </c>
    </row>
    <row r="289" spans="1:6" x14ac:dyDescent="0.3">
      <c r="A289" t="s">
        <v>338</v>
      </c>
      <c r="B289">
        <f>VLOOKUP('Employee Details'!A289,'Remote work mental helath'!$A$2:$T$1001,2,)</f>
        <v>47</v>
      </c>
      <c r="C289" t="str">
        <f t="shared" si="4"/>
        <v>40-49</v>
      </c>
      <c r="D289" t="str">
        <f>VLOOKUP(A289,'Remote work mental helath'!$A$2:$T$1001,3,)</f>
        <v>Prefer not to say</v>
      </c>
      <c r="E289" t="str">
        <f>VLOOKUP(A289,'Remote work mental helath'!$A$2:$T$1001,20,)</f>
        <v>Africa</v>
      </c>
      <c r="F289" t="str">
        <f>VLOOKUP(A289,'Remote work mental helath'!$A$2:$T$1001,4,)</f>
        <v>Sales</v>
      </c>
    </row>
    <row r="290" spans="1:6" x14ac:dyDescent="0.3">
      <c r="A290" t="s">
        <v>339</v>
      </c>
      <c r="B290">
        <f>VLOOKUP('Employee Details'!A290,'Remote work mental helath'!$A$2:$T$1001,2,)</f>
        <v>23</v>
      </c>
      <c r="C290" t="str">
        <f t="shared" si="4"/>
        <v>20-29</v>
      </c>
      <c r="D290" t="str">
        <f>VLOOKUP(A290,'Remote work mental helath'!$A$2:$T$1001,3,)</f>
        <v>Non-binary</v>
      </c>
      <c r="E290" t="str">
        <f>VLOOKUP(A290,'Remote work mental helath'!$A$2:$T$1001,20,)</f>
        <v>Africa</v>
      </c>
      <c r="F290" t="str">
        <f>VLOOKUP(A290,'Remote work mental helath'!$A$2:$T$1001,4,)</f>
        <v>Designer</v>
      </c>
    </row>
    <row r="291" spans="1:6" x14ac:dyDescent="0.3">
      <c r="A291" t="s">
        <v>340</v>
      </c>
      <c r="B291">
        <f>VLOOKUP('Employee Details'!A291,'Remote work mental helath'!$A$2:$T$1001,2,)</f>
        <v>34</v>
      </c>
      <c r="C291" t="str">
        <f t="shared" si="4"/>
        <v>30-39</v>
      </c>
      <c r="D291" t="str">
        <f>VLOOKUP(A291,'Remote work mental helath'!$A$2:$T$1001,3,)</f>
        <v>Prefer not to say</v>
      </c>
      <c r="E291" t="str">
        <f>VLOOKUP(A291,'Remote work mental helath'!$A$2:$T$1001,20,)</f>
        <v>North America</v>
      </c>
      <c r="F291" t="str">
        <f>VLOOKUP(A291,'Remote work mental helath'!$A$2:$T$1001,4,)</f>
        <v>Marketing</v>
      </c>
    </row>
    <row r="292" spans="1:6" x14ac:dyDescent="0.3">
      <c r="A292" t="s">
        <v>341</v>
      </c>
      <c r="B292">
        <f>VLOOKUP('Employee Details'!A292,'Remote work mental helath'!$A$2:$T$1001,2,)</f>
        <v>42</v>
      </c>
      <c r="C292" t="str">
        <f t="shared" si="4"/>
        <v>40-49</v>
      </c>
      <c r="D292" t="str">
        <f>VLOOKUP(A292,'Remote work mental helath'!$A$2:$T$1001,3,)</f>
        <v>Male</v>
      </c>
      <c r="E292" t="str">
        <f>VLOOKUP(A292,'Remote work mental helath'!$A$2:$T$1001,20,)</f>
        <v>Europe</v>
      </c>
      <c r="F292" t="str">
        <f>VLOOKUP(A292,'Remote work mental helath'!$A$2:$T$1001,4,)</f>
        <v>Sales</v>
      </c>
    </row>
    <row r="293" spans="1:6" x14ac:dyDescent="0.3">
      <c r="A293" t="s">
        <v>342</v>
      </c>
      <c r="B293">
        <f>VLOOKUP('Employee Details'!A293,'Remote work mental helath'!$A$2:$T$1001,2,)</f>
        <v>42</v>
      </c>
      <c r="C293" t="str">
        <f t="shared" si="4"/>
        <v>40-49</v>
      </c>
      <c r="D293" t="str">
        <f>VLOOKUP(A293,'Remote work mental helath'!$A$2:$T$1001,3,)</f>
        <v>Prefer not to say</v>
      </c>
      <c r="E293" t="str">
        <f>VLOOKUP(A293,'Remote work mental helath'!$A$2:$T$1001,20,)</f>
        <v>Asia</v>
      </c>
      <c r="F293" t="str">
        <f>VLOOKUP(A293,'Remote work mental helath'!$A$2:$T$1001,4,)</f>
        <v>HR</v>
      </c>
    </row>
    <row r="294" spans="1:6" x14ac:dyDescent="0.3">
      <c r="A294" t="s">
        <v>343</v>
      </c>
      <c r="B294">
        <f>VLOOKUP('Employee Details'!A294,'Remote work mental helath'!$A$2:$T$1001,2,)</f>
        <v>33</v>
      </c>
      <c r="C294" t="str">
        <f t="shared" si="4"/>
        <v>30-39</v>
      </c>
      <c r="D294" t="str">
        <f>VLOOKUP(A294,'Remote work mental helath'!$A$2:$T$1001,3,)</f>
        <v>Female</v>
      </c>
      <c r="E294" t="str">
        <f>VLOOKUP(A294,'Remote work mental helath'!$A$2:$T$1001,20,)</f>
        <v>Africa</v>
      </c>
      <c r="F294" t="str">
        <f>VLOOKUP(A294,'Remote work mental helath'!$A$2:$T$1001,4,)</f>
        <v>Sales</v>
      </c>
    </row>
    <row r="295" spans="1:6" x14ac:dyDescent="0.3">
      <c r="A295" t="s">
        <v>344</v>
      </c>
      <c r="B295">
        <f>VLOOKUP('Employee Details'!A295,'Remote work mental helath'!$A$2:$T$1001,2,)</f>
        <v>40</v>
      </c>
      <c r="C295" t="str">
        <f t="shared" si="4"/>
        <v>40-49</v>
      </c>
      <c r="D295" t="str">
        <f>VLOOKUP(A295,'Remote work mental helath'!$A$2:$T$1001,3,)</f>
        <v>Male</v>
      </c>
      <c r="E295" t="str">
        <f>VLOOKUP(A295,'Remote work mental helath'!$A$2:$T$1001,20,)</f>
        <v>Asia</v>
      </c>
      <c r="F295" t="str">
        <f>VLOOKUP(A295,'Remote work mental helath'!$A$2:$T$1001,4,)</f>
        <v>Designer</v>
      </c>
    </row>
    <row r="296" spans="1:6" x14ac:dyDescent="0.3">
      <c r="A296" t="s">
        <v>345</v>
      </c>
      <c r="B296">
        <f>VLOOKUP('Employee Details'!A296,'Remote work mental helath'!$A$2:$T$1001,2,)</f>
        <v>27</v>
      </c>
      <c r="C296" t="str">
        <f t="shared" si="4"/>
        <v>20-29</v>
      </c>
      <c r="D296" t="str">
        <f>VLOOKUP(A296,'Remote work mental helath'!$A$2:$T$1001,3,)</f>
        <v>Male</v>
      </c>
      <c r="E296" t="str">
        <f>VLOOKUP(A296,'Remote work mental helath'!$A$2:$T$1001,20,)</f>
        <v>Europe</v>
      </c>
      <c r="F296" t="str">
        <f>VLOOKUP(A296,'Remote work mental helath'!$A$2:$T$1001,4,)</f>
        <v>Marketing</v>
      </c>
    </row>
    <row r="297" spans="1:6" x14ac:dyDescent="0.3">
      <c r="A297" t="s">
        <v>346</v>
      </c>
      <c r="B297">
        <f>VLOOKUP('Employee Details'!A297,'Remote work mental helath'!$A$2:$T$1001,2,)</f>
        <v>39</v>
      </c>
      <c r="C297" t="str">
        <f t="shared" si="4"/>
        <v>30-39</v>
      </c>
      <c r="D297" t="str">
        <f>VLOOKUP(A297,'Remote work mental helath'!$A$2:$T$1001,3,)</f>
        <v>Prefer not to say</v>
      </c>
      <c r="E297" t="str">
        <f>VLOOKUP(A297,'Remote work mental helath'!$A$2:$T$1001,20,)</f>
        <v>North America</v>
      </c>
      <c r="F297" t="str">
        <f>VLOOKUP(A297,'Remote work mental helath'!$A$2:$T$1001,4,)</f>
        <v>Data Scientist</v>
      </c>
    </row>
    <row r="298" spans="1:6" x14ac:dyDescent="0.3">
      <c r="A298" t="s">
        <v>347</v>
      </c>
      <c r="B298">
        <f>VLOOKUP('Employee Details'!A298,'Remote work mental helath'!$A$2:$T$1001,2,)</f>
        <v>42</v>
      </c>
      <c r="C298" t="str">
        <f t="shared" si="4"/>
        <v>40-49</v>
      </c>
      <c r="D298" t="str">
        <f>VLOOKUP(A298,'Remote work mental helath'!$A$2:$T$1001,3,)</f>
        <v>Female</v>
      </c>
      <c r="E298" t="str">
        <f>VLOOKUP(A298,'Remote work mental helath'!$A$2:$T$1001,20,)</f>
        <v>Europe</v>
      </c>
      <c r="F298" t="str">
        <f>VLOOKUP(A298,'Remote work mental helath'!$A$2:$T$1001,4,)</f>
        <v>Marketing</v>
      </c>
    </row>
    <row r="299" spans="1:6" x14ac:dyDescent="0.3">
      <c r="A299" t="s">
        <v>348</v>
      </c>
      <c r="B299">
        <f>VLOOKUP('Employee Details'!A299,'Remote work mental helath'!$A$2:$T$1001,2,)</f>
        <v>22</v>
      </c>
      <c r="C299" t="str">
        <f t="shared" si="4"/>
        <v>20-29</v>
      </c>
      <c r="D299" t="str">
        <f>VLOOKUP(A299,'Remote work mental helath'!$A$2:$T$1001,3,)</f>
        <v>Non-binary</v>
      </c>
      <c r="E299" t="str">
        <f>VLOOKUP(A299,'Remote work mental helath'!$A$2:$T$1001,20,)</f>
        <v>Asia</v>
      </c>
      <c r="F299" t="str">
        <f>VLOOKUP(A299,'Remote work mental helath'!$A$2:$T$1001,4,)</f>
        <v>Sales</v>
      </c>
    </row>
    <row r="300" spans="1:6" x14ac:dyDescent="0.3">
      <c r="A300" t="s">
        <v>349</v>
      </c>
      <c r="B300">
        <f>VLOOKUP('Employee Details'!A300,'Remote work mental helath'!$A$2:$T$1001,2,)</f>
        <v>45</v>
      </c>
      <c r="C300" t="str">
        <f t="shared" si="4"/>
        <v>40-49</v>
      </c>
      <c r="D300" t="str">
        <f>VLOOKUP(A300,'Remote work mental helath'!$A$2:$T$1001,3,)</f>
        <v>Female</v>
      </c>
      <c r="E300" t="str">
        <f>VLOOKUP(A300,'Remote work mental helath'!$A$2:$T$1001,20,)</f>
        <v>North America</v>
      </c>
      <c r="F300" t="str">
        <f>VLOOKUP(A300,'Remote work mental helath'!$A$2:$T$1001,4,)</f>
        <v>Marketing</v>
      </c>
    </row>
    <row r="301" spans="1:6" x14ac:dyDescent="0.3">
      <c r="A301" t="s">
        <v>350</v>
      </c>
      <c r="B301">
        <f>VLOOKUP('Employee Details'!A301,'Remote work mental helath'!$A$2:$T$1001,2,)</f>
        <v>47</v>
      </c>
      <c r="C301" t="str">
        <f t="shared" si="4"/>
        <v>40-49</v>
      </c>
      <c r="D301" t="str">
        <f>VLOOKUP(A301,'Remote work mental helath'!$A$2:$T$1001,3,)</f>
        <v>Female</v>
      </c>
      <c r="E301" t="str">
        <f>VLOOKUP(A301,'Remote work mental helath'!$A$2:$T$1001,20,)</f>
        <v>Oceania</v>
      </c>
      <c r="F301" t="str">
        <f>VLOOKUP(A301,'Remote work mental helath'!$A$2:$T$1001,4,)</f>
        <v>Data Scientist</v>
      </c>
    </row>
    <row r="302" spans="1:6" x14ac:dyDescent="0.3">
      <c r="A302" t="s">
        <v>351</v>
      </c>
      <c r="B302">
        <f>VLOOKUP('Employee Details'!A302,'Remote work mental helath'!$A$2:$T$1001,2,)</f>
        <v>24</v>
      </c>
      <c r="C302" t="str">
        <f t="shared" si="4"/>
        <v>20-29</v>
      </c>
      <c r="D302" t="str">
        <f>VLOOKUP(A302,'Remote work mental helath'!$A$2:$T$1001,3,)</f>
        <v>Non-binary</v>
      </c>
      <c r="E302" t="str">
        <f>VLOOKUP(A302,'Remote work mental helath'!$A$2:$T$1001,20,)</f>
        <v>Oceania</v>
      </c>
      <c r="F302" t="str">
        <f>VLOOKUP(A302,'Remote work mental helath'!$A$2:$T$1001,4,)</f>
        <v>Designer</v>
      </c>
    </row>
    <row r="303" spans="1:6" x14ac:dyDescent="0.3">
      <c r="A303" t="s">
        <v>352</v>
      </c>
      <c r="B303">
        <f>VLOOKUP('Employee Details'!A303,'Remote work mental helath'!$A$2:$T$1001,2,)</f>
        <v>48</v>
      </c>
      <c r="C303" t="str">
        <f t="shared" si="4"/>
        <v>40-49</v>
      </c>
      <c r="D303" t="str">
        <f>VLOOKUP(A303,'Remote work mental helath'!$A$2:$T$1001,3,)</f>
        <v>Non-binary</v>
      </c>
      <c r="E303" t="str">
        <f>VLOOKUP(A303,'Remote work mental helath'!$A$2:$T$1001,20,)</f>
        <v>Europe</v>
      </c>
      <c r="F303" t="str">
        <f>VLOOKUP(A303,'Remote work mental helath'!$A$2:$T$1001,4,)</f>
        <v>HR</v>
      </c>
    </row>
    <row r="304" spans="1:6" x14ac:dyDescent="0.3">
      <c r="A304" t="s">
        <v>353</v>
      </c>
      <c r="B304">
        <f>VLOOKUP('Employee Details'!A304,'Remote work mental helath'!$A$2:$T$1001,2,)</f>
        <v>60</v>
      </c>
      <c r="C304" t="str">
        <f t="shared" si="4"/>
        <v>50+</v>
      </c>
      <c r="D304" t="str">
        <f>VLOOKUP(A304,'Remote work mental helath'!$A$2:$T$1001,3,)</f>
        <v>Non-binary</v>
      </c>
      <c r="E304" t="str">
        <f>VLOOKUP(A304,'Remote work mental helath'!$A$2:$T$1001,20,)</f>
        <v>Africa</v>
      </c>
      <c r="F304" t="str">
        <f>VLOOKUP(A304,'Remote work mental helath'!$A$2:$T$1001,4,)</f>
        <v>Software Engineer</v>
      </c>
    </row>
    <row r="305" spans="1:6" x14ac:dyDescent="0.3">
      <c r="A305" t="s">
        <v>354</v>
      </c>
      <c r="B305">
        <f>VLOOKUP('Employee Details'!A305,'Remote work mental helath'!$A$2:$T$1001,2,)</f>
        <v>41</v>
      </c>
      <c r="C305" t="str">
        <f t="shared" si="4"/>
        <v>40-49</v>
      </c>
      <c r="D305" t="str">
        <f>VLOOKUP(A305,'Remote work mental helath'!$A$2:$T$1001,3,)</f>
        <v>Non-binary</v>
      </c>
      <c r="E305" t="str">
        <f>VLOOKUP(A305,'Remote work mental helath'!$A$2:$T$1001,20,)</f>
        <v>South America</v>
      </c>
      <c r="F305" t="str">
        <f>VLOOKUP(A305,'Remote work mental helath'!$A$2:$T$1001,4,)</f>
        <v>Software Engineer</v>
      </c>
    </row>
    <row r="306" spans="1:6" x14ac:dyDescent="0.3">
      <c r="A306" t="s">
        <v>355</v>
      </c>
      <c r="B306">
        <f>VLOOKUP('Employee Details'!A306,'Remote work mental helath'!$A$2:$T$1001,2,)</f>
        <v>49</v>
      </c>
      <c r="C306" t="str">
        <f t="shared" si="4"/>
        <v>40-49</v>
      </c>
      <c r="D306" t="str">
        <f>VLOOKUP(A306,'Remote work mental helath'!$A$2:$T$1001,3,)</f>
        <v>Prefer not to say</v>
      </c>
      <c r="E306" t="str">
        <f>VLOOKUP(A306,'Remote work mental helath'!$A$2:$T$1001,20,)</f>
        <v>Africa</v>
      </c>
      <c r="F306" t="str">
        <f>VLOOKUP(A306,'Remote work mental helath'!$A$2:$T$1001,4,)</f>
        <v>Project Manager</v>
      </c>
    </row>
    <row r="307" spans="1:6" x14ac:dyDescent="0.3">
      <c r="A307" t="s">
        <v>356</v>
      </c>
      <c r="B307">
        <f>VLOOKUP('Employee Details'!A307,'Remote work mental helath'!$A$2:$T$1001,2,)</f>
        <v>27</v>
      </c>
      <c r="C307" t="str">
        <f t="shared" si="4"/>
        <v>20-29</v>
      </c>
      <c r="D307" t="str">
        <f>VLOOKUP(A307,'Remote work mental helath'!$A$2:$T$1001,3,)</f>
        <v>Prefer not to say</v>
      </c>
      <c r="E307" t="str">
        <f>VLOOKUP(A307,'Remote work mental helath'!$A$2:$T$1001,20,)</f>
        <v>Europe</v>
      </c>
      <c r="F307" t="str">
        <f>VLOOKUP(A307,'Remote work mental helath'!$A$2:$T$1001,4,)</f>
        <v>Data Scientist</v>
      </c>
    </row>
    <row r="308" spans="1:6" x14ac:dyDescent="0.3">
      <c r="A308" t="s">
        <v>357</v>
      </c>
      <c r="B308">
        <f>VLOOKUP('Employee Details'!A308,'Remote work mental helath'!$A$2:$T$1001,2,)</f>
        <v>35</v>
      </c>
      <c r="C308" t="str">
        <f t="shared" si="4"/>
        <v>30-39</v>
      </c>
      <c r="D308" t="str">
        <f>VLOOKUP(A308,'Remote work mental helath'!$A$2:$T$1001,3,)</f>
        <v>Prefer not to say</v>
      </c>
      <c r="E308" t="str">
        <f>VLOOKUP(A308,'Remote work mental helath'!$A$2:$T$1001,20,)</f>
        <v>Asia</v>
      </c>
      <c r="F308" t="str">
        <f>VLOOKUP(A308,'Remote work mental helath'!$A$2:$T$1001,4,)</f>
        <v>Marketing</v>
      </c>
    </row>
    <row r="309" spans="1:6" x14ac:dyDescent="0.3">
      <c r="A309" t="s">
        <v>358</v>
      </c>
      <c r="B309">
        <f>VLOOKUP('Employee Details'!A309,'Remote work mental helath'!$A$2:$T$1001,2,)</f>
        <v>23</v>
      </c>
      <c r="C309" t="str">
        <f t="shared" si="4"/>
        <v>20-29</v>
      </c>
      <c r="D309" t="str">
        <f>VLOOKUP(A309,'Remote work mental helath'!$A$2:$T$1001,3,)</f>
        <v>Male</v>
      </c>
      <c r="E309" t="str">
        <f>VLOOKUP(A309,'Remote work mental helath'!$A$2:$T$1001,20,)</f>
        <v>North America</v>
      </c>
      <c r="F309" t="str">
        <f>VLOOKUP(A309,'Remote work mental helath'!$A$2:$T$1001,4,)</f>
        <v>Software Engineer</v>
      </c>
    </row>
    <row r="310" spans="1:6" x14ac:dyDescent="0.3">
      <c r="A310" t="s">
        <v>359</v>
      </c>
      <c r="B310">
        <f>VLOOKUP('Employee Details'!A310,'Remote work mental helath'!$A$2:$T$1001,2,)</f>
        <v>24</v>
      </c>
      <c r="C310" t="str">
        <f t="shared" si="4"/>
        <v>20-29</v>
      </c>
      <c r="D310" t="str">
        <f>VLOOKUP(A310,'Remote work mental helath'!$A$2:$T$1001,3,)</f>
        <v>Prefer not to say</v>
      </c>
      <c r="E310" t="str">
        <f>VLOOKUP(A310,'Remote work mental helath'!$A$2:$T$1001,20,)</f>
        <v>Africa</v>
      </c>
      <c r="F310" t="str">
        <f>VLOOKUP(A310,'Remote work mental helath'!$A$2:$T$1001,4,)</f>
        <v>Designer</v>
      </c>
    </row>
    <row r="311" spans="1:6" x14ac:dyDescent="0.3">
      <c r="A311" t="s">
        <v>360</v>
      </c>
      <c r="B311">
        <f>VLOOKUP('Employee Details'!A311,'Remote work mental helath'!$A$2:$T$1001,2,)</f>
        <v>41</v>
      </c>
      <c r="C311" t="str">
        <f t="shared" si="4"/>
        <v>40-49</v>
      </c>
      <c r="D311" t="str">
        <f>VLOOKUP(A311,'Remote work mental helath'!$A$2:$T$1001,3,)</f>
        <v>Non-binary</v>
      </c>
      <c r="E311" t="str">
        <f>VLOOKUP(A311,'Remote work mental helath'!$A$2:$T$1001,20,)</f>
        <v>Africa</v>
      </c>
      <c r="F311" t="str">
        <f>VLOOKUP(A311,'Remote work mental helath'!$A$2:$T$1001,4,)</f>
        <v>Sales</v>
      </c>
    </row>
    <row r="312" spans="1:6" x14ac:dyDescent="0.3">
      <c r="A312" t="s">
        <v>361</v>
      </c>
      <c r="B312">
        <f>VLOOKUP('Employee Details'!A312,'Remote work mental helath'!$A$2:$T$1001,2,)</f>
        <v>41</v>
      </c>
      <c r="C312" t="str">
        <f t="shared" si="4"/>
        <v>40-49</v>
      </c>
      <c r="D312" t="str">
        <f>VLOOKUP(A312,'Remote work mental helath'!$A$2:$T$1001,3,)</f>
        <v>Prefer not to say</v>
      </c>
      <c r="E312" t="str">
        <f>VLOOKUP(A312,'Remote work mental helath'!$A$2:$T$1001,20,)</f>
        <v>Asia</v>
      </c>
      <c r="F312" t="str">
        <f>VLOOKUP(A312,'Remote work mental helath'!$A$2:$T$1001,4,)</f>
        <v>Designer</v>
      </c>
    </row>
    <row r="313" spans="1:6" x14ac:dyDescent="0.3">
      <c r="A313" t="s">
        <v>362</v>
      </c>
      <c r="B313">
        <f>VLOOKUP('Employee Details'!A313,'Remote work mental helath'!$A$2:$T$1001,2,)</f>
        <v>43</v>
      </c>
      <c r="C313" t="str">
        <f t="shared" si="4"/>
        <v>40-49</v>
      </c>
      <c r="D313" t="str">
        <f>VLOOKUP(A313,'Remote work mental helath'!$A$2:$T$1001,3,)</f>
        <v>Female</v>
      </c>
      <c r="E313" t="str">
        <f>VLOOKUP(A313,'Remote work mental helath'!$A$2:$T$1001,20,)</f>
        <v>Oceania</v>
      </c>
      <c r="F313" t="str">
        <f>VLOOKUP(A313,'Remote work mental helath'!$A$2:$T$1001,4,)</f>
        <v>Data Scientist</v>
      </c>
    </row>
    <row r="314" spans="1:6" x14ac:dyDescent="0.3">
      <c r="A314" t="s">
        <v>363</v>
      </c>
      <c r="B314">
        <f>VLOOKUP('Employee Details'!A314,'Remote work mental helath'!$A$2:$T$1001,2,)</f>
        <v>30</v>
      </c>
      <c r="C314" t="str">
        <f t="shared" si="4"/>
        <v>30-39</v>
      </c>
      <c r="D314" t="str">
        <f>VLOOKUP(A314,'Remote work mental helath'!$A$2:$T$1001,3,)</f>
        <v>Non-binary</v>
      </c>
      <c r="E314" t="str">
        <f>VLOOKUP(A314,'Remote work mental helath'!$A$2:$T$1001,20,)</f>
        <v>South America</v>
      </c>
      <c r="F314" t="str">
        <f>VLOOKUP(A314,'Remote work mental helath'!$A$2:$T$1001,4,)</f>
        <v>Sales</v>
      </c>
    </row>
    <row r="315" spans="1:6" x14ac:dyDescent="0.3">
      <c r="A315" t="s">
        <v>364</v>
      </c>
      <c r="B315">
        <f>VLOOKUP('Employee Details'!A315,'Remote work mental helath'!$A$2:$T$1001,2,)</f>
        <v>44</v>
      </c>
      <c r="C315" t="str">
        <f t="shared" si="4"/>
        <v>40-49</v>
      </c>
      <c r="D315" t="str">
        <f>VLOOKUP(A315,'Remote work mental helath'!$A$2:$T$1001,3,)</f>
        <v>Male</v>
      </c>
      <c r="E315" t="str">
        <f>VLOOKUP(A315,'Remote work mental helath'!$A$2:$T$1001,20,)</f>
        <v>Africa</v>
      </c>
      <c r="F315" t="str">
        <f>VLOOKUP(A315,'Remote work mental helath'!$A$2:$T$1001,4,)</f>
        <v>HR</v>
      </c>
    </row>
    <row r="316" spans="1:6" x14ac:dyDescent="0.3">
      <c r="A316" t="s">
        <v>365</v>
      </c>
      <c r="B316">
        <f>VLOOKUP('Employee Details'!A316,'Remote work mental helath'!$A$2:$T$1001,2,)</f>
        <v>50</v>
      </c>
      <c r="C316" t="str">
        <f t="shared" si="4"/>
        <v>50+</v>
      </c>
      <c r="D316" t="str">
        <f>VLOOKUP(A316,'Remote work mental helath'!$A$2:$T$1001,3,)</f>
        <v>Male</v>
      </c>
      <c r="E316" t="str">
        <f>VLOOKUP(A316,'Remote work mental helath'!$A$2:$T$1001,20,)</f>
        <v>North America</v>
      </c>
      <c r="F316" t="str">
        <f>VLOOKUP(A316,'Remote work mental helath'!$A$2:$T$1001,4,)</f>
        <v>Marketing</v>
      </c>
    </row>
    <row r="317" spans="1:6" x14ac:dyDescent="0.3">
      <c r="A317" t="s">
        <v>366</v>
      </c>
      <c r="B317">
        <f>VLOOKUP('Employee Details'!A317,'Remote work mental helath'!$A$2:$T$1001,2,)</f>
        <v>48</v>
      </c>
      <c r="C317" t="str">
        <f t="shared" si="4"/>
        <v>40-49</v>
      </c>
      <c r="D317" t="str">
        <f>VLOOKUP(A317,'Remote work mental helath'!$A$2:$T$1001,3,)</f>
        <v>Non-binary</v>
      </c>
      <c r="E317" t="str">
        <f>VLOOKUP(A317,'Remote work mental helath'!$A$2:$T$1001,20,)</f>
        <v>Asia</v>
      </c>
      <c r="F317" t="str">
        <f>VLOOKUP(A317,'Remote work mental helath'!$A$2:$T$1001,4,)</f>
        <v>Designer</v>
      </c>
    </row>
    <row r="318" spans="1:6" x14ac:dyDescent="0.3">
      <c r="A318" t="s">
        <v>367</v>
      </c>
      <c r="B318">
        <f>VLOOKUP('Employee Details'!A318,'Remote work mental helath'!$A$2:$T$1001,2,)</f>
        <v>45</v>
      </c>
      <c r="C318" t="str">
        <f t="shared" si="4"/>
        <v>40-49</v>
      </c>
      <c r="D318" t="str">
        <f>VLOOKUP(A318,'Remote work mental helath'!$A$2:$T$1001,3,)</f>
        <v>Male</v>
      </c>
      <c r="E318" t="str">
        <f>VLOOKUP(A318,'Remote work mental helath'!$A$2:$T$1001,20,)</f>
        <v>Asia</v>
      </c>
      <c r="F318" t="str">
        <f>VLOOKUP(A318,'Remote work mental helath'!$A$2:$T$1001,4,)</f>
        <v>Marketing</v>
      </c>
    </row>
    <row r="319" spans="1:6" x14ac:dyDescent="0.3">
      <c r="A319" t="s">
        <v>368</v>
      </c>
      <c r="B319">
        <f>VLOOKUP('Employee Details'!A319,'Remote work mental helath'!$A$2:$T$1001,2,)</f>
        <v>60</v>
      </c>
      <c r="C319" t="str">
        <f t="shared" si="4"/>
        <v>50+</v>
      </c>
      <c r="D319" t="str">
        <f>VLOOKUP(A319,'Remote work mental helath'!$A$2:$T$1001,3,)</f>
        <v>Male</v>
      </c>
      <c r="E319" t="str">
        <f>VLOOKUP(A319,'Remote work mental helath'!$A$2:$T$1001,20,)</f>
        <v>Europe</v>
      </c>
      <c r="F319" t="str">
        <f>VLOOKUP(A319,'Remote work mental helath'!$A$2:$T$1001,4,)</f>
        <v>HR</v>
      </c>
    </row>
    <row r="320" spans="1:6" x14ac:dyDescent="0.3">
      <c r="A320" t="s">
        <v>369</v>
      </c>
      <c r="B320">
        <f>VLOOKUP('Employee Details'!A320,'Remote work mental helath'!$A$2:$T$1001,2,)</f>
        <v>51</v>
      </c>
      <c r="C320" t="str">
        <f t="shared" si="4"/>
        <v>50+</v>
      </c>
      <c r="D320" t="str">
        <f>VLOOKUP(A320,'Remote work mental helath'!$A$2:$T$1001,3,)</f>
        <v>Prefer not to say</v>
      </c>
      <c r="E320" t="str">
        <f>VLOOKUP(A320,'Remote work mental helath'!$A$2:$T$1001,20,)</f>
        <v>Africa</v>
      </c>
      <c r="F320" t="str">
        <f>VLOOKUP(A320,'Remote work mental helath'!$A$2:$T$1001,4,)</f>
        <v>Project Manager</v>
      </c>
    </row>
    <row r="321" spans="1:6" x14ac:dyDescent="0.3">
      <c r="A321" t="s">
        <v>370</v>
      </c>
      <c r="B321">
        <f>VLOOKUP('Employee Details'!A321,'Remote work mental helath'!$A$2:$T$1001,2,)</f>
        <v>48</v>
      </c>
      <c r="C321" t="str">
        <f t="shared" si="4"/>
        <v>40-49</v>
      </c>
      <c r="D321" t="str">
        <f>VLOOKUP(A321,'Remote work mental helath'!$A$2:$T$1001,3,)</f>
        <v>Prefer not to say</v>
      </c>
      <c r="E321" t="str">
        <f>VLOOKUP(A321,'Remote work mental helath'!$A$2:$T$1001,20,)</f>
        <v>Europe</v>
      </c>
      <c r="F321" t="str">
        <f>VLOOKUP(A321,'Remote work mental helath'!$A$2:$T$1001,4,)</f>
        <v>HR</v>
      </c>
    </row>
    <row r="322" spans="1:6" x14ac:dyDescent="0.3">
      <c r="A322" t="s">
        <v>371</v>
      </c>
      <c r="B322">
        <f>VLOOKUP('Employee Details'!A322,'Remote work mental helath'!$A$2:$T$1001,2,)</f>
        <v>43</v>
      </c>
      <c r="C322" t="str">
        <f t="shared" si="4"/>
        <v>40-49</v>
      </c>
      <c r="D322" t="str">
        <f>VLOOKUP(A322,'Remote work mental helath'!$A$2:$T$1001,3,)</f>
        <v>Female</v>
      </c>
      <c r="E322" t="str">
        <f>VLOOKUP(A322,'Remote work mental helath'!$A$2:$T$1001,20,)</f>
        <v>Africa</v>
      </c>
      <c r="F322" t="str">
        <f>VLOOKUP(A322,'Remote work mental helath'!$A$2:$T$1001,4,)</f>
        <v>Marketing</v>
      </c>
    </row>
    <row r="323" spans="1:6" x14ac:dyDescent="0.3">
      <c r="A323" t="s">
        <v>372</v>
      </c>
      <c r="B323">
        <f>VLOOKUP('Employee Details'!A323,'Remote work mental helath'!$A$2:$T$1001,2,)</f>
        <v>23</v>
      </c>
      <c r="C323" t="str">
        <f t="shared" ref="C323:C386" si="5">IF(B323&lt;30,"20-29",IF(B323&lt;40,"30-39",IF(B323&lt;50,"40-49","50+")))</f>
        <v>20-29</v>
      </c>
      <c r="D323" t="str">
        <f>VLOOKUP(A323,'Remote work mental helath'!$A$2:$T$1001,3,)</f>
        <v>Prefer not to say</v>
      </c>
      <c r="E323" t="str">
        <f>VLOOKUP(A323,'Remote work mental helath'!$A$2:$T$1001,20,)</f>
        <v>South America</v>
      </c>
      <c r="F323" t="str">
        <f>VLOOKUP(A323,'Remote work mental helath'!$A$2:$T$1001,4,)</f>
        <v>Marketing</v>
      </c>
    </row>
    <row r="324" spans="1:6" x14ac:dyDescent="0.3">
      <c r="A324" t="s">
        <v>373</v>
      </c>
      <c r="B324">
        <f>VLOOKUP('Employee Details'!A324,'Remote work mental helath'!$A$2:$T$1001,2,)</f>
        <v>32</v>
      </c>
      <c r="C324" t="str">
        <f t="shared" si="5"/>
        <v>30-39</v>
      </c>
      <c r="D324" t="str">
        <f>VLOOKUP(A324,'Remote work mental helath'!$A$2:$T$1001,3,)</f>
        <v>Male</v>
      </c>
      <c r="E324" t="str">
        <f>VLOOKUP(A324,'Remote work mental helath'!$A$2:$T$1001,20,)</f>
        <v>Asia</v>
      </c>
      <c r="F324" t="str">
        <f>VLOOKUP(A324,'Remote work mental helath'!$A$2:$T$1001,4,)</f>
        <v>Marketing</v>
      </c>
    </row>
    <row r="325" spans="1:6" x14ac:dyDescent="0.3">
      <c r="A325" t="s">
        <v>374</v>
      </c>
      <c r="B325">
        <f>VLOOKUP('Employee Details'!A325,'Remote work mental helath'!$A$2:$T$1001,2,)</f>
        <v>44</v>
      </c>
      <c r="C325" t="str">
        <f t="shared" si="5"/>
        <v>40-49</v>
      </c>
      <c r="D325" t="str">
        <f>VLOOKUP(A325,'Remote work mental helath'!$A$2:$T$1001,3,)</f>
        <v>Non-binary</v>
      </c>
      <c r="E325" t="str">
        <f>VLOOKUP(A325,'Remote work mental helath'!$A$2:$T$1001,20,)</f>
        <v>Asia</v>
      </c>
      <c r="F325" t="str">
        <f>VLOOKUP(A325,'Remote work mental helath'!$A$2:$T$1001,4,)</f>
        <v>HR</v>
      </c>
    </row>
    <row r="326" spans="1:6" x14ac:dyDescent="0.3">
      <c r="A326" t="s">
        <v>375</v>
      </c>
      <c r="B326">
        <f>VLOOKUP('Employee Details'!A326,'Remote work mental helath'!$A$2:$T$1001,2,)</f>
        <v>36</v>
      </c>
      <c r="C326" t="str">
        <f t="shared" si="5"/>
        <v>30-39</v>
      </c>
      <c r="D326" t="str">
        <f>VLOOKUP(A326,'Remote work mental helath'!$A$2:$T$1001,3,)</f>
        <v>Female</v>
      </c>
      <c r="E326" t="str">
        <f>VLOOKUP(A326,'Remote work mental helath'!$A$2:$T$1001,20,)</f>
        <v>Oceania</v>
      </c>
      <c r="F326" t="str">
        <f>VLOOKUP(A326,'Remote work mental helath'!$A$2:$T$1001,4,)</f>
        <v>Marketing</v>
      </c>
    </row>
    <row r="327" spans="1:6" x14ac:dyDescent="0.3">
      <c r="A327" t="s">
        <v>376</v>
      </c>
      <c r="B327">
        <f>VLOOKUP('Employee Details'!A327,'Remote work mental helath'!$A$2:$T$1001,2,)</f>
        <v>50</v>
      </c>
      <c r="C327" t="str">
        <f t="shared" si="5"/>
        <v>50+</v>
      </c>
      <c r="D327" t="str">
        <f>VLOOKUP(A327,'Remote work mental helath'!$A$2:$T$1001,3,)</f>
        <v>Male</v>
      </c>
      <c r="E327" t="str">
        <f>VLOOKUP(A327,'Remote work mental helath'!$A$2:$T$1001,20,)</f>
        <v>Oceania</v>
      </c>
      <c r="F327" t="str">
        <f>VLOOKUP(A327,'Remote work mental helath'!$A$2:$T$1001,4,)</f>
        <v>Designer</v>
      </c>
    </row>
    <row r="328" spans="1:6" x14ac:dyDescent="0.3">
      <c r="A328" t="s">
        <v>377</v>
      </c>
      <c r="B328">
        <f>VLOOKUP('Employee Details'!A328,'Remote work mental helath'!$A$2:$T$1001,2,)</f>
        <v>54</v>
      </c>
      <c r="C328" t="str">
        <f t="shared" si="5"/>
        <v>50+</v>
      </c>
      <c r="D328" t="str">
        <f>VLOOKUP(A328,'Remote work mental helath'!$A$2:$T$1001,3,)</f>
        <v>Non-binary</v>
      </c>
      <c r="E328" t="str">
        <f>VLOOKUP(A328,'Remote work mental helath'!$A$2:$T$1001,20,)</f>
        <v>North America</v>
      </c>
      <c r="F328" t="str">
        <f>VLOOKUP(A328,'Remote work mental helath'!$A$2:$T$1001,4,)</f>
        <v>Marketing</v>
      </c>
    </row>
    <row r="329" spans="1:6" x14ac:dyDescent="0.3">
      <c r="A329" t="s">
        <v>378</v>
      </c>
      <c r="B329">
        <f>VLOOKUP('Employee Details'!A329,'Remote work mental helath'!$A$2:$T$1001,2,)</f>
        <v>54</v>
      </c>
      <c r="C329" t="str">
        <f t="shared" si="5"/>
        <v>50+</v>
      </c>
      <c r="D329" t="str">
        <f>VLOOKUP(A329,'Remote work mental helath'!$A$2:$T$1001,3,)</f>
        <v>Male</v>
      </c>
      <c r="E329" t="str">
        <f>VLOOKUP(A329,'Remote work mental helath'!$A$2:$T$1001,20,)</f>
        <v>Oceania</v>
      </c>
      <c r="F329" t="str">
        <f>VLOOKUP(A329,'Remote work mental helath'!$A$2:$T$1001,4,)</f>
        <v>Designer</v>
      </c>
    </row>
    <row r="330" spans="1:6" x14ac:dyDescent="0.3">
      <c r="A330" t="s">
        <v>379</v>
      </c>
      <c r="B330">
        <f>VLOOKUP('Employee Details'!A330,'Remote work mental helath'!$A$2:$T$1001,2,)</f>
        <v>33</v>
      </c>
      <c r="C330" t="str">
        <f t="shared" si="5"/>
        <v>30-39</v>
      </c>
      <c r="D330" t="str">
        <f>VLOOKUP(A330,'Remote work mental helath'!$A$2:$T$1001,3,)</f>
        <v>Prefer not to say</v>
      </c>
      <c r="E330" t="str">
        <f>VLOOKUP(A330,'Remote work mental helath'!$A$2:$T$1001,20,)</f>
        <v>South America</v>
      </c>
      <c r="F330" t="str">
        <f>VLOOKUP(A330,'Remote work mental helath'!$A$2:$T$1001,4,)</f>
        <v>HR</v>
      </c>
    </row>
    <row r="331" spans="1:6" x14ac:dyDescent="0.3">
      <c r="A331" t="s">
        <v>380</v>
      </c>
      <c r="B331">
        <f>VLOOKUP('Employee Details'!A331,'Remote work mental helath'!$A$2:$T$1001,2,)</f>
        <v>47</v>
      </c>
      <c r="C331" t="str">
        <f t="shared" si="5"/>
        <v>40-49</v>
      </c>
      <c r="D331" t="str">
        <f>VLOOKUP(A331,'Remote work mental helath'!$A$2:$T$1001,3,)</f>
        <v>Prefer not to say</v>
      </c>
      <c r="E331" t="str">
        <f>VLOOKUP(A331,'Remote work mental helath'!$A$2:$T$1001,20,)</f>
        <v>North America</v>
      </c>
      <c r="F331" t="str">
        <f>VLOOKUP(A331,'Remote work mental helath'!$A$2:$T$1001,4,)</f>
        <v>Sales</v>
      </c>
    </row>
    <row r="332" spans="1:6" x14ac:dyDescent="0.3">
      <c r="A332" t="s">
        <v>381</v>
      </c>
      <c r="B332">
        <f>VLOOKUP('Employee Details'!A332,'Remote work mental helath'!$A$2:$T$1001,2,)</f>
        <v>25</v>
      </c>
      <c r="C332" t="str">
        <f t="shared" si="5"/>
        <v>20-29</v>
      </c>
      <c r="D332" t="str">
        <f>VLOOKUP(A332,'Remote work mental helath'!$A$2:$T$1001,3,)</f>
        <v>Prefer not to say</v>
      </c>
      <c r="E332" t="str">
        <f>VLOOKUP(A332,'Remote work mental helath'!$A$2:$T$1001,20,)</f>
        <v>Africa</v>
      </c>
      <c r="F332" t="str">
        <f>VLOOKUP(A332,'Remote work mental helath'!$A$2:$T$1001,4,)</f>
        <v>Software Engineer</v>
      </c>
    </row>
    <row r="333" spans="1:6" x14ac:dyDescent="0.3">
      <c r="A333" t="s">
        <v>382</v>
      </c>
      <c r="B333">
        <f>VLOOKUP('Employee Details'!A333,'Remote work mental helath'!$A$2:$T$1001,2,)</f>
        <v>38</v>
      </c>
      <c r="C333" t="str">
        <f t="shared" si="5"/>
        <v>30-39</v>
      </c>
      <c r="D333" t="str">
        <f>VLOOKUP(A333,'Remote work mental helath'!$A$2:$T$1001,3,)</f>
        <v>Male</v>
      </c>
      <c r="E333" t="str">
        <f>VLOOKUP(A333,'Remote work mental helath'!$A$2:$T$1001,20,)</f>
        <v>Europe</v>
      </c>
      <c r="F333" t="str">
        <f>VLOOKUP(A333,'Remote work mental helath'!$A$2:$T$1001,4,)</f>
        <v>Sales</v>
      </c>
    </row>
    <row r="334" spans="1:6" x14ac:dyDescent="0.3">
      <c r="A334" t="s">
        <v>383</v>
      </c>
      <c r="B334">
        <f>VLOOKUP('Employee Details'!A334,'Remote work mental helath'!$A$2:$T$1001,2,)</f>
        <v>31</v>
      </c>
      <c r="C334" t="str">
        <f t="shared" si="5"/>
        <v>30-39</v>
      </c>
      <c r="D334" t="str">
        <f>VLOOKUP(A334,'Remote work mental helath'!$A$2:$T$1001,3,)</f>
        <v>Female</v>
      </c>
      <c r="E334" t="str">
        <f>VLOOKUP(A334,'Remote work mental helath'!$A$2:$T$1001,20,)</f>
        <v>Asia</v>
      </c>
      <c r="F334" t="str">
        <f>VLOOKUP(A334,'Remote work mental helath'!$A$2:$T$1001,4,)</f>
        <v>Software Engineer</v>
      </c>
    </row>
    <row r="335" spans="1:6" x14ac:dyDescent="0.3">
      <c r="A335" t="s">
        <v>384</v>
      </c>
      <c r="B335">
        <f>VLOOKUP('Employee Details'!A335,'Remote work mental helath'!$A$2:$T$1001,2,)</f>
        <v>58</v>
      </c>
      <c r="C335" t="str">
        <f t="shared" si="5"/>
        <v>50+</v>
      </c>
      <c r="D335" t="str">
        <f>VLOOKUP(A335,'Remote work mental helath'!$A$2:$T$1001,3,)</f>
        <v>Male</v>
      </c>
      <c r="E335" t="str">
        <f>VLOOKUP(A335,'Remote work mental helath'!$A$2:$T$1001,20,)</f>
        <v>Oceania</v>
      </c>
      <c r="F335" t="str">
        <f>VLOOKUP(A335,'Remote work mental helath'!$A$2:$T$1001,4,)</f>
        <v>Marketing</v>
      </c>
    </row>
    <row r="336" spans="1:6" x14ac:dyDescent="0.3">
      <c r="A336" t="s">
        <v>385</v>
      </c>
      <c r="B336">
        <f>VLOOKUP('Employee Details'!A336,'Remote work mental helath'!$A$2:$T$1001,2,)</f>
        <v>28</v>
      </c>
      <c r="C336" t="str">
        <f t="shared" si="5"/>
        <v>20-29</v>
      </c>
      <c r="D336" t="str">
        <f>VLOOKUP(A336,'Remote work mental helath'!$A$2:$T$1001,3,)</f>
        <v>Prefer not to say</v>
      </c>
      <c r="E336" t="str">
        <f>VLOOKUP(A336,'Remote work mental helath'!$A$2:$T$1001,20,)</f>
        <v>Africa</v>
      </c>
      <c r="F336" t="str">
        <f>VLOOKUP(A336,'Remote work mental helath'!$A$2:$T$1001,4,)</f>
        <v>Designer</v>
      </c>
    </row>
    <row r="337" spans="1:6" x14ac:dyDescent="0.3">
      <c r="A337" t="s">
        <v>386</v>
      </c>
      <c r="B337">
        <f>VLOOKUP('Employee Details'!A337,'Remote work mental helath'!$A$2:$T$1001,2,)</f>
        <v>54</v>
      </c>
      <c r="C337" t="str">
        <f t="shared" si="5"/>
        <v>50+</v>
      </c>
      <c r="D337" t="str">
        <f>VLOOKUP(A337,'Remote work mental helath'!$A$2:$T$1001,3,)</f>
        <v>Prefer not to say</v>
      </c>
      <c r="E337" t="str">
        <f>VLOOKUP(A337,'Remote work mental helath'!$A$2:$T$1001,20,)</f>
        <v>Asia</v>
      </c>
      <c r="F337" t="str">
        <f>VLOOKUP(A337,'Remote work mental helath'!$A$2:$T$1001,4,)</f>
        <v>Sales</v>
      </c>
    </row>
    <row r="338" spans="1:6" x14ac:dyDescent="0.3">
      <c r="A338" t="s">
        <v>387</v>
      </c>
      <c r="B338">
        <f>VLOOKUP('Employee Details'!A338,'Remote work mental helath'!$A$2:$T$1001,2,)</f>
        <v>60</v>
      </c>
      <c r="C338" t="str">
        <f t="shared" si="5"/>
        <v>50+</v>
      </c>
      <c r="D338" t="str">
        <f>VLOOKUP(A338,'Remote work mental helath'!$A$2:$T$1001,3,)</f>
        <v>Female</v>
      </c>
      <c r="E338" t="str">
        <f>VLOOKUP(A338,'Remote work mental helath'!$A$2:$T$1001,20,)</f>
        <v>South America</v>
      </c>
      <c r="F338" t="str">
        <f>VLOOKUP(A338,'Remote work mental helath'!$A$2:$T$1001,4,)</f>
        <v>Software Engineer</v>
      </c>
    </row>
    <row r="339" spans="1:6" x14ac:dyDescent="0.3">
      <c r="A339" t="s">
        <v>388</v>
      </c>
      <c r="B339">
        <f>VLOOKUP('Employee Details'!A339,'Remote work mental helath'!$A$2:$T$1001,2,)</f>
        <v>38</v>
      </c>
      <c r="C339" t="str">
        <f t="shared" si="5"/>
        <v>30-39</v>
      </c>
      <c r="D339" t="str">
        <f>VLOOKUP(A339,'Remote work mental helath'!$A$2:$T$1001,3,)</f>
        <v>Non-binary</v>
      </c>
      <c r="E339" t="str">
        <f>VLOOKUP(A339,'Remote work mental helath'!$A$2:$T$1001,20,)</f>
        <v>North America</v>
      </c>
      <c r="F339" t="str">
        <f>VLOOKUP(A339,'Remote work mental helath'!$A$2:$T$1001,4,)</f>
        <v>Designer</v>
      </c>
    </row>
    <row r="340" spans="1:6" x14ac:dyDescent="0.3">
      <c r="A340" t="s">
        <v>389</v>
      </c>
      <c r="B340">
        <f>VLOOKUP('Employee Details'!A340,'Remote work mental helath'!$A$2:$T$1001,2,)</f>
        <v>31</v>
      </c>
      <c r="C340" t="str">
        <f t="shared" si="5"/>
        <v>30-39</v>
      </c>
      <c r="D340" t="str">
        <f>VLOOKUP(A340,'Remote work mental helath'!$A$2:$T$1001,3,)</f>
        <v>Female</v>
      </c>
      <c r="E340" t="str">
        <f>VLOOKUP(A340,'Remote work mental helath'!$A$2:$T$1001,20,)</f>
        <v>Europe</v>
      </c>
      <c r="F340" t="str">
        <f>VLOOKUP(A340,'Remote work mental helath'!$A$2:$T$1001,4,)</f>
        <v>Sales</v>
      </c>
    </row>
    <row r="341" spans="1:6" x14ac:dyDescent="0.3">
      <c r="A341" t="s">
        <v>390</v>
      </c>
      <c r="B341">
        <f>VLOOKUP('Employee Details'!A341,'Remote work mental helath'!$A$2:$T$1001,2,)</f>
        <v>42</v>
      </c>
      <c r="C341" t="str">
        <f t="shared" si="5"/>
        <v>40-49</v>
      </c>
      <c r="D341" t="str">
        <f>VLOOKUP(A341,'Remote work mental helath'!$A$2:$T$1001,3,)</f>
        <v>Non-binary</v>
      </c>
      <c r="E341" t="str">
        <f>VLOOKUP(A341,'Remote work mental helath'!$A$2:$T$1001,20,)</f>
        <v>South America</v>
      </c>
      <c r="F341" t="str">
        <f>VLOOKUP(A341,'Remote work mental helath'!$A$2:$T$1001,4,)</f>
        <v>Designer</v>
      </c>
    </row>
    <row r="342" spans="1:6" x14ac:dyDescent="0.3">
      <c r="A342" t="s">
        <v>391</v>
      </c>
      <c r="B342">
        <f>VLOOKUP('Employee Details'!A342,'Remote work mental helath'!$A$2:$T$1001,2,)</f>
        <v>52</v>
      </c>
      <c r="C342" t="str">
        <f t="shared" si="5"/>
        <v>50+</v>
      </c>
      <c r="D342" t="str">
        <f>VLOOKUP(A342,'Remote work mental helath'!$A$2:$T$1001,3,)</f>
        <v>Female</v>
      </c>
      <c r="E342" t="str">
        <f>VLOOKUP(A342,'Remote work mental helath'!$A$2:$T$1001,20,)</f>
        <v>North America</v>
      </c>
      <c r="F342" t="str">
        <f>VLOOKUP(A342,'Remote work mental helath'!$A$2:$T$1001,4,)</f>
        <v>Data Scientist</v>
      </c>
    </row>
    <row r="343" spans="1:6" x14ac:dyDescent="0.3">
      <c r="A343" t="s">
        <v>392</v>
      </c>
      <c r="B343">
        <f>VLOOKUP('Employee Details'!A343,'Remote work mental helath'!$A$2:$T$1001,2,)</f>
        <v>41</v>
      </c>
      <c r="C343" t="str">
        <f t="shared" si="5"/>
        <v>40-49</v>
      </c>
      <c r="D343" t="str">
        <f>VLOOKUP(A343,'Remote work mental helath'!$A$2:$T$1001,3,)</f>
        <v>Female</v>
      </c>
      <c r="E343" t="str">
        <f>VLOOKUP(A343,'Remote work mental helath'!$A$2:$T$1001,20,)</f>
        <v>Asia</v>
      </c>
      <c r="F343" t="str">
        <f>VLOOKUP(A343,'Remote work mental helath'!$A$2:$T$1001,4,)</f>
        <v>HR</v>
      </c>
    </row>
    <row r="344" spans="1:6" x14ac:dyDescent="0.3">
      <c r="A344" t="s">
        <v>393</v>
      </c>
      <c r="B344">
        <f>VLOOKUP('Employee Details'!A344,'Remote work mental helath'!$A$2:$T$1001,2,)</f>
        <v>44</v>
      </c>
      <c r="C344" t="str">
        <f t="shared" si="5"/>
        <v>40-49</v>
      </c>
      <c r="D344" t="str">
        <f>VLOOKUP(A344,'Remote work mental helath'!$A$2:$T$1001,3,)</f>
        <v>Male</v>
      </c>
      <c r="E344" t="str">
        <f>VLOOKUP(A344,'Remote work mental helath'!$A$2:$T$1001,20,)</f>
        <v>North America</v>
      </c>
      <c r="F344" t="str">
        <f>VLOOKUP(A344,'Remote work mental helath'!$A$2:$T$1001,4,)</f>
        <v>Project Manager</v>
      </c>
    </row>
    <row r="345" spans="1:6" x14ac:dyDescent="0.3">
      <c r="A345" t="s">
        <v>394</v>
      </c>
      <c r="B345">
        <f>VLOOKUP('Employee Details'!A345,'Remote work mental helath'!$A$2:$T$1001,2,)</f>
        <v>42</v>
      </c>
      <c r="C345" t="str">
        <f t="shared" si="5"/>
        <v>40-49</v>
      </c>
      <c r="D345" t="str">
        <f>VLOOKUP(A345,'Remote work mental helath'!$A$2:$T$1001,3,)</f>
        <v>Female</v>
      </c>
      <c r="E345" t="str">
        <f>VLOOKUP(A345,'Remote work mental helath'!$A$2:$T$1001,20,)</f>
        <v>South America</v>
      </c>
      <c r="F345" t="str">
        <f>VLOOKUP(A345,'Remote work mental helath'!$A$2:$T$1001,4,)</f>
        <v>Data Scientist</v>
      </c>
    </row>
    <row r="346" spans="1:6" x14ac:dyDescent="0.3">
      <c r="A346" t="s">
        <v>395</v>
      </c>
      <c r="B346">
        <f>VLOOKUP('Employee Details'!A346,'Remote work mental helath'!$A$2:$T$1001,2,)</f>
        <v>53</v>
      </c>
      <c r="C346" t="str">
        <f t="shared" si="5"/>
        <v>50+</v>
      </c>
      <c r="D346" t="str">
        <f>VLOOKUP(A346,'Remote work mental helath'!$A$2:$T$1001,3,)</f>
        <v>Male</v>
      </c>
      <c r="E346" t="str">
        <f>VLOOKUP(A346,'Remote work mental helath'!$A$2:$T$1001,20,)</f>
        <v>Africa</v>
      </c>
      <c r="F346" t="str">
        <f>VLOOKUP(A346,'Remote work mental helath'!$A$2:$T$1001,4,)</f>
        <v>Software Engineer</v>
      </c>
    </row>
    <row r="347" spans="1:6" x14ac:dyDescent="0.3">
      <c r="A347" t="s">
        <v>396</v>
      </c>
      <c r="B347">
        <f>VLOOKUP('Employee Details'!A347,'Remote work mental helath'!$A$2:$T$1001,2,)</f>
        <v>52</v>
      </c>
      <c r="C347" t="str">
        <f t="shared" si="5"/>
        <v>50+</v>
      </c>
      <c r="D347" t="str">
        <f>VLOOKUP(A347,'Remote work mental helath'!$A$2:$T$1001,3,)</f>
        <v>Female</v>
      </c>
      <c r="E347" t="str">
        <f>VLOOKUP(A347,'Remote work mental helath'!$A$2:$T$1001,20,)</f>
        <v>North America</v>
      </c>
      <c r="F347" t="str">
        <f>VLOOKUP(A347,'Remote work mental helath'!$A$2:$T$1001,4,)</f>
        <v>Software Engineer</v>
      </c>
    </row>
    <row r="348" spans="1:6" x14ac:dyDescent="0.3">
      <c r="A348" t="s">
        <v>397</v>
      </c>
      <c r="B348">
        <f>VLOOKUP('Employee Details'!A348,'Remote work mental helath'!$A$2:$T$1001,2,)</f>
        <v>23</v>
      </c>
      <c r="C348" t="str">
        <f t="shared" si="5"/>
        <v>20-29</v>
      </c>
      <c r="D348" t="str">
        <f>VLOOKUP(A348,'Remote work mental helath'!$A$2:$T$1001,3,)</f>
        <v>Non-binary</v>
      </c>
      <c r="E348" t="str">
        <f>VLOOKUP(A348,'Remote work mental helath'!$A$2:$T$1001,20,)</f>
        <v>Africa</v>
      </c>
      <c r="F348" t="str">
        <f>VLOOKUP(A348,'Remote work mental helath'!$A$2:$T$1001,4,)</f>
        <v>Marketing</v>
      </c>
    </row>
    <row r="349" spans="1:6" x14ac:dyDescent="0.3">
      <c r="A349" t="s">
        <v>398</v>
      </c>
      <c r="B349">
        <f>VLOOKUP('Employee Details'!A349,'Remote work mental helath'!$A$2:$T$1001,2,)</f>
        <v>24</v>
      </c>
      <c r="C349" t="str">
        <f t="shared" si="5"/>
        <v>20-29</v>
      </c>
      <c r="D349" t="str">
        <f>VLOOKUP(A349,'Remote work mental helath'!$A$2:$T$1001,3,)</f>
        <v>Female</v>
      </c>
      <c r="E349" t="str">
        <f>VLOOKUP(A349,'Remote work mental helath'!$A$2:$T$1001,20,)</f>
        <v>Africa</v>
      </c>
      <c r="F349" t="str">
        <f>VLOOKUP(A349,'Remote work mental helath'!$A$2:$T$1001,4,)</f>
        <v>Sales</v>
      </c>
    </row>
    <row r="350" spans="1:6" x14ac:dyDescent="0.3">
      <c r="A350" t="s">
        <v>399</v>
      </c>
      <c r="B350">
        <f>VLOOKUP('Employee Details'!A350,'Remote work mental helath'!$A$2:$T$1001,2,)</f>
        <v>41</v>
      </c>
      <c r="C350" t="str">
        <f t="shared" si="5"/>
        <v>40-49</v>
      </c>
      <c r="D350" t="str">
        <f>VLOOKUP(A350,'Remote work mental helath'!$A$2:$T$1001,3,)</f>
        <v>Prefer not to say</v>
      </c>
      <c r="E350" t="str">
        <f>VLOOKUP(A350,'Remote work mental helath'!$A$2:$T$1001,20,)</f>
        <v>Asia</v>
      </c>
      <c r="F350" t="str">
        <f>VLOOKUP(A350,'Remote work mental helath'!$A$2:$T$1001,4,)</f>
        <v>Project Manager</v>
      </c>
    </row>
    <row r="351" spans="1:6" x14ac:dyDescent="0.3">
      <c r="A351" t="s">
        <v>400</v>
      </c>
      <c r="B351">
        <f>VLOOKUP('Employee Details'!A351,'Remote work mental helath'!$A$2:$T$1001,2,)</f>
        <v>60</v>
      </c>
      <c r="C351" t="str">
        <f t="shared" si="5"/>
        <v>50+</v>
      </c>
      <c r="D351" t="str">
        <f>VLOOKUP(A351,'Remote work mental helath'!$A$2:$T$1001,3,)</f>
        <v>Prefer not to say</v>
      </c>
      <c r="E351" t="str">
        <f>VLOOKUP(A351,'Remote work mental helath'!$A$2:$T$1001,20,)</f>
        <v>Africa</v>
      </c>
      <c r="F351" t="str">
        <f>VLOOKUP(A351,'Remote work mental helath'!$A$2:$T$1001,4,)</f>
        <v>HR</v>
      </c>
    </row>
    <row r="352" spans="1:6" x14ac:dyDescent="0.3">
      <c r="A352" t="s">
        <v>401</v>
      </c>
      <c r="B352">
        <f>VLOOKUP('Employee Details'!A352,'Remote work mental helath'!$A$2:$T$1001,2,)</f>
        <v>25</v>
      </c>
      <c r="C352" t="str">
        <f t="shared" si="5"/>
        <v>20-29</v>
      </c>
      <c r="D352" t="str">
        <f>VLOOKUP(A352,'Remote work mental helath'!$A$2:$T$1001,3,)</f>
        <v>Prefer not to say</v>
      </c>
      <c r="E352" t="str">
        <f>VLOOKUP(A352,'Remote work mental helath'!$A$2:$T$1001,20,)</f>
        <v>South America</v>
      </c>
      <c r="F352" t="str">
        <f>VLOOKUP(A352,'Remote work mental helath'!$A$2:$T$1001,4,)</f>
        <v>Designer</v>
      </c>
    </row>
    <row r="353" spans="1:6" x14ac:dyDescent="0.3">
      <c r="A353" t="s">
        <v>402</v>
      </c>
      <c r="B353">
        <f>VLOOKUP('Employee Details'!A353,'Remote work mental helath'!$A$2:$T$1001,2,)</f>
        <v>55</v>
      </c>
      <c r="C353" t="str">
        <f t="shared" si="5"/>
        <v>50+</v>
      </c>
      <c r="D353" t="str">
        <f>VLOOKUP(A353,'Remote work mental helath'!$A$2:$T$1001,3,)</f>
        <v>Prefer not to say</v>
      </c>
      <c r="E353" t="str">
        <f>VLOOKUP(A353,'Remote work mental helath'!$A$2:$T$1001,20,)</f>
        <v>North America</v>
      </c>
      <c r="F353" t="str">
        <f>VLOOKUP(A353,'Remote work mental helath'!$A$2:$T$1001,4,)</f>
        <v>HR</v>
      </c>
    </row>
    <row r="354" spans="1:6" x14ac:dyDescent="0.3">
      <c r="A354" t="s">
        <v>403</v>
      </c>
      <c r="B354">
        <f>VLOOKUP('Employee Details'!A354,'Remote work mental helath'!$A$2:$T$1001,2,)</f>
        <v>33</v>
      </c>
      <c r="C354" t="str">
        <f t="shared" si="5"/>
        <v>30-39</v>
      </c>
      <c r="D354" t="str">
        <f>VLOOKUP(A354,'Remote work mental helath'!$A$2:$T$1001,3,)</f>
        <v>Non-binary</v>
      </c>
      <c r="E354" t="str">
        <f>VLOOKUP(A354,'Remote work mental helath'!$A$2:$T$1001,20,)</f>
        <v>South America</v>
      </c>
      <c r="F354" t="str">
        <f>VLOOKUP(A354,'Remote work mental helath'!$A$2:$T$1001,4,)</f>
        <v>Software Engineer</v>
      </c>
    </row>
    <row r="355" spans="1:6" x14ac:dyDescent="0.3">
      <c r="A355" t="s">
        <v>404</v>
      </c>
      <c r="B355">
        <f>VLOOKUP('Employee Details'!A355,'Remote work mental helath'!$A$2:$T$1001,2,)</f>
        <v>43</v>
      </c>
      <c r="C355" t="str">
        <f t="shared" si="5"/>
        <v>40-49</v>
      </c>
      <c r="D355" t="str">
        <f>VLOOKUP(A355,'Remote work mental helath'!$A$2:$T$1001,3,)</f>
        <v>Prefer not to say</v>
      </c>
      <c r="E355" t="str">
        <f>VLOOKUP(A355,'Remote work mental helath'!$A$2:$T$1001,20,)</f>
        <v>Africa</v>
      </c>
      <c r="F355" t="str">
        <f>VLOOKUP(A355,'Remote work mental helath'!$A$2:$T$1001,4,)</f>
        <v>Data Scientist</v>
      </c>
    </row>
    <row r="356" spans="1:6" x14ac:dyDescent="0.3">
      <c r="A356" t="s">
        <v>405</v>
      </c>
      <c r="B356">
        <f>VLOOKUP('Employee Details'!A356,'Remote work mental helath'!$A$2:$T$1001,2,)</f>
        <v>59</v>
      </c>
      <c r="C356" t="str">
        <f t="shared" si="5"/>
        <v>50+</v>
      </c>
      <c r="D356" t="str">
        <f>VLOOKUP(A356,'Remote work mental helath'!$A$2:$T$1001,3,)</f>
        <v>Male</v>
      </c>
      <c r="E356" t="str">
        <f>VLOOKUP(A356,'Remote work mental helath'!$A$2:$T$1001,20,)</f>
        <v>Africa</v>
      </c>
      <c r="F356" t="str">
        <f>VLOOKUP(A356,'Remote work mental helath'!$A$2:$T$1001,4,)</f>
        <v>Project Manager</v>
      </c>
    </row>
    <row r="357" spans="1:6" x14ac:dyDescent="0.3">
      <c r="A357" t="s">
        <v>406</v>
      </c>
      <c r="B357">
        <f>VLOOKUP('Employee Details'!A357,'Remote work mental helath'!$A$2:$T$1001,2,)</f>
        <v>48</v>
      </c>
      <c r="C357" t="str">
        <f t="shared" si="5"/>
        <v>40-49</v>
      </c>
      <c r="D357" t="str">
        <f>VLOOKUP(A357,'Remote work mental helath'!$A$2:$T$1001,3,)</f>
        <v>Male</v>
      </c>
      <c r="E357" t="str">
        <f>VLOOKUP(A357,'Remote work mental helath'!$A$2:$T$1001,20,)</f>
        <v>South America</v>
      </c>
      <c r="F357" t="str">
        <f>VLOOKUP(A357,'Remote work mental helath'!$A$2:$T$1001,4,)</f>
        <v>Sales</v>
      </c>
    </row>
    <row r="358" spans="1:6" x14ac:dyDescent="0.3">
      <c r="A358" t="s">
        <v>407</v>
      </c>
      <c r="B358">
        <f>VLOOKUP('Employee Details'!A358,'Remote work mental helath'!$A$2:$T$1001,2,)</f>
        <v>31</v>
      </c>
      <c r="C358" t="str">
        <f t="shared" si="5"/>
        <v>30-39</v>
      </c>
      <c r="D358" t="str">
        <f>VLOOKUP(A358,'Remote work mental helath'!$A$2:$T$1001,3,)</f>
        <v>Non-binary</v>
      </c>
      <c r="E358" t="str">
        <f>VLOOKUP(A358,'Remote work mental helath'!$A$2:$T$1001,20,)</f>
        <v>Asia</v>
      </c>
      <c r="F358" t="str">
        <f>VLOOKUP(A358,'Remote work mental helath'!$A$2:$T$1001,4,)</f>
        <v>HR</v>
      </c>
    </row>
    <row r="359" spans="1:6" x14ac:dyDescent="0.3">
      <c r="A359" t="s">
        <v>408</v>
      </c>
      <c r="B359">
        <f>VLOOKUP('Employee Details'!A359,'Remote work mental helath'!$A$2:$T$1001,2,)</f>
        <v>28</v>
      </c>
      <c r="C359" t="str">
        <f t="shared" si="5"/>
        <v>20-29</v>
      </c>
      <c r="D359" t="str">
        <f>VLOOKUP(A359,'Remote work mental helath'!$A$2:$T$1001,3,)</f>
        <v>Male</v>
      </c>
      <c r="E359" t="str">
        <f>VLOOKUP(A359,'Remote work mental helath'!$A$2:$T$1001,20,)</f>
        <v>Asia</v>
      </c>
      <c r="F359" t="str">
        <f>VLOOKUP(A359,'Remote work mental helath'!$A$2:$T$1001,4,)</f>
        <v>Designer</v>
      </c>
    </row>
    <row r="360" spans="1:6" x14ac:dyDescent="0.3">
      <c r="A360" t="s">
        <v>409</v>
      </c>
      <c r="B360">
        <f>VLOOKUP('Employee Details'!A360,'Remote work mental helath'!$A$2:$T$1001,2,)</f>
        <v>49</v>
      </c>
      <c r="C360" t="str">
        <f t="shared" si="5"/>
        <v>40-49</v>
      </c>
      <c r="D360" t="str">
        <f>VLOOKUP(A360,'Remote work mental helath'!$A$2:$T$1001,3,)</f>
        <v>Male</v>
      </c>
      <c r="E360" t="str">
        <f>VLOOKUP(A360,'Remote work mental helath'!$A$2:$T$1001,20,)</f>
        <v>South America</v>
      </c>
      <c r="F360" t="str">
        <f>VLOOKUP(A360,'Remote work mental helath'!$A$2:$T$1001,4,)</f>
        <v>Sales</v>
      </c>
    </row>
    <row r="361" spans="1:6" x14ac:dyDescent="0.3">
      <c r="A361" t="s">
        <v>410</v>
      </c>
      <c r="B361">
        <f>VLOOKUP('Employee Details'!A361,'Remote work mental helath'!$A$2:$T$1001,2,)</f>
        <v>56</v>
      </c>
      <c r="C361" t="str">
        <f t="shared" si="5"/>
        <v>50+</v>
      </c>
      <c r="D361" t="str">
        <f>VLOOKUP(A361,'Remote work mental helath'!$A$2:$T$1001,3,)</f>
        <v>Prefer not to say</v>
      </c>
      <c r="E361" t="str">
        <f>VLOOKUP(A361,'Remote work mental helath'!$A$2:$T$1001,20,)</f>
        <v>Europe</v>
      </c>
      <c r="F361" t="str">
        <f>VLOOKUP(A361,'Remote work mental helath'!$A$2:$T$1001,4,)</f>
        <v>HR</v>
      </c>
    </row>
    <row r="362" spans="1:6" x14ac:dyDescent="0.3">
      <c r="A362" t="s">
        <v>411</v>
      </c>
      <c r="B362">
        <f>VLOOKUP('Employee Details'!A362,'Remote work mental helath'!$A$2:$T$1001,2,)</f>
        <v>56</v>
      </c>
      <c r="C362" t="str">
        <f t="shared" si="5"/>
        <v>50+</v>
      </c>
      <c r="D362" t="str">
        <f>VLOOKUP(A362,'Remote work mental helath'!$A$2:$T$1001,3,)</f>
        <v>Non-binary</v>
      </c>
      <c r="E362" t="str">
        <f>VLOOKUP(A362,'Remote work mental helath'!$A$2:$T$1001,20,)</f>
        <v>Asia</v>
      </c>
      <c r="F362" t="str">
        <f>VLOOKUP(A362,'Remote work mental helath'!$A$2:$T$1001,4,)</f>
        <v>Sales</v>
      </c>
    </row>
    <row r="363" spans="1:6" x14ac:dyDescent="0.3">
      <c r="A363" t="s">
        <v>412</v>
      </c>
      <c r="B363">
        <f>VLOOKUP('Employee Details'!A363,'Remote work mental helath'!$A$2:$T$1001,2,)</f>
        <v>51</v>
      </c>
      <c r="C363" t="str">
        <f t="shared" si="5"/>
        <v>50+</v>
      </c>
      <c r="D363" t="str">
        <f>VLOOKUP(A363,'Remote work mental helath'!$A$2:$T$1001,3,)</f>
        <v>Female</v>
      </c>
      <c r="E363" t="str">
        <f>VLOOKUP(A363,'Remote work mental helath'!$A$2:$T$1001,20,)</f>
        <v>Europe</v>
      </c>
      <c r="F363" t="str">
        <f>VLOOKUP(A363,'Remote work mental helath'!$A$2:$T$1001,4,)</f>
        <v>Sales</v>
      </c>
    </row>
    <row r="364" spans="1:6" x14ac:dyDescent="0.3">
      <c r="A364" t="s">
        <v>413</v>
      </c>
      <c r="B364">
        <f>VLOOKUP('Employee Details'!A364,'Remote work mental helath'!$A$2:$T$1001,2,)</f>
        <v>38</v>
      </c>
      <c r="C364" t="str">
        <f t="shared" si="5"/>
        <v>30-39</v>
      </c>
      <c r="D364" t="str">
        <f>VLOOKUP(A364,'Remote work mental helath'!$A$2:$T$1001,3,)</f>
        <v>Non-binary</v>
      </c>
      <c r="E364" t="str">
        <f>VLOOKUP(A364,'Remote work mental helath'!$A$2:$T$1001,20,)</f>
        <v>South America</v>
      </c>
      <c r="F364" t="str">
        <f>VLOOKUP(A364,'Remote work mental helath'!$A$2:$T$1001,4,)</f>
        <v>Designer</v>
      </c>
    </row>
    <row r="365" spans="1:6" x14ac:dyDescent="0.3">
      <c r="A365" t="s">
        <v>414</v>
      </c>
      <c r="B365">
        <f>VLOOKUP('Employee Details'!A365,'Remote work mental helath'!$A$2:$T$1001,2,)</f>
        <v>40</v>
      </c>
      <c r="C365" t="str">
        <f t="shared" si="5"/>
        <v>40-49</v>
      </c>
      <c r="D365" t="str">
        <f>VLOOKUP(A365,'Remote work mental helath'!$A$2:$T$1001,3,)</f>
        <v>Male</v>
      </c>
      <c r="E365" t="str">
        <f>VLOOKUP(A365,'Remote work mental helath'!$A$2:$T$1001,20,)</f>
        <v>South America</v>
      </c>
      <c r="F365" t="str">
        <f>VLOOKUP(A365,'Remote work mental helath'!$A$2:$T$1001,4,)</f>
        <v>Project Manager</v>
      </c>
    </row>
    <row r="366" spans="1:6" x14ac:dyDescent="0.3">
      <c r="A366" t="s">
        <v>415</v>
      </c>
      <c r="B366">
        <f>VLOOKUP('Employee Details'!A366,'Remote work mental helath'!$A$2:$T$1001,2,)</f>
        <v>56</v>
      </c>
      <c r="C366" t="str">
        <f t="shared" si="5"/>
        <v>50+</v>
      </c>
      <c r="D366" t="str">
        <f>VLOOKUP(A366,'Remote work mental helath'!$A$2:$T$1001,3,)</f>
        <v>Non-binary</v>
      </c>
      <c r="E366" t="str">
        <f>VLOOKUP(A366,'Remote work mental helath'!$A$2:$T$1001,20,)</f>
        <v>Africa</v>
      </c>
      <c r="F366" t="str">
        <f>VLOOKUP(A366,'Remote work mental helath'!$A$2:$T$1001,4,)</f>
        <v>Project Manager</v>
      </c>
    </row>
    <row r="367" spans="1:6" x14ac:dyDescent="0.3">
      <c r="A367" t="s">
        <v>416</v>
      </c>
      <c r="B367">
        <f>VLOOKUP('Employee Details'!A367,'Remote work mental helath'!$A$2:$T$1001,2,)</f>
        <v>33</v>
      </c>
      <c r="C367" t="str">
        <f t="shared" si="5"/>
        <v>30-39</v>
      </c>
      <c r="D367" t="str">
        <f>VLOOKUP(A367,'Remote work mental helath'!$A$2:$T$1001,3,)</f>
        <v>Non-binary</v>
      </c>
      <c r="E367" t="str">
        <f>VLOOKUP(A367,'Remote work mental helath'!$A$2:$T$1001,20,)</f>
        <v>South America</v>
      </c>
      <c r="F367" t="str">
        <f>VLOOKUP(A367,'Remote work mental helath'!$A$2:$T$1001,4,)</f>
        <v>Sales</v>
      </c>
    </row>
    <row r="368" spans="1:6" x14ac:dyDescent="0.3">
      <c r="A368" t="s">
        <v>417</v>
      </c>
      <c r="B368">
        <f>VLOOKUP('Employee Details'!A368,'Remote work mental helath'!$A$2:$T$1001,2,)</f>
        <v>45</v>
      </c>
      <c r="C368" t="str">
        <f t="shared" si="5"/>
        <v>40-49</v>
      </c>
      <c r="D368" t="str">
        <f>VLOOKUP(A368,'Remote work mental helath'!$A$2:$T$1001,3,)</f>
        <v>Male</v>
      </c>
      <c r="E368" t="str">
        <f>VLOOKUP(A368,'Remote work mental helath'!$A$2:$T$1001,20,)</f>
        <v>Europe</v>
      </c>
      <c r="F368" t="str">
        <f>VLOOKUP(A368,'Remote work mental helath'!$A$2:$T$1001,4,)</f>
        <v>Marketing</v>
      </c>
    </row>
    <row r="369" spans="1:6" x14ac:dyDescent="0.3">
      <c r="A369" t="s">
        <v>418</v>
      </c>
      <c r="B369">
        <f>VLOOKUP('Employee Details'!A369,'Remote work mental helath'!$A$2:$T$1001,2,)</f>
        <v>55</v>
      </c>
      <c r="C369" t="str">
        <f t="shared" si="5"/>
        <v>50+</v>
      </c>
      <c r="D369" t="str">
        <f>VLOOKUP(A369,'Remote work mental helath'!$A$2:$T$1001,3,)</f>
        <v>Non-binary</v>
      </c>
      <c r="E369" t="str">
        <f>VLOOKUP(A369,'Remote work mental helath'!$A$2:$T$1001,20,)</f>
        <v>Europe</v>
      </c>
      <c r="F369" t="str">
        <f>VLOOKUP(A369,'Remote work mental helath'!$A$2:$T$1001,4,)</f>
        <v>Sales</v>
      </c>
    </row>
    <row r="370" spans="1:6" x14ac:dyDescent="0.3">
      <c r="A370" t="s">
        <v>419</v>
      </c>
      <c r="B370">
        <f>VLOOKUP('Employee Details'!A370,'Remote work mental helath'!$A$2:$T$1001,2,)</f>
        <v>39</v>
      </c>
      <c r="C370" t="str">
        <f t="shared" si="5"/>
        <v>30-39</v>
      </c>
      <c r="D370" t="str">
        <f>VLOOKUP(A370,'Remote work mental helath'!$A$2:$T$1001,3,)</f>
        <v>Female</v>
      </c>
      <c r="E370" t="str">
        <f>VLOOKUP(A370,'Remote work mental helath'!$A$2:$T$1001,20,)</f>
        <v>South America</v>
      </c>
      <c r="F370" t="str">
        <f>VLOOKUP(A370,'Remote work mental helath'!$A$2:$T$1001,4,)</f>
        <v>Data Scientist</v>
      </c>
    </row>
    <row r="371" spans="1:6" x14ac:dyDescent="0.3">
      <c r="A371" t="s">
        <v>420</v>
      </c>
      <c r="B371">
        <f>VLOOKUP('Employee Details'!A371,'Remote work mental helath'!$A$2:$T$1001,2,)</f>
        <v>58</v>
      </c>
      <c r="C371" t="str">
        <f t="shared" si="5"/>
        <v>50+</v>
      </c>
      <c r="D371" t="str">
        <f>VLOOKUP(A371,'Remote work mental helath'!$A$2:$T$1001,3,)</f>
        <v>Non-binary</v>
      </c>
      <c r="E371" t="str">
        <f>VLOOKUP(A371,'Remote work mental helath'!$A$2:$T$1001,20,)</f>
        <v>Africa</v>
      </c>
      <c r="F371" t="str">
        <f>VLOOKUP(A371,'Remote work mental helath'!$A$2:$T$1001,4,)</f>
        <v>Software Engineer</v>
      </c>
    </row>
    <row r="372" spans="1:6" x14ac:dyDescent="0.3">
      <c r="A372" t="s">
        <v>421</v>
      </c>
      <c r="B372">
        <f>VLOOKUP('Employee Details'!A372,'Remote work mental helath'!$A$2:$T$1001,2,)</f>
        <v>41</v>
      </c>
      <c r="C372" t="str">
        <f t="shared" si="5"/>
        <v>40-49</v>
      </c>
      <c r="D372" t="str">
        <f>VLOOKUP(A372,'Remote work mental helath'!$A$2:$T$1001,3,)</f>
        <v>Non-binary</v>
      </c>
      <c r="E372" t="str">
        <f>VLOOKUP(A372,'Remote work mental helath'!$A$2:$T$1001,20,)</f>
        <v>Oceania</v>
      </c>
      <c r="F372" t="str">
        <f>VLOOKUP(A372,'Remote work mental helath'!$A$2:$T$1001,4,)</f>
        <v>Data Scientist</v>
      </c>
    </row>
    <row r="373" spans="1:6" x14ac:dyDescent="0.3">
      <c r="A373" t="s">
        <v>422</v>
      </c>
      <c r="B373">
        <f>VLOOKUP('Employee Details'!A373,'Remote work mental helath'!$A$2:$T$1001,2,)</f>
        <v>57</v>
      </c>
      <c r="C373" t="str">
        <f t="shared" si="5"/>
        <v>50+</v>
      </c>
      <c r="D373" t="str">
        <f>VLOOKUP(A373,'Remote work mental helath'!$A$2:$T$1001,3,)</f>
        <v>Prefer not to say</v>
      </c>
      <c r="E373" t="str">
        <f>VLOOKUP(A373,'Remote work mental helath'!$A$2:$T$1001,20,)</f>
        <v>Europe</v>
      </c>
      <c r="F373" t="str">
        <f>VLOOKUP(A373,'Remote work mental helath'!$A$2:$T$1001,4,)</f>
        <v>Marketing</v>
      </c>
    </row>
    <row r="374" spans="1:6" x14ac:dyDescent="0.3">
      <c r="A374" t="s">
        <v>423</v>
      </c>
      <c r="B374">
        <f>VLOOKUP('Employee Details'!A374,'Remote work mental helath'!$A$2:$T$1001,2,)</f>
        <v>31</v>
      </c>
      <c r="C374" t="str">
        <f t="shared" si="5"/>
        <v>30-39</v>
      </c>
      <c r="D374" t="str">
        <f>VLOOKUP(A374,'Remote work mental helath'!$A$2:$T$1001,3,)</f>
        <v>Female</v>
      </c>
      <c r="E374" t="str">
        <f>VLOOKUP(A374,'Remote work mental helath'!$A$2:$T$1001,20,)</f>
        <v>Africa</v>
      </c>
      <c r="F374" t="str">
        <f>VLOOKUP(A374,'Remote work mental helath'!$A$2:$T$1001,4,)</f>
        <v>Software Engineer</v>
      </c>
    </row>
    <row r="375" spans="1:6" x14ac:dyDescent="0.3">
      <c r="A375" t="s">
        <v>424</v>
      </c>
      <c r="B375">
        <f>VLOOKUP('Employee Details'!A375,'Remote work mental helath'!$A$2:$T$1001,2,)</f>
        <v>34</v>
      </c>
      <c r="C375" t="str">
        <f t="shared" si="5"/>
        <v>30-39</v>
      </c>
      <c r="D375" t="str">
        <f>VLOOKUP(A375,'Remote work mental helath'!$A$2:$T$1001,3,)</f>
        <v>Prefer not to say</v>
      </c>
      <c r="E375" t="str">
        <f>VLOOKUP(A375,'Remote work mental helath'!$A$2:$T$1001,20,)</f>
        <v>Oceania</v>
      </c>
      <c r="F375" t="str">
        <f>VLOOKUP(A375,'Remote work mental helath'!$A$2:$T$1001,4,)</f>
        <v>Sales</v>
      </c>
    </row>
    <row r="376" spans="1:6" x14ac:dyDescent="0.3">
      <c r="A376" t="s">
        <v>425</v>
      </c>
      <c r="B376">
        <f>VLOOKUP('Employee Details'!A376,'Remote work mental helath'!$A$2:$T$1001,2,)</f>
        <v>39</v>
      </c>
      <c r="C376" t="str">
        <f t="shared" si="5"/>
        <v>30-39</v>
      </c>
      <c r="D376" t="str">
        <f>VLOOKUP(A376,'Remote work mental helath'!$A$2:$T$1001,3,)</f>
        <v>Prefer not to say</v>
      </c>
      <c r="E376" t="str">
        <f>VLOOKUP(A376,'Remote work mental helath'!$A$2:$T$1001,20,)</f>
        <v>Oceania</v>
      </c>
      <c r="F376" t="str">
        <f>VLOOKUP(A376,'Remote work mental helath'!$A$2:$T$1001,4,)</f>
        <v>Software Engineer</v>
      </c>
    </row>
    <row r="377" spans="1:6" x14ac:dyDescent="0.3">
      <c r="A377" t="s">
        <v>426</v>
      </c>
      <c r="B377">
        <f>VLOOKUP('Employee Details'!A377,'Remote work mental helath'!$A$2:$T$1001,2,)</f>
        <v>29</v>
      </c>
      <c r="C377" t="str">
        <f t="shared" si="5"/>
        <v>20-29</v>
      </c>
      <c r="D377" t="str">
        <f>VLOOKUP(A377,'Remote work mental helath'!$A$2:$T$1001,3,)</f>
        <v>Non-binary</v>
      </c>
      <c r="E377" t="str">
        <f>VLOOKUP(A377,'Remote work mental helath'!$A$2:$T$1001,20,)</f>
        <v>Oceania</v>
      </c>
      <c r="F377" t="str">
        <f>VLOOKUP(A377,'Remote work mental helath'!$A$2:$T$1001,4,)</f>
        <v>Designer</v>
      </c>
    </row>
    <row r="378" spans="1:6" x14ac:dyDescent="0.3">
      <c r="A378" t="s">
        <v>427</v>
      </c>
      <c r="B378">
        <f>VLOOKUP('Employee Details'!A378,'Remote work mental helath'!$A$2:$T$1001,2,)</f>
        <v>31</v>
      </c>
      <c r="C378" t="str">
        <f t="shared" si="5"/>
        <v>30-39</v>
      </c>
      <c r="D378" t="str">
        <f>VLOOKUP(A378,'Remote work mental helath'!$A$2:$T$1001,3,)</f>
        <v>Prefer not to say</v>
      </c>
      <c r="E378" t="str">
        <f>VLOOKUP(A378,'Remote work mental helath'!$A$2:$T$1001,20,)</f>
        <v>South America</v>
      </c>
      <c r="F378" t="str">
        <f>VLOOKUP(A378,'Remote work mental helath'!$A$2:$T$1001,4,)</f>
        <v>Designer</v>
      </c>
    </row>
    <row r="379" spans="1:6" x14ac:dyDescent="0.3">
      <c r="A379" t="s">
        <v>428</v>
      </c>
      <c r="B379">
        <f>VLOOKUP('Employee Details'!A379,'Remote work mental helath'!$A$2:$T$1001,2,)</f>
        <v>30</v>
      </c>
      <c r="C379" t="str">
        <f t="shared" si="5"/>
        <v>30-39</v>
      </c>
      <c r="D379" t="str">
        <f>VLOOKUP(A379,'Remote work mental helath'!$A$2:$T$1001,3,)</f>
        <v>Female</v>
      </c>
      <c r="E379" t="str">
        <f>VLOOKUP(A379,'Remote work mental helath'!$A$2:$T$1001,20,)</f>
        <v>Europe</v>
      </c>
      <c r="F379" t="str">
        <f>VLOOKUP(A379,'Remote work mental helath'!$A$2:$T$1001,4,)</f>
        <v>Designer</v>
      </c>
    </row>
    <row r="380" spans="1:6" x14ac:dyDescent="0.3">
      <c r="A380" t="s">
        <v>429</v>
      </c>
      <c r="B380">
        <f>VLOOKUP('Employee Details'!A380,'Remote work mental helath'!$A$2:$T$1001,2,)</f>
        <v>53</v>
      </c>
      <c r="C380" t="str">
        <f t="shared" si="5"/>
        <v>50+</v>
      </c>
      <c r="D380" t="str">
        <f>VLOOKUP(A380,'Remote work mental helath'!$A$2:$T$1001,3,)</f>
        <v>Prefer not to say</v>
      </c>
      <c r="E380" t="str">
        <f>VLOOKUP(A380,'Remote work mental helath'!$A$2:$T$1001,20,)</f>
        <v>Africa</v>
      </c>
      <c r="F380" t="str">
        <f>VLOOKUP(A380,'Remote work mental helath'!$A$2:$T$1001,4,)</f>
        <v>Designer</v>
      </c>
    </row>
    <row r="381" spans="1:6" x14ac:dyDescent="0.3">
      <c r="A381" t="s">
        <v>430</v>
      </c>
      <c r="B381">
        <f>VLOOKUP('Employee Details'!A381,'Remote work mental helath'!$A$2:$T$1001,2,)</f>
        <v>27</v>
      </c>
      <c r="C381" t="str">
        <f t="shared" si="5"/>
        <v>20-29</v>
      </c>
      <c r="D381" t="str">
        <f>VLOOKUP(A381,'Remote work mental helath'!$A$2:$T$1001,3,)</f>
        <v>Male</v>
      </c>
      <c r="E381" t="str">
        <f>VLOOKUP(A381,'Remote work mental helath'!$A$2:$T$1001,20,)</f>
        <v>Oceania</v>
      </c>
      <c r="F381" t="str">
        <f>VLOOKUP(A381,'Remote work mental helath'!$A$2:$T$1001,4,)</f>
        <v>Marketing</v>
      </c>
    </row>
    <row r="382" spans="1:6" x14ac:dyDescent="0.3">
      <c r="A382" t="s">
        <v>431</v>
      </c>
      <c r="B382">
        <f>VLOOKUP('Employee Details'!A382,'Remote work mental helath'!$A$2:$T$1001,2,)</f>
        <v>39</v>
      </c>
      <c r="C382" t="str">
        <f t="shared" si="5"/>
        <v>30-39</v>
      </c>
      <c r="D382" t="str">
        <f>VLOOKUP(A382,'Remote work mental helath'!$A$2:$T$1001,3,)</f>
        <v>Male</v>
      </c>
      <c r="E382" t="str">
        <f>VLOOKUP(A382,'Remote work mental helath'!$A$2:$T$1001,20,)</f>
        <v>Africa</v>
      </c>
      <c r="F382" t="str">
        <f>VLOOKUP(A382,'Remote work mental helath'!$A$2:$T$1001,4,)</f>
        <v>Designer</v>
      </c>
    </row>
    <row r="383" spans="1:6" x14ac:dyDescent="0.3">
      <c r="A383" t="s">
        <v>432</v>
      </c>
      <c r="B383">
        <f>VLOOKUP('Employee Details'!A383,'Remote work mental helath'!$A$2:$T$1001,2,)</f>
        <v>59</v>
      </c>
      <c r="C383" t="str">
        <f t="shared" si="5"/>
        <v>50+</v>
      </c>
      <c r="D383" t="str">
        <f>VLOOKUP(A383,'Remote work mental helath'!$A$2:$T$1001,3,)</f>
        <v>Male</v>
      </c>
      <c r="E383" t="str">
        <f>VLOOKUP(A383,'Remote work mental helath'!$A$2:$T$1001,20,)</f>
        <v>South America</v>
      </c>
      <c r="F383" t="str">
        <f>VLOOKUP(A383,'Remote work mental helath'!$A$2:$T$1001,4,)</f>
        <v>Project Manager</v>
      </c>
    </row>
    <row r="384" spans="1:6" x14ac:dyDescent="0.3">
      <c r="A384" t="s">
        <v>433</v>
      </c>
      <c r="B384">
        <f>VLOOKUP('Employee Details'!A384,'Remote work mental helath'!$A$2:$T$1001,2,)</f>
        <v>58</v>
      </c>
      <c r="C384" t="str">
        <f t="shared" si="5"/>
        <v>50+</v>
      </c>
      <c r="D384" t="str">
        <f>VLOOKUP(A384,'Remote work mental helath'!$A$2:$T$1001,3,)</f>
        <v>Non-binary</v>
      </c>
      <c r="E384" t="str">
        <f>VLOOKUP(A384,'Remote work mental helath'!$A$2:$T$1001,20,)</f>
        <v>North America</v>
      </c>
      <c r="F384" t="str">
        <f>VLOOKUP(A384,'Remote work mental helath'!$A$2:$T$1001,4,)</f>
        <v>HR</v>
      </c>
    </row>
    <row r="385" spans="1:6" x14ac:dyDescent="0.3">
      <c r="A385" t="s">
        <v>434</v>
      </c>
      <c r="B385">
        <f>VLOOKUP('Employee Details'!A385,'Remote work mental helath'!$A$2:$T$1001,2,)</f>
        <v>28</v>
      </c>
      <c r="C385" t="str">
        <f t="shared" si="5"/>
        <v>20-29</v>
      </c>
      <c r="D385" t="str">
        <f>VLOOKUP(A385,'Remote work mental helath'!$A$2:$T$1001,3,)</f>
        <v>Prefer not to say</v>
      </c>
      <c r="E385" t="str">
        <f>VLOOKUP(A385,'Remote work mental helath'!$A$2:$T$1001,20,)</f>
        <v>Europe</v>
      </c>
      <c r="F385" t="str">
        <f>VLOOKUP(A385,'Remote work mental helath'!$A$2:$T$1001,4,)</f>
        <v>Sales</v>
      </c>
    </row>
    <row r="386" spans="1:6" x14ac:dyDescent="0.3">
      <c r="A386" t="s">
        <v>435</v>
      </c>
      <c r="B386">
        <f>VLOOKUP('Employee Details'!A386,'Remote work mental helath'!$A$2:$T$1001,2,)</f>
        <v>56</v>
      </c>
      <c r="C386" t="str">
        <f t="shared" si="5"/>
        <v>50+</v>
      </c>
      <c r="D386" t="str">
        <f>VLOOKUP(A386,'Remote work mental helath'!$A$2:$T$1001,3,)</f>
        <v>Male</v>
      </c>
      <c r="E386" t="str">
        <f>VLOOKUP(A386,'Remote work mental helath'!$A$2:$T$1001,20,)</f>
        <v>Asia</v>
      </c>
      <c r="F386" t="str">
        <f>VLOOKUP(A386,'Remote work mental helath'!$A$2:$T$1001,4,)</f>
        <v>Designer</v>
      </c>
    </row>
    <row r="387" spans="1:6" x14ac:dyDescent="0.3">
      <c r="A387" t="s">
        <v>436</v>
      </c>
      <c r="B387">
        <f>VLOOKUP('Employee Details'!A387,'Remote work mental helath'!$A$2:$T$1001,2,)</f>
        <v>31</v>
      </c>
      <c r="C387" t="str">
        <f t="shared" ref="C387:C450" si="6">IF(B387&lt;30,"20-29",IF(B387&lt;40,"30-39",IF(B387&lt;50,"40-49","50+")))</f>
        <v>30-39</v>
      </c>
      <c r="D387" t="str">
        <f>VLOOKUP(A387,'Remote work mental helath'!$A$2:$T$1001,3,)</f>
        <v>Non-binary</v>
      </c>
      <c r="E387" t="str">
        <f>VLOOKUP(A387,'Remote work mental helath'!$A$2:$T$1001,20,)</f>
        <v>Oceania</v>
      </c>
      <c r="F387" t="str">
        <f>VLOOKUP(A387,'Remote work mental helath'!$A$2:$T$1001,4,)</f>
        <v>Project Manager</v>
      </c>
    </row>
    <row r="388" spans="1:6" x14ac:dyDescent="0.3">
      <c r="A388" t="s">
        <v>437</v>
      </c>
      <c r="B388">
        <f>VLOOKUP('Employee Details'!A388,'Remote work mental helath'!$A$2:$T$1001,2,)</f>
        <v>28</v>
      </c>
      <c r="C388" t="str">
        <f t="shared" si="6"/>
        <v>20-29</v>
      </c>
      <c r="D388" t="str">
        <f>VLOOKUP(A388,'Remote work mental helath'!$A$2:$T$1001,3,)</f>
        <v>Female</v>
      </c>
      <c r="E388" t="str">
        <f>VLOOKUP(A388,'Remote work mental helath'!$A$2:$T$1001,20,)</f>
        <v>Africa</v>
      </c>
      <c r="F388" t="str">
        <f>VLOOKUP(A388,'Remote work mental helath'!$A$2:$T$1001,4,)</f>
        <v>Sales</v>
      </c>
    </row>
    <row r="389" spans="1:6" x14ac:dyDescent="0.3">
      <c r="A389" t="s">
        <v>438</v>
      </c>
      <c r="B389">
        <f>VLOOKUP('Employee Details'!A389,'Remote work mental helath'!$A$2:$T$1001,2,)</f>
        <v>46</v>
      </c>
      <c r="C389" t="str">
        <f t="shared" si="6"/>
        <v>40-49</v>
      </c>
      <c r="D389" t="str">
        <f>VLOOKUP(A389,'Remote work mental helath'!$A$2:$T$1001,3,)</f>
        <v>Female</v>
      </c>
      <c r="E389" t="str">
        <f>VLOOKUP(A389,'Remote work mental helath'!$A$2:$T$1001,20,)</f>
        <v>Africa</v>
      </c>
      <c r="F389" t="str">
        <f>VLOOKUP(A389,'Remote work mental helath'!$A$2:$T$1001,4,)</f>
        <v>Sales</v>
      </c>
    </row>
    <row r="390" spans="1:6" x14ac:dyDescent="0.3">
      <c r="A390" t="s">
        <v>439</v>
      </c>
      <c r="B390">
        <f>VLOOKUP('Employee Details'!A390,'Remote work mental helath'!$A$2:$T$1001,2,)</f>
        <v>32</v>
      </c>
      <c r="C390" t="str">
        <f t="shared" si="6"/>
        <v>30-39</v>
      </c>
      <c r="D390" t="str">
        <f>VLOOKUP(A390,'Remote work mental helath'!$A$2:$T$1001,3,)</f>
        <v>Female</v>
      </c>
      <c r="E390" t="str">
        <f>VLOOKUP(A390,'Remote work mental helath'!$A$2:$T$1001,20,)</f>
        <v>South America</v>
      </c>
      <c r="F390" t="str">
        <f>VLOOKUP(A390,'Remote work mental helath'!$A$2:$T$1001,4,)</f>
        <v>Sales</v>
      </c>
    </row>
    <row r="391" spans="1:6" x14ac:dyDescent="0.3">
      <c r="A391" t="s">
        <v>440</v>
      </c>
      <c r="B391">
        <f>VLOOKUP('Employee Details'!A391,'Remote work mental helath'!$A$2:$T$1001,2,)</f>
        <v>37</v>
      </c>
      <c r="C391" t="str">
        <f t="shared" si="6"/>
        <v>30-39</v>
      </c>
      <c r="D391" t="str">
        <f>VLOOKUP(A391,'Remote work mental helath'!$A$2:$T$1001,3,)</f>
        <v>Male</v>
      </c>
      <c r="E391" t="str">
        <f>VLOOKUP(A391,'Remote work mental helath'!$A$2:$T$1001,20,)</f>
        <v>Europe</v>
      </c>
      <c r="F391" t="str">
        <f>VLOOKUP(A391,'Remote work mental helath'!$A$2:$T$1001,4,)</f>
        <v>Software Engineer</v>
      </c>
    </row>
    <row r="392" spans="1:6" x14ac:dyDescent="0.3">
      <c r="A392" t="s">
        <v>441</v>
      </c>
      <c r="B392">
        <f>VLOOKUP('Employee Details'!A392,'Remote work mental helath'!$A$2:$T$1001,2,)</f>
        <v>50</v>
      </c>
      <c r="C392" t="str">
        <f t="shared" si="6"/>
        <v>50+</v>
      </c>
      <c r="D392" t="str">
        <f>VLOOKUP(A392,'Remote work mental helath'!$A$2:$T$1001,3,)</f>
        <v>Prefer not to say</v>
      </c>
      <c r="E392" t="str">
        <f>VLOOKUP(A392,'Remote work mental helath'!$A$2:$T$1001,20,)</f>
        <v>North America</v>
      </c>
      <c r="F392" t="str">
        <f>VLOOKUP(A392,'Remote work mental helath'!$A$2:$T$1001,4,)</f>
        <v>Project Manager</v>
      </c>
    </row>
    <row r="393" spans="1:6" x14ac:dyDescent="0.3">
      <c r="A393" t="s">
        <v>442</v>
      </c>
      <c r="B393">
        <f>VLOOKUP('Employee Details'!A393,'Remote work mental helath'!$A$2:$T$1001,2,)</f>
        <v>55</v>
      </c>
      <c r="C393" t="str">
        <f t="shared" si="6"/>
        <v>50+</v>
      </c>
      <c r="D393" t="str">
        <f>VLOOKUP(A393,'Remote work mental helath'!$A$2:$T$1001,3,)</f>
        <v>Female</v>
      </c>
      <c r="E393" t="str">
        <f>VLOOKUP(A393,'Remote work mental helath'!$A$2:$T$1001,20,)</f>
        <v>South America</v>
      </c>
      <c r="F393" t="str">
        <f>VLOOKUP(A393,'Remote work mental helath'!$A$2:$T$1001,4,)</f>
        <v>Marketing</v>
      </c>
    </row>
    <row r="394" spans="1:6" x14ac:dyDescent="0.3">
      <c r="A394" t="s">
        <v>443</v>
      </c>
      <c r="B394">
        <f>VLOOKUP('Employee Details'!A394,'Remote work mental helath'!$A$2:$T$1001,2,)</f>
        <v>45</v>
      </c>
      <c r="C394" t="str">
        <f t="shared" si="6"/>
        <v>40-49</v>
      </c>
      <c r="D394" t="str">
        <f>VLOOKUP(A394,'Remote work mental helath'!$A$2:$T$1001,3,)</f>
        <v>Female</v>
      </c>
      <c r="E394" t="str">
        <f>VLOOKUP(A394,'Remote work mental helath'!$A$2:$T$1001,20,)</f>
        <v>Africa</v>
      </c>
      <c r="F394" t="str">
        <f>VLOOKUP(A394,'Remote work mental helath'!$A$2:$T$1001,4,)</f>
        <v>HR</v>
      </c>
    </row>
    <row r="395" spans="1:6" x14ac:dyDescent="0.3">
      <c r="A395" t="s">
        <v>444</v>
      </c>
      <c r="B395">
        <f>VLOOKUP('Employee Details'!A395,'Remote work mental helath'!$A$2:$T$1001,2,)</f>
        <v>50</v>
      </c>
      <c r="C395" t="str">
        <f t="shared" si="6"/>
        <v>50+</v>
      </c>
      <c r="D395" t="str">
        <f>VLOOKUP(A395,'Remote work mental helath'!$A$2:$T$1001,3,)</f>
        <v>Female</v>
      </c>
      <c r="E395" t="str">
        <f>VLOOKUP(A395,'Remote work mental helath'!$A$2:$T$1001,20,)</f>
        <v>North America</v>
      </c>
      <c r="F395" t="str">
        <f>VLOOKUP(A395,'Remote work mental helath'!$A$2:$T$1001,4,)</f>
        <v>Sales</v>
      </c>
    </row>
    <row r="396" spans="1:6" x14ac:dyDescent="0.3">
      <c r="A396" t="s">
        <v>445</v>
      </c>
      <c r="B396">
        <f>VLOOKUP('Employee Details'!A396,'Remote work mental helath'!$A$2:$T$1001,2,)</f>
        <v>43</v>
      </c>
      <c r="C396" t="str">
        <f t="shared" si="6"/>
        <v>40-49</v>
      </c>
      <c r="D396" t="str">
        <f>VLOOKUP(A396,'Remote work mental helath'!$A$2:$T$1001,3,)</f>
        <v>Prefer not to say</v>
      </c>
      <c r="E396" t="str">
        <f>VLOOKUP(A396,'Remote work mental helath'!$A$2:$T$1001,20,)</f>
        <v>Oceania</v>
      </c>
      <c r="F396" t="str">
        <f>VLOOKUP(A396,'Remote work mental helath'!$A$2:$T$1001,4,)</f>
        <v>Project Manager</v>
      </c>
    </row>
    <row r="397" spans="1:6" x14ac:dyDescent="0.3">
      <c r="A397" t="s">
        <v>446</v>
      </c>
      <c r="B397">
        <f>VLOOKUP('Employee Details'!A397,'Remote work mental helath'!$A$2:$T$1001,2,)</f>
        <v>39</v>
      </c>
      <c r="C397" t="str">
        <f t="shared" si="6"/>
        <v>30-39</v>
      </c>
      <c r="D397" t="str">
        <f>VLOOKUP(A397,'Remote work mental helath'!$A$2:$T$1001,3,)</f>
        <v>Non-binary</v>
      </c>
      <c r="E397" t="str">
        <f>VLOOKUP(A397,'Remote work mental helath'!$A$2:$T$1001,20,)</f>
        <v>Africa</v>
      </c>
      <c r="F397" t="str">
        <f>VLOOKUP(A397,'Remote work mental helath'!$A$2:$T$1001,4,)</f>
        <v>Marketing</v>
      </c>
    </row>
    <row r="398" spans="1:6" x14ac:dyDescent="0.3">
      <c r="A398" t="s">
        <v>447</v>
      </c>
      <c r="B398">
        <f>VLOOKUP('Employee Details'!A398,'Remote work mental helath'!$A$2:$T$1001,2,)</f>
        <v>30</v>
      </c>
      <c r="C398" t="str">
        <f t="shared" si="6"/>
        <v>30-39</v>
      </c>
      <c r="D398" t="str">
        <f>VLOOKUP(A398,'Remote work mental helath'!$A$2:$T$1001,3,)</f>
        <v>Female</v>
      </c>
      <c r="E398" t="str">
        <f>VLOOKUP(A398,'Remote work mental helath'!$A$2:$T$1001,20,)</f>
        <v>Europe</v>
      </c>
      <c r="F398" t="str">
        <f>VLOOKUP(A398,'Remote work mental helath'!$A$2:$T$1001,4,)</f>
        <v>Data Scientist</v>
      </c>
    </row>
    <row r="399" spans="1:6" x14ac:dyDescent="0.3">
      <c r="A399" t="s">
        <v>448</v>
      </c>
      <c r="B399">
        <f>VLOOKUP('Employee Details'!A399,'Remote work mental helath'!$A$2:$T$1001,2,)</f>
        <v>36</v>
      </c>
      <c r="C399" t="str">
        <f t="shared" si="6"/>
        <v>30-39</v>
      </c>
      <c r="D399" t="str">
        <f>VLOOKUP(A399,'Remote work mental helath'!$A$2:$T$1001,3,)</f>
        <v>Male</v>
      </c>
      <c r="E399" t="str">
        <f>VLOOKUP(A399,'Remote work mental helath'!$A$2:$T$1001,20,)</f>
        <v>Europe</v>
      </c>
      <c r="F399" t="str">
        <f>VLOOKUP(A399,'Remote work mental helath'!$A$2:$T$1001,4,)</f>
        <v>Project Manager</v>
      </c>
    </row>
    <row r="400" spans="1:6" x14ac:dyDescent="0.3">
      <c r="A400" t="s">
        <v>449</v>
      </c>
      <c r="B400">
        <f>VLOOKUP('Employee Details'!A400,'Remote work mental helath'!$A$2:$T$1001,2,)</f>
        <v>58</v>
      </c>
      <c r="C400" t="str">
        <f t="shared" si="6"/>
        <v>50+</v>
      </c>
      <c r="D400" t="str">
        <f>VLOOKUP(A400,'Remote work mental helath'!$A$2:$T$1001,3,)</f>
        <v>Prefer not to say</v>
      </c>
      <c r="E400" t="str">
        <f>VLOOKUP(A400,'Remote work mental helath'!$A$2:$T$1001,20,)</f>
        <v>Europe</v>
      </c>
      <c r="F400" t="str">
        <f>VLOOKUP(A400,'Remote work mental helath'!$A$2:$T$1001,4,)</f>
        <v>Designer</v>
      </c>
    </row>
    <row r="401" spans="1:6" x14ac:dyDescent="0.3">
      <c r="A401" t="s">
        <v>450</v>
      </c>
      <c r="B401">
        <f>VLOOKUP('Employee Details'!A401,'Remote work mental helath'!$A$2:$T$1001,2,)</f>
        <v>53</v>
      </c>
      <c r="C401" t="str">
        <f t="shared" si="6"/>
        <v>50+</v>
      </c>
      <c r="D401" t="str">
        <f>VLOOKUP(A401,'Remote work mental helath'!$A$2:$T$1001,3,)</f>
        <v>Prefer not to say</v>
      </c>
      <c r="E401" t="str">
        <f>VLOOKUP(A401,'Remote work mental helath'!$A$2:$T$1001,20,)</f>
        <v>Africa</v>
      </c>
      <c r="F401" t="str">
        <f>VLOOKUP(A401,'Remote work mental helath'!$A$2:$T$1001,4,)</f>
        <v>Data Scientist</v>
      </c>
    </row>
    <row r="402" spans="1:6" x14ac:dyDescent="0.3">
      <c r="A402" t="s">
        <v>451</v>
      </c>
      <c r="B402">
        <f>VLOOKUP('Employee Details'!A402,'Remote work mental helath'!$A$2:$T$1001,2,)</f>
        <v>56</v>
      </c>
      <c r="C402" t="str">
        <f t="shared" si="6"/>
        <v>50+</v>
      </c>
      <c r="D402" t="str">
        <f>VLOOKUP(A402,'Remote work mental helath'!$A$2:$T$1001,3,)</f>
        <v>Non-binary</v>
      </c>
      <c r="E402" t="str">
        <f>VLOOKUP(A402,'Remote work mental helath'!$A$2:$T$1001,20,)</f>
        <v>Asia</v>
      </c>
      <c r="F402" t="str">
        <f>VLOOKUP(A402,'Remote work mental helath'!$A$2:$T$1001,4,)</f>
        <v>HR</v>
      </c>
    </row>
    <row r="403" spans="1:6" x14ac:dyDescent="0.3">
      <c r="A403" t="s">
        <v>452</v>
      </c>
      <c r="B403">
        <f>VLOOKUP('Employee Details'!A403,'Remote work mental helath'!$A$2:$T$1001,2,)</f>
        <v>57</v>
      </c>
      <c r="C403" t="str">
        <f t="shared" si="6"/>
        <v>50+</v>
      </c>
      <c r="D403" t="str">
        <f>VLOOKUP(A403,'Remote work mental helath'!$A$2:$T$1001,3,)</f>
        <v>Male</v>
      </c>
      <c r="E403" t="str">
        <f>VLOOKUP(A403,'Remote work mental helath'!$A$2:$T$1001,20,)</f>
        <v>South America</v>
      </c>
      <c r="F403" t="str">
        <f>VLOOKUP(A403,'Remote work mental helath'!$A$2:$T$1001,4,)</f>
        <v>Project Manager</v>
      </c>
    </row>
    <row r="404" spans="1:6" x14ac:dyDescent="0.3">
      <c r="A404" t="s">
        <v>453</v>
      </c>
      <c r="B404">
        <f>VLOOKUP('Employee Details'!A404,'Remote work mental helath'!$A$2:$T$1001,2,)</f>
        <v>58</v>
      </c>
      <c r="C404" t="str">
        <f t="shared" si="6"/>
        <v>50+</v>
      </c>
      <c r="D404" t="str">
        <f>VLOOKUP(A404,'Remote work mental helath'!$A$2:$T$1001,3,)</f>
        <v>Male</v>
      </c>
      <c r="E404" t="str">
        <f>VLOOKUP(A404,'Remote work mental helath'!$A$2:$T$1001,20,)</f>
        <v>Africa</v>
      </c>
      <c r="F404" t="str">
        <f>VLOOKUP(A404,'Remote work mental helath'!$A$2:$T$1001,4,)</f>
        <v>Data Scientist</v>
      </c>
    </row>
    <row r="405" spans="1:6" x14ac:dyDescent="0.3">
      <c r="A405" t="s">
        <v>454</v>
      </c>
      <c r="B405">
        <f>VLOOKUP('Employee Details'!A405,'Remote work mental helath'!$A$2:$T$1001,2,)</f>
        <v>57</v>
      </c>
      <c r="C405" t="str">
        <f t="shared" si="6"/>
        <v>50+</v>
      </c>
      <c r="D405" t="str">
        <f>VLOOKUP(A405,'Remote work mental helath'!$A$2:$T$1001,3,)</f>
        <v>Female</v>
      </c>
      <c r="E405" t="str">
        <f>VLOOKUP(A405,'Remote work mental helath'!$A$2:$T$1001,20,)</f>
        <v>Europe</v>
      </c>
      <c r="F405" t="str">
        <f>VLOOKUP(A405,'Remote work mental helath'!$A$2:$T$1001,4,)</f>
        <v>Designer</v>
      </c>
    </row>
    <row r="406" spans="1:6" x14ac:dyDescent="0.3">
      <c r="A406" t="s">
        <v>455</v>
      </c>
      <c r="B406">
        <f>VLOOKUP('Employee Details'!A406,'Remote work mental helath'!$A$2:$T$1001,2,)</f>
        <v>46</v>
      </c>
      <c r="C406" t="str">
        <f t="shared" si="6"/>
        <v>40-49</v>
      </c>
      <c r="D406" t="str">
        <f>VLOOKUP(A406,'Remote work mental helath'!$A$2:$T$1001,3,)</f>
        <v>Non-binary</v>
      </c>
      <c r="E406" t="str">
        <f>VLOOKUP(A406,'Remote work mental helath'!$A$2:$T$1001,20,)</f>
        <v>Asia</v>
      </c>
      <c r="F406" t="str">
        <f>VLOOKUP(A406,'Remote work mental helath'!$A$2:$T$1001,4,)</f>
        <v>Data Scientist</v>
      </c>
    </row>
    <row r="407" spans="1:6" x14ac:dyDescent="0.3">
      <c r="A407" t="s">
        <v>456</v>
      </c>
      <c r="B407">
        <f>VLOOKUP('Employee Details'!A407,'Remote work mental helath'!$A$2:$T$1001,2,)</f>
        <v>42</v>
      </c>
      <c r="C407" t="str">
        <f t="shared" si="6"/>
        <v>40-49</v>
      </c>
      <c r="D407" t="str">
        <f>VLOOKUP(A407,'Remote work mental helath'!$A$2:$T$1001,3,)</f>
        <v>Female</v>
      </c>
      <c r="E407" t="str">
        <f>VLOOKUP(A407,'Remote work mental helath'!$A$2:$T$1001,20,)</f>
        <v>Europe</v>
      </c>
      <c r="F407" t="str">
        <f>VLOOKUP(A407,'Remote work mental helath'!$A$2:$T$1001,4,)</f>
        <v>HR</v>
      </c>
    </row>
    <row r="408" spans="1:6" x14ac:dyDescent="0.3">
      <c r="A408" t="s">
        <v>457</v>
      </c>
      <c r="B408">
        <f>VLOOKUP('Employee Details'!A408,'Remote work mental helath'!$A$2:$T$1001,2,)</f>
        <v>24</v>
      </c>
      <c r="C408" t="str">
        <f t="shared" si="6"/>
        <v>20-29</v>
      </c>
      <c r="D408" t="str">
        <f>VLOOKUP(A408,'Remote work mental helath'!$A$2:$T$1001,3,)</f>
        <v>Prefer not to say</v>
      </c>
      <c r="E408" t="str">
        <f>VLOOKUP(A408,'Remote work mental helath'!$A$2:$T$1001,20,)</f>
        <v>South America</v>
      </c>
      <c r="F408" t="str">
        <f>VLOOKUP(A408,'Remote work mental helath'!$A$2:$T$1001,4,)</f>
        <v>Project Manager</v>
      </c>
    </row>
    <row r="409" spans="1:6" x14ac:dyDescent="0.3">
      <c r="A409" t="s">
        <v>458</v>
      </c>
      <c r="B409">
        <f>VLOOKUP('Employee Details'!A409,'Remote work mental helath'!$A$2:$T$1001,2,)</f>
        <v>53</v>
      </c>
      <c r="C409" t="str">
        <f t="shared" si="6"/>
        <v>50+</v>
      </c>
      <c r="D409" t="str">
        <f>VLOOKUP(A409,'Remote work mental helath'!$A$2:$T$1001,3,)</f>
        <v>Female</v>
      </c>
      <c r="E409" t="str">
        <f>VLOOKUP(A409,'Remote work mental helath'!$A$2:$T$1001,20,)</f>
        <v>Oceania</v>
      </c>
      <c r="F409" t="str">
        <f>VLOOKUP(A409,'Remote work mental helath'!$A$2:$T$1001,4,)</f>
        <v>HR</v>
      </c>
    </row>
    <row r="410" spans="1:6" x14ac:dyDescent="0.3">
      <c r="A410" t="s">
        <v>459</v>
      </c>
      <c r="B410">
        <f>VLOOKUP('Employee Details'!A410,'Remote work mental helath'!$A$2:$T$1001,2,)</f>
        <v>24</v>
      </c>
      <c r="C410" t="str">
        <f t="shared" si="6"/>
        <v>20-29</v>
      </c>
      <c r="D410" t="str">
        <f>VLOOKUP(A410,'Remote work mental helath'!$A$2:$T$1001,3,)</f>
        <v>Female</v>
      </c>
      <c r="E410" t="str">
        <f>VLOOKUP(A410,'Remote work mental helath'!$A$2:$T$1001,20,)</f>
        <v>North America</v>
      </c>
      <c r="F410" t="str">
        <f>VLOOKUP(A410,'Remote work mental helath'!$A$2:$T$1001,4,)</f>
        <v>Data Scientist</v>
      </c>
    </row>
    <row r="411" spans="1:6" x14ac:dyDescent="0.3">
      <c r="A411" t="s">
        <v>460</v>
      </c>
      <c r="B411">
        <f>VLOOKUP('Employee Details'!A411,'Remote work mental helath'!$A$2:$T$1001,2,)</f>
        <v>30</v>
      </c>
      <c r="C411" t="str">
        <f t="shared" si="6"/>
        <v>30-39</v>
      </c>
      <c r="D411" t="str">
        <f>VLOOKUP(A411,'Remote work mental helath'!$A$2:$T$1001,3,)</f>
        <v>Non-binary</v>
      </c>
      <c r="E411" t="str">
        <f>VLOOKUP(A411,'Remote work mental helath'!$A$2:$T$1001,20,)</f>
        <v>South America</v>
      </c>
      <c r="F411" t="str">
        <f>VLOOKUP(A411,'Remote work mental helath'!$A$2:$T$1001,4,)</f>
        <v>Project Manager</v>
      </c>
    </row>
    <row r="412" spans="1:6" x14ac:dyDescent="0.3">
      <c r="A412" t="s">
        <v>461</v>
      </c>
      <c r="B412">
        <f>VLOOKUP('Employee Details'!A412,'Remote work mental helath'!$A$2:$T$1001,2,)</f>
        <v>22</v>
      </c>
      <c r="C412" t="str">
        <f t="shared" si="6"/>
        <v>20-29</v>
      </c>
      <c r="D412" t="str">
        <f>VLOOKUP(A412,'Remote work mental helath'!$A$2:$T$1001,3,)</f>
        <v>Prefer not to say</v>
      </c>
      <c r="E412" t="str">
        <f>VLOOKUP(A412,'Remote work mental helath'!$A$2:$T$1001,20,)</f>
        <v>Europe</v>
      </c>
      <c r="F412" t="str">
        <f>VLOOKUP(A412,'Remote work mental helath'!$A$2:$T$1001,4,)</f>
        <v>Software Engineer</v>
      </c>
    </row>
    <row r="413" spans="1:6" x14ac:dyDescent="0.3">
      <c r="A413" t="s">
        <v>462</v>
      </c>
      <c r="B413">
        <f>VLOOKUP('Employee Details'!A413,'Remote work mental helath'!$A$2:$T$1001,2,)</f>
        <v>28</v>
      </c>
      <c r="C413" t="str">
        <f t="shared" si="6"/>
        <v>20-29</v>
      </c>
      <c r="D413" t="str">
        <f>VLOOKUP(A413,'Remote work mental helath'!$A$2:$T$1001,3,)</f>
        <v>Non-binary</v>
      </c>
      <c r="E413" t="str">
        <f>VLOOKUP(A413,'Remote work mental helath'!$A$2:$T$1001,20,)</f>
        <v>South America</v>
      </c>
      <c r="F413" t="str">
        <f>VLOOKUP(A413,'Remote work mental helath'!$A$2:$T$1001,4,)</f>
        <v>Designer</v>
      </c>
    </row>
    <row r="414" spans="1:6" x14ac:dyDescent="0.3">
      <c r="A414" t="s">
        <v>463</v>
      </c>
      <c r="B414">
        <f>VLOOKUP('Employee Details'!A414,'Remote work mental helath'!$A$2:$T$1001,2,)</f>
        <v>52</v>
      </c>
      <c r="C414" t="str">
        <f t="shared" si="6"/>
        <v>50+</v>
      </c>
      <c r="D414" t="str">
        <f>VLOOKUP(A414,'Remote work mental helath'!$A$2:$T$1001,3,)</f>
        <v>Non-binary</v>
      </c>
      <c r="E414" t="str">
        <f>VLOOKUP(A414,'Remote work mental helath'!$A$2:$T$1001,20,)</f>
        <v>Europe</v>
      </c>
      <c r="F414" t="str">
        <f>VLOOKUP(A414,'Remote work mental helath'!$A$2:$T$1001,4,)</f>
        <v>Sales</v>
      </c>
    </row>
    <row r="415" spans="1:6" x14ac:dyDescent="0.3">
      <c r="A415" t="s">
        <v>464</v>
      </c>
      <c r="B415">
        <f>VLOOKUP('Employee Details'!A415,'Remote work mental helath'!$A$2:$T$1001,2,)</f>
        <v>47</v>
      </c>
      <c r="C415" t="str">
        <f t="shared" si="6"/>
        <v>40-49</v>
      </c>
      <c r="D415" t="str">
        <f>VLOOKUP(A415,'Remote work mental helath'!$A$2:$T$1001,3,)</f>
        <v>Prefer not to say</v>
      </c>
      <c r="E415" t="str">
        <f>VLOOKUP(A415,'Remote work mental helath'!$A$2:$T$1001,20,)</f>
        <v>South America</v>
      </c>
      <c r="F415" t="str">
        <f>VLOOKUP(A415,'Remote work mental helath'!$A$2:$T$1001,4,)</f>
        <v>Project Manager</v>
      </c>
    </row>
    <row r="416" spans="1:6" x14ac:dyDescent="0.3">
      <c r="A416" t="s">
        <v>465</v>
      </c>
      <c r="B416">
        <f>VLOOKUP('Employee Details'!A416,'Remote work mental helath'!$A$2:$T$1001,2,)</f>
        <v>30</v>
      </c>
      <c r="C416" t="str">
        <f t="shared" si="6"/>
        <v>30-39</v>
      </c>
      <c r="D416" t="str">
        <f>VLOOKUP(A416,'Remote work mental helath'!$A$2:$T$1001,3,)</f>
        <v>Male</v>
      </c>
      <c r="E416" t="str">
        <f>VLOOKUP(A416,'Remote work mental helath'!$A$2:$T$1001,20,)</f>
        <v>Oceania</v>
      </c>
      <c r="F416" t="str">
        <f>VLOOKUP(A416,'Remote work mental helath'!$A$2:$T$1001,4,)</f>
        <v>Data Scientist</v>
      </c>
    </row>
    <row r="417" spans="1:6" x14ac:dyDescent="0.3">
      <c r="A417" t="s">
        <v>466</v>
      </c>
      <c r="B417">
        <f>VLOOKUP('Employee Details'!A417,'Remote work mental helath'!$A$2:$T$1001,2,)</f>
        <v>52</v>
      </c>
      <c r="C417" t="str">
        <f t="shared" si="6"/>
        <v>50+</v>
      </c>
      <c r="D417" t="str">
        <f>VLOOKUP(A417,'Remote work mental helath'!$A$2:$T$1001,3,)</f>
        <v>Female</v>
      </c>
      <c r="E417" t="str">
        <f>VLOOKUP(A417,'Remote work mental helath'!$A$2:$T$1001,20,)</f>
        <v>North America</v>
      </c>
      <c r="F417" t="str">
        <f>VLOOKUP(A417,'Remote work mental helath'!$A$2:$T$1001,4,)</f>
        <v>Sales</v>
      </c>
    </row>
    <row r="418" spans="1:6" x14ac:dyDescent="0.3">
      <c r="A418" t="s">
        <v>467</v>
      </c>
      <c r="B418">
        <f>VLOOKUP('Employee Details'!A418,'Remote work mental helath'!$A$2:$T$1001,2,)</f>
        <v>25</v>
      </c>
      <c r="C418" t="str">
        <f t="shared" si="6"/>
        <v>20-29</v>
      </c>
      <c r="D418" t="str">
        <f>VLOOKUP(A418,'Remote work mental helath'!$A$2:$T$1001,3,)</f>
        <v>Prefer not to say</v>
      </c>
      <c r="E418" t="str">
        <f>VLOOKUP(A418,'Remote work mental helath'!$A$2:$T$1001,20,)</f>
        <v>Asia</v>
      </c>
      <c r="F418" t="str">
        <f>VLOOKUP(A418,'Remote work mental helath'!$A$2:$T$1001,4,)</f>
        <v>Sales</v>
      </c>
    </row>
    <row r="419" spans="1:6" x14ac:dyDescent="0.3">
      <c r="A419" t="s">
        <v>468</v>
      </c>
      <c r="B419">
        <f>VLOOKUP('Employee Details'!A419,'Remote work mental helath'!$A$2:$T$1001,2,)</f>
        <v>50</v>
      </c>
      <c r="C419" t="str">
        <f t="shared" si="6"/>
        <v>50+</v>
      </c>
      <c r="D419" t="str">
        <f>VLOOKUP(A419,'Remote work mental helath'!$A$2:$T$1001,3,)</f>
        <v>Non-binary</v>
      </c>
      <c r="E419" t="str">
        <f>VLOOKUP(A419,'Remote work mental helath'!$A$2:$T$1001,20,)</f>
        <v>Oceania</v>
      </c>
      <c r="F419" t="str">
        <f>VLOOKUP(A419,'Remote work mental helath'!$A$2:$T$1001,4,)</f>
        <v>HR</v>
      </c>
    </row>
    <row r="420" spans="1:6" x14ac:dyDescent="0.3">
      <c r="A420" t="s">
        <v>469</v>
      </c>
      <c r="B420">
        <f>VLOOKUP('Employee Details'!A420,'Remote work mental helath'!$A$2:$T$1001,2,)</f>
        <v>60</v>
      </c>
      <c r="C420" t="str">
        <f t="shared" si="6"/>
        <v>50+</v>
      </c>
      <c r="D420" t="str">
        <f>VLOOKUP(A420,'Remote work mental helath'!$A$2:$T$1001,3,)</f>
        <v>Female</v>
      </c>
      <c r="E420" t="str">
        <f>VLOOKUP(A420,'Remote work mental helath'!$A$2:$T$1001,20,)</f>
        <v>Asia</v>
      </c>
      <c r="F420" t="str">
        <f>VLOOKUP(A420,'Remote work mental helath'!$A$2:$T$1001,4,)</f>
        <v>HR</v>
      </c>
    </row>
    <row r="421" spans="1:6" x14ac:dyDescent="0.3">
      <c r="A421" t="s">
        <v>470</v>
      </c>
      <c r="B421">
        <f>VLOOKUP('Employee Details'!A421,'Remote work mental helath'!$A$2:$T$1001,2,)</f>
        <v>48</v>
      </c>
      <c r="C421" t="str">
        <f t="shared" si="6"/>
        <v>40-49</v>
      </c>
      <c r="D421" t="str">
        <f>VLOOKUP(A421,'Remote work mental helath'!$A$2:$T$1001,3,)</f>
        <v>Female</v>
      </c>
      <c r="E421" t="str">
        <f>VLOOKUP(A421,'Remote work mental helath'!$A$2:$T$1001,20,)</f>
        <v>Africa</v>
      </c>
      <c r="F421" t="str">
        <f>VLOOKUP(A421,'Remote work mental helath'!$A$2:$T$1001,4,)</f>
        <v>Marketing</v>
      </c>
    </row>
    <row r="422" spans="1:6" x14ac:dyDescent="0.3">
      <c r="A422" t="s">
        <v>471</v>
      </c>
      <c r="B422">
        <f>VLOOKUP('Employee Details'!A422,'Remote work mental helath'!$A$2:$T$1001,2,)</f>
        <v>28</v>
      </c>
      <c r="C422" t="str">
        <f t="shared" si="6"/>
        <v>20-29</v>
      </c>
      <c r="D422" t="str">
        <f>VLOOKUP(A422,'Remote work mental helath'!$A$2:$T$1001,3,)</f>
        <v>Male</v>
      </c>
      <c r="E422" t="str">
        <f>VLOOKUP(A422,'Remote work mental helath'!$A$2:$T$1001,20,)</f>
        <v>Asia</v>
      </c>
      <c r="F422" t="str">
        <f>VLOOKUP(A422,'Remote work mental helath'!$A$2:$T$1001,4,)</f>
        <v>HR</v>
      </c>
    </row>
    <row r="423" spans="1:6" x14ac:dyDescent="0.3">
      <c r="A423" t="s">
        <v>472</v>
      </c>
      <c r="B423">
        <f>VLOOKUP('Employee Details'!A423,'Remote work mental helath'!$A$2:$T$1001,2,)</f>
        <v>23</v>
      </c>
      <c r="C423" t="str">
        <f t="shared" si="6"/>
        <v>20-29</v>
      </c>
      <c r="D423" t="str">
        <f>VLOOKUP(A423,'Remote work mental helath'!$A$2:$T$1001,3,)</f>
        <v>Prefer not to say</v>
      </c>
      <c r="E423" t="str">
        <f>VLOOKUP(A423,'Remote work mental helath'!$A$2:$T$1001,20,)</f>
        <v>Oceania</v>
      </c>
      <c r="F423" t="str">
        <f>VLOOKUP(A423,'Remote work mental helath'!$A$2:$T$1001,4,)</f>
        <v>Marketing</v>
      </c>
    </row>
    <row r="424" spans="1:6" x14ac:dyDescent="0.3">
      <c r="A424" t="s">
        <v>473</v>
      </c>
      <c r="B424">
        <f>VLOOKUP('Employee Details'!A424,'Remote work mental helath'!$A$2:$T$1001,2,)</f>
        <v>26</v>
      </c>
      <c r="C424" t="str">
        <f t="shared" si="6"/>
        <v>20-29</v>
      </c>
      <c r="D424" t="str">
        <f>VLOOKUP(A424,'Remote work mental helath'!$A$2:$T$1001,3,)</f>
        <v>Male</v>
      </c>
      <c r="E424" t="str">
        <f>VLOOKUP(A424,'Remote work mental helath'!$A$2:$T$1001,20,)</f>
        <v>Europe</v>
      </c>
      <c r="F424" t="str">
        <f>VLOOKUP(A424,'Remote work mental helath'!$A$2:$T$1001,4,)</f>
        <v>Project Manager</v>
      </c>
    </row>
    <row r="425" spans="1:6" x14ac:dyDescent="0.3">
      <c r="A425" t="s">
        <v>474</v>
      </c>
      <c r="B425">
        <f>VLOOKUP('Employee Details'!A425,'Remote work mental helath'!$A$2:$T$1001,2,)</f>
        <v>27</v>
      </c>
      <c r="C425" t="str">
        <f t="shared" si="6"/>
        <v>20-29</v>
      </c>
      <c r="D425" t="str">
        <f>VLOOKUP(A425,'Remote work mental helath'!$A$2:$T$1001,3,)</f>
        <v>Female</v>
      </c>
      <c r="E425" t="str">
        <f>VLOOKUP(A425,'Remote work mental helath'!$A$2:$T$1001,20,)</f>
        <v>North America</v>
      </c>
      <c r="F425" t="str">
        <f>VLOOKUP(A425,'Remote work mental helath'!$A$2:$T$1001,4,)</f>
        <v>Marketing</v>
      </c>
    </row>
    <row r="426" spans="1:6" x14ac:dyDescent="0.3">
      <c r="A426" t="s">
        <v>475</v>
      </c>
      <c r="B426">
        <f>VLOOKUP('Employee Details'!A426,'Remote work mental helath'!$A$2:$T$1001,2,)</f>
        <v>52</v>
      </c>
      <c r="C426" t="str">
        <f t="shared" si="6"/>
        <v>50+</v>
      </c>
      <c r="D426" t="str">
        <f>VLOOKUP(A426,'Remote work mental helath'!$A$2:$T$1001,3,)</f>
        <v>Non-binary</v>
      </c>
      <c r="E426" t="str">
        <f>VLOOKUP(A426,'Remote work mental helath'!$A$2:$T$1001,20,)</f>
        <v>Asia</v>
      </c>
      <c r="F426" t="str">
        <f>VLOOKUP(A426,'Remote work mental helath'!$A$2:$T$1001,4,)</f>
        <v>Sales</v>
      </c>
    </row>
    <row r="427" spans="1:6" x14ac:dyDescent="0.3">
      <c r="A427" t="s">
        <v>476</v>
      </c>
      <c r="B427">
        <f>VLOOKUP('Employee Details'!A427,'Remote work mental helath'!$A$2:$T$1001,2,)</f>
        <v>32</v>
      </c>
      <c r="C427" t="str">
        <f t="shared" si="6"/>
        <v>30-39</v>
      </c>
      <c r="D427" t="str">
        <f>VLOOKUP(A427,'Remote work mental helath'!$A$2:$T$1001,3,)</f>
        <v>Prefer not to say</v>
      </c>
      <c r="E427" t="str">
        <f>VLOOKUP(A427,'Remote work mental helath'!$A$2:$T$1001,20,)</f>
        <v>Asia</v>
      </c>
      <c r="F427" t="str">
        <f>VLOOKUP(A427,'Remote work mental helath'!$A$2:$T$1001,4,)</f>
        <v>Software Engineer</v>
      </c>
    </row>
    <row r="428" spans="1:6" x14ac:dyDescent="0.3">
      <c r="A428" t="s">
        <v>477</v>
      </c>
      <c r="B428">
        <f>VLOOKUP('Employee Details'!A428,'Remote work mental helath'!$A$2:$T$1001,2,)</f>
        <v>23</v>
      </c>
      <c r="C428" t="str">
        <f t="shared" si="6"/>
        <v>20-29</v>
      </c>
      <c r="D428" t="str">
        <f>VLOOKUP(A428,'Remote work mental helath'!$A$2:$T$1001,3,)</f>
        <v>Prefer not to say</v>
      </c>
      <c r="E428" t="str">
        <f>VLOOKUP(A428,'Remote work mental helath'!$A$2:$T$1001,20,)</f>
        <v>Europe</v>
      </c>
      <c r="F428" t="str">
        <f>VLOOKUP(A428,'Remote work mental helath'!$A$2:$T$1001,4,)</f>
        <v>Sales</v>
      </c>
    </row>
    <row r="429" spans="1:6" x14ac:dyDescent="0.3">
      <c r="A429" t="s">
        <v>478</v>
      </c>
      <c r="B429">
        <f>VLOOKUP('Employee Details'!A429,'Remote work mental helath'!$A$2:$T$1001,2,)</f>
        <v>41</v>
      </c>
      <c r="C429" t="str">
        <f t="shared" si="6"/>
        <v>40-49</v>
      </c>
      <c r="D429" t="str">
        <f>VLOOKUP(A429,'Remote work mental helath'!$A$2:$T$1001,3,)</f>
        <v>Prefer not to say</v>
      </c>
      <c r="E429" t="str">
        <f>VLOOKUP(A429,'Remote work mental helath'!$A$2:$T$1001,20,)</f>
        <v>Oceania</v>
      </c>
      <c r="F429" t="str">
        <f>VLOOKUP(A429,'Remote work mental helath'!$A$2:$T$1001,4,)</f>
        <v>Sales</v>
      </c>
    </row>
    <row r="430" spans="1:6" x14ac:dyDescent="0.3">
      <c r="A430" t="s">
        <v>479</v>
      </c>
      <c r="B430">
        <f>VLOOKUP('Employee Details'!A430,'Remote work mental helath'!$A$2:$T$1001,2,)</f>
        <v>33</v>
      </c>
      <c r="C430" t="str">
        <f t="shared" si="6"/>
        <v>30-39</v>
      </c>
      <c r="D430" t="str">
        <f>VLOOKUP(A430,'Remote work mental helath'!$A$2:$T$1001,3,)</f>
        <v>Female</v>
      </c>
      <c r="E430" t="str">
        <f>VLOOKUP(A430,'Remote work mental helath'!$A$2:$T$1001,20,)</f>
        <v>North America</v>
      </c>
      <c r="F430" t="str">
        <f>VLOOKUP(A430,'Remote work mental helath'!$A$2:$T$1001,4,)</f>
        <v>Project Manager</v>
      </c>
    </row>
    <row r="431" spans="1:6" x14ac:dyDescent="0.3">
      <c r="A431" t="s">
        <v>480</v>
      </c>
      <c r="B431">
        <f>VLOOKUP('Employee Details'!A431,'Remote work mental helath'!$A$2:$T$1001,2,)</f>
        <v>37</v>
      </c>
      <c r="C431" t="str">
        <f t="shared" si="6"/>
        <v>30-39</v>
      </c>
      <c r="D431" t="str">
        <f>VLOOKUP(A431,'Remote work mental helath'!$A$2:$T$1001,3,)</f>
        <v>Non-binary</v>
      </c>
      <c r="E431" t="str">
        <f>VLOOKUP(A431,'Remote work mental helath'!$A$2:$T$1001,20,)</f>
        <v>Europe</v>
      </c>
      <c r="F431" t="str">
        <f>VLOOKUP(A431,'Remote work mental helath'!$A$2:$T$1001,4,)</f>
        <v>Sales</v>
      </c>
    </row>
    <row r="432" spans="1:6" x14ac:dyDescent="0.3">
      <c r="A432" t="s">
        <v>481</v>
      </c>
      <c r="B432">
        <f>VLOOKUP('Employee Details'!A432,'Remote work mental helath'!$A$2:$T$1001,2,)</f>
        <v>33</v>
      </c>
      <c r="C432" t="str">
        <f t="shared" si="6"/>
        <v>30-39</v>
      </c>
      <c r="D432" t="str">
        <f>VLOOKUP(A432,'Remote work mental helath'!$A$2:$T$1001,3,)</f>
        <v>Male</v>
      </c>
      <c r="E432" t="str">
        <f>VLOOKUP(A432,'Remote work mental helath'!$A$2:$T$1001,20,)</f>
        <v>Oceania</v>
      </c>
      <c r="F432" t="str">
        <f>VLOOKUP(A432,'Remote work mental helath'!$A$2:$T$1001,4,)</f>
        <v>Project Manager</v>
      </c>
    </row>
    <row r="433" spans="1:6" x14ac:dyDescent="0.3">
      <c r="A433" t="s">
        <v>482</v>
      </c>
      <c r="B433">
        <f>VLOOKUP('Employee Details'!A433,'Remote work mental helath'!$A$2:$T$1001,2,)</f>
        <v>28</v>
      </c>
      <c r="C433" t="str">
        <f t="shared" si="6"/>
        <v>20-29</v>
      </c>
      <c r="D433" t="str">
        <f>VLOOKUP(A433,'Remote work mental helath'!$A$2:$T$1001,3,)</f>
        <v>Non-binary</v>
      </c>
      <c r="E433" t="str">
        <f>VLOOKUP(A433,'Remote work mental helath'!$A$2:$T$1001,20,)</f>
        <v>North America</v>
      </c>
      <c r="F433" t="str">
        <f>VLOOKUP(A433,'Remote work mental helath'!$A$2:$T$1001,4,)</f>
        <v>Marketing</v>
      </c>
    </row>
    <row r="434" spans="1:6" x14ac:dyDescent="0.3">
      <c r="A434" t="s">
        <v>483</v>
      </c>
      <c r="B434">
        <f>VLOOKUP('Employee Details'!A434,'Remote work mental helath'!$A$2:$T$1001,2,)</f>
        <v>57</v>
      </c>
      <c r="C434" t="str">
        <f t="shared" si="6"/>
        <v>50+</v>
      </c>
      <c r="D434" t="str">
        <f>VLOOKUP(A434,'Remote work mental helath'!$A$2:$T$1001,3,)</f>
        <v>Non-binary</v>
      </c>
      <c r="E434" t="str">
        <f>VLOOKUP(A434,'Remote work mental helath'!$A$2:$T$1001,20,)</f>
        <v>South America</v>
      </c>
      <c r="F434" t="str">
        <f>VLOOKUP(A434,'Remote work mental helath'!$A$2:$T$1001,4,)</f>
        <v>Project Manager</v>
      </c>
    </row>
    <row r="435" spans="1:6" x14ac:dyDescent="0.3">
      <c r="A435" t="s">
        <v>484</v>
      </c>
      <c r="B435">
        <f>VLOOKUP('Employee Details'!A435,'Remote work mental helath'!$A$2:$T$1001,2,)</f>
        <v>45</v>
      </c>
      <c r="C435" t="str">
        <f t="shared" si="6"/>
        <v>40-49</v>
      </c>
      <c r="D435" t="str">
        <f>VLOOKUP(A435,'Remote work mental helath'!$A$2:$T$1001,3,)</f>
        <v>Female</v>
      </c>
      <c r="E435" t="str">
        <f>VLOOKUP(A435,'Remote work mental helath'!$A$2:$T$1001,20,)</f>
        <v>Oceania</v>
      </c>
      <c r="F435" t="str">
        <f>VLOOKUP(A435,'Remote work mental helath'!$A$2:$T$1001,4,)</f>
        <v>Designer</v>
      </c>
    </row>
    <row r="436" spans="1:6" x14ac:dyDescent="0.3">
      <c r="A436" t="s">
        <v>485</v>
      </c>
      <c r="B436">
        <f>VLOOKUP('Employee Details'!A436,'Remote work mental helath'!$A$2:$T$1001,2,)</f>
        <v>50</v>
      </c>
      <c r="C436" t="str">
        <f t="shared" si="6"/>
        <v>50+</v>
      </c>
      <c r="D436" t="str">
        <f>VLOOKUP(A436,'Remote work mental helath'!$A$2:$T$1001,3,)</f>
        <v>Female</v>
      </c>
      <c r="E436" t="str">
        <f>VLOOKUP(A436,'Remote work mental helath'!$A$2:$T$1001,20,)</f>
        <v>Oceania</v>
      </c>
      <c r="F436" t="str">
        <f>VLOOKUP(A436,'Remote work mental helath'!$A$2:$T$1001,4,)</f>
        <v>Data Scientist</v>
      </c>
    </row>
    <row r="437" spans="1:6" x14ac:dyDescent="0.3">
      <c r="A437" t="s">
        <v>486</v>
      </c>
      <c r="B437">
        <f>VLOOKUP('Employee Details'!A437,'Remote work mental helath'!$A$2:$T$1001,2,)</f>
        <v>53</v>
      </c>
      <c r="C437" t="str">
        <f t="shared" si="6"/>
        <v>50+</v>
      </c>
      <c r="D437" t="str">
        <f>VLOOKUP(A437,'Remote work mental helath'!$A$2:$T$1001,3,)</f>
        <v>Non-binary</v>
      </c>
      <c r="E437" t="str">
        <f>VLOOKUP(A437,'Remote work mental helath'!$A$2:$T$1001,20,)</f>
        <v>Oceania</v>
      </c>
      <c r="F437" t="str">
        <f>VLOOKUP(A437,'Remote work mental helath'!$A$2:$T$1001,4,)</f>
        <v>Marketing</v>
      </c>
    </row>
    <row r="438" spans="1:6" x14ac:dyDescent="0.3">
      <c r="A438" t="s">
        <v>487</v>
      </c>
      <c r="B438">
        <f>VLOOKUP('Employee Details'!A438,'Remote work mental helath'!$A$2:$T$1001,2,)</f>
        <v>58</v>
      </c>
      <c r="C438" t="str">
        <f t="shared" si="6"/>
        <v>50+</v>
      </c>
      <c r="D438" t="str">
        <f>VLOOKUP(A438,'Remote work mental helath'!$A$2:$T$1001,3,)</f>
        <v>Prefer not to say</v>
      </c>
      <c r="E438" t="str">
        <f>VLOOKUP(A438,'Remote work mental helath'!$A$2:$T$1001,20,)</f>
        <v>Europe</v>
      </c>
      <c r="F438" t="str">
        <f>VLOOKUP(A438,'Remote work mental helath'!$A$2:$T$1001,4,)</f>
        <v>HR</v>
      </c>
    </row>
    <row r="439" spans="1:6" x14ac:dyDescent="0.3">
      <c r="A439" t="s">
        <v>488</v>
      </c>
      <c r="B439">
        <f>VLOOKUP('Employee Details'!A439,'Remote work mental helath'!$A$2:$T$1001,2,)</f>
        <v>48</v>
      </c>
      <c r="C439" t="str">
        <f t="shared" si="6"/>
        <v>40-49</v>
      </c>
      <c r="D439" t="str">
        <f>VLOOKUP(A439,'Remote work mental helath'!$A$2:$T$1001,3,)</f>
        <v>Prefer not to say</v>
      </c>
      <c r="E439" t="str">
        <f>VLOOKUP(A439,'Remote work mental helath'!$A$2:$T$1001,20,)</f>
        <v>Asia</v>
      </c>
      <c r="F439" t="str">
        <f>VLOOKUP(A439,'Remote work mental helath'!$A$2:$T$1001,4,)</f>
        <v>Project Manager</v>
      </c>
    </row>
    <row r="440" spans="1:6" x14ac:dyDescent="0.3">
      <c r="A440" t="s">
        <v>489</v>
      </c>
      <c r="B440">
        <f>VLOOKUP('Employee Details'!A440,'Remote work mental helath'!$A$2:$T$1001,2,)</f>
        <v>42</v>
      </c>
      <c r="C440" t="str">
        <f t="shared" si="6"/>
        <v>40-49</v>
      </c>
      <c r="D440" t="str">
        <f>VLOOKUP(A440,'Remote work mental helath'!$A$2:$T$1001,3,)</f>
        <v>Prefer not to say</v>
      </c>
      <c r="E440" t="str">
        <f>VLOOKUP(A440,'Remote work mental helath'!$A$2:$T$1001,20,)</f>
        <v>Europe</v>
      </c>
      <c r="F440" t="str">
        <f>VLOOKUP(A440,'Remote work mental helath'!$A$2:$T$1001,4,)</f>
        <v>Sales</v>
      </c>
    </row>
    <row r="441" spans="1:6" x14ac:dyDescent="0.3">
      <c r="A441" t="s">
        <v>490</v>
      </c>
      <c r="B441">
        <f>VLOOKUP('Employee Details'!A441,'Remote work mental helath'!$A$2:$T$1001,2,)</f>
        <v>22</v>
      </c>
      <c r="C441" t="str">
        <f t="shared" si="6"/>
        <v>20-29</v>
      </c>
      <c r="D441" t="str">
        <f>VLOOKUP(A441,'Remote work mental helath'!$A$2:$T$1001,3,)</f>
        <v>Non-binary</v>
      </c>
      <c r="E441" t="str">
        <f>VLOOKUP(A441,'Remote work mental helath'!$A$2:$T$1001,20,)</f>
        <v>Asia</v>
      </c>
      <c r="F441" t="str">
        <f>VLOOKUP(A441,'Remote work mental helath'!$A$2:$T$1001,4,)</f>
        <v>Software Engineer</v>
      </c>
    </row>
    <row r="442" spans="1:6" x14ac:dyDescent="0.3">
      <c r="A442" t="s">
        <v>491</v>
      </c>
      <c r="B442">
        <f>VLOOKUP('Employee Details'!A442,'Remote work mental helath'!$A$2:$T$1001,2,)</f>
        <v>23</v>
      </c>
      <c r="C442" t="str">
        <f t="shared" si="6"/>
        <v>20-29</v>
      </c>
      <c r="D442" t="str">
        <f>VLOOKUP(A442,'Remote work mental helath'!$A$2:$T$1001,3,)</f>
        <v>Female</v>
      </c>
      <c r="E442" t="str">
        <f>VLOOKUP(A442,'Remote work mental helath'!$A$2:$T$1001,20,)</f>
        <v>South America</v>
      </c>
      <c r="F442" t="str">
        <f>VLOOKUP(A442,'Remote work mental helath'!$A$2:$T$1001,4,)</f>
        <v>Data Scientist</v>
      </c>
    </row>
    <row r="443" spans="1:6" x14ac:dyDescent="0.3">
      <c r="A443" t="s">
        <v>492</v>
      </c>
      <c r="B443">
        <f>VLOOKUP('Employee Details'!A443,'Remote work mental helath'!$A$2:$T$1001,2,)</f>
        <v>59</v>
      </c>
      <c r="C443" t="str">
        <f t="shared" si="6"/>
        <v>50+</v>
      </c>
      <c r="D443" t="str">
        <f>VLOOKUP(A443,'Remote work mental helath'!$A$2:$T$1001,3,)</f>
        <v>Prefer not to say</v>
      </c>
      <c r="E443" t="str">
        <f>VLOOKUP(A443,'Remote work mental helath'!$A$2:$T$1001,20,)</f>
        <v>North America</v>
      </c>
      <c r="F443" t="str">
        <f>VLOOKUP(A443,'Remote work mental helath'!$A$2:$T$1001,4,)</f>
        <v>HR</v>
      </c>
    </row>
    <row r="444" spans="1:6" x14ac:dyDescent="0.3">
      <c r="A444" t="s">
        <v>493</v>
      </c>
      <c r="B444">
        <f>VLOOKUP('Employee Details'!A444,'Remote work mental helath'!$A$2:$T$1001,2,)</f>
        <v>50</v>
      </c>
      <c r="C444" t="str">
        <f t="shared" si="6"/>
        <v>50+</v>
      </c>
      <c r="D444" t="str">
        <f>VLOOKUP(A444,'Remote work mental helath'!$A$2:$T$1001,3,)</f>
        <v>Non-binary</v>
      </c>
      <c r="E444" t="str">
        <f>VLOOKUP(A444,'Remote work mental helath'!$A$2:$T$1001,20,)</f>
        <v>Oceania</v>
      </c>
      <c r="F444" t="str">
        <f>VLOOKUP(A444,'Remote work mental helath'!$A$2:$T$1001,4,)</f>
        <v>Designer</v>
      </c>
    </row>
    <row r="445" spans="1:6" x14ac:dyDescent="0.3">
      <c r="A445" t="s">
        <v>494</v>
      </c>
      <c r="B445">
        <f>VLOOKUP('Employee Details'!A445,'Remote work mental helath'!$A$2:$T$1001,2,)</f>
        <v>27</v>
      </c>
      <c r="C445" t="str">
        <f t="shared" si="6"/>
        <v>20-29</v>
      </c>
      <c r="D445" t="str">
        <f>VLOOKUP(A445,'Remote work mental helath'!$A$2:$T$1001,3,)</f>
        <v>Female</v>
      </c>
      <c r="E445" t="str">
        <f>VLOOKUP(A445,'Remote work mental helath'!$A$2:$T$1001,20,)</f>
        <v>Oceania</v>
      </c>
      <c r="F445" t="str">
        <f>VLOOKUP(A445,'Remote work mental helath'!$A$2:$T$1001,4,)</f>
        <v>HR</v>
      </c>
    </row>
    <row r="446" spans="1:6" x14ac:dyDescent="0.3">
      <c r="A446" t="s">
        <v>495</v>
      </c>
      <c r="B446">
        <f>VLOOKUP('Employee Details'!A446,'Remote work mental helath'!$A$2:$T$1001,2,)</f>
        <v>25</v>
      </c>
      <c r="C446" t="str">
        <f t="shared" si="6"/>
        <v>20-29</v>
      </c>
      <c r="D446" t="str">
        <f>VLOOKUP(A446,'Remote work mental helath'!$A$2:$T$1001,3,)</f>
        <v>Prefer not to say</v>
      </c>
      <c r="E446" t="str">
        <f>VLOOKUP(A446,'Remote work mental helath'!$A$2:$T$1001,20,)</f>
        <v>Africa</v>
      </c>
      <c r="F446" t="str">
        <f>VLOOKUP(A446,'Remote work mental helath'!$A$2:$T$1001,4,)</f>
        <v>Software Engineer</v>
      </c>
    </row>
    <row r="447" spans="1:6" x14ac:dyDescent="0.3">
      <c r="A447" t="s">
        <v>496</v>
      </c>
      <c r="B447">
        <f>VLOOKUP('Employee Details'!A447,'Remote work mental helath'!$A$2:$T$1001,2,)</f>
        <v>52</v>
      </c>
      <c r="C447" t="str">
        <f t="shared" si="6"/>
        <v>50+</v>
      </c>
      <c r="D447" t="str">
        <f>VLOOKUP(A447,'Remote work mental helath'!$A$2:$T$1001,3,)</f>
        <v>Male</v>
      </c>
      <c r="E447" t="str">
        <f>VLOOKUP(A447,'Remote work mental helath'!$A$2:$T$1001,20,)</f>
        <v>Africa</v>
      </c>
      <c r="F447" t="str">
        <f>VLOOKUP(A447,'Remote work mental helath'!$A$2:$T$1001,4,)</f>
        <v>Designer</v>
      </c>
    </row>
    <row r="448" spans="1:6" x14ac:dyDescent="0.3">
      <c r="A448" t="s">
        <v>497</v>
      </c>
      <c r="B448">
        <f>VLOOKUP('Employee Details'!A448,'Remote work mental helath'!$A$2:$T$1001,2,)</f>
        <v>37</v>
      </c>
      <c r="C448" t="str">
        <f t="shared" si="6"/>
        <v>30-39</v>
      </c>
      <c r="D448" t="str">
        <f>VLOOKUP(A448,'Remote work mental helath'!$A$2:$T$1001,3,)</f>
        <v>Non-binary</v>
      </c>
      <c r="E448" t="str">
        <f>VLOOKUP(A448,'Remote work mental helath'!$A$2:$T$1001,20,)</f>
        <v>North America</v>
      </c>
      <c r="F448" t="str">
        <f>VLOOKUP(A448,'Remote work mental helath'!$A$2:$T$1001,4,)</f>
        <v>Sales</v>
      </c>
    </row>
    <row r="449" spans="1:6" x14ac:dyDescent="0.3">
      <c r="A449" t="s">
        <v>498</v>
      </c>
      <c r="B449">
        <f>VLOOKUP('Employee Details'!A449,'Remote work mental helath'!$A$2:$T$1001,2,)</f>
        <v>22</v>
      </c>
      <c r="C449" t="str">
        <f t="shared" si="6"/>
        <v>20-29</v>
      </c>
      <c r="D449" t="str">
        <f>VLOOKUP(A449,'Remote work mental helath'!$A$2:$T$1001,3,)</f>
        <v>Non-binary</v>
      </c>
      <c r="E449" t="str">
        <f>VLOOKUP(A449,'Remote work mental helath'!$A$2:$T$1001,20,)</f>
        <v>South America</v>
      </c>
      <c r="F449" t="str">
        <f>VLOOKUP(A449,'Remote work mental helath'!$A$2:$T$1001,4,)</f>
        <v>Project Manager</v>
      </c>
    </row>
    <row r="450" spans="1:6" x14ac:dyDescent="0.3">
      <c r="A450" t="s">
        <v>499</v>
      </c>
      <c r="B450">
        <f>VLOOKUP('Employee Details'!A450,'Remote work mental helath'!$A$2:$T$1001,2,)</f>
        <v>51</v>
      </c>
      <c r="C450" t="str">
        <f t="shared" si="6"/>
        <v>50+</v>
      </c>
      <c r="D450" t="str">
        <f>VLOOKUP(A450,'Remote work mental helath'!$A$2:$T$1001,3,)</f>
        <v>Male</v>
      </c>
      <c r="E450" t="str">
        <f>VLOOKUP(A450,'Remote work mental helath'!$A$2:$T$1001,20,)</f>
        <v>Asia</v>
      </c>
      <c r="F450" t="str">
        <f>VLOOKUP(A450,'Remote work mental helath'!$A$2:$T$1001,4,)</f>
        <v>HR</v>
      </c>
    </row>
    <row r="451" spans="1:6" x14ac:dyDescent="0.3">
      <c r="A451" t="s">
        <v>500</v>
      </c>
      <c r="B451">
        <f>VLOOKUP('Employee Details'!A451,'Remote work mental helath'!$A$2:$T$1001,2,)</f>
        <v>57</v>
      </c>
      <c r="C451" t="str">
        <f t="shared" ref="C451:C514" si="7">IF(B451&lt;30,"20-29",IF(B451&lt;40,"30-39",IF(B451&lt;50,"40-49","50+")))</f>
        <v>50+</v>
      </c>
      <c r="D451" t="str">
        <f>VLOOKUP(A451,'Remote work mental helath'!$A$2:$T$1001,3,)</f>
        <v>Male</v>
      </c>
      <c r="E451" t="str">
        <f>VLOOKUP(A451,'Remote work mental helath'!$A$2:$T$1001,20,)</f>
        <v>Europe</v>
      </c>
      <c r="F451" t="str">
        <f>VLOOKUP(A451,'Remote work mental helath'!$A$2:$T$1001,4,)</f>
        <v>Project Manager</v>
      </c>
    </row>
    <row r="452" spans="1:6" x14ac:dyDescent="0.3">
      <c r="A452" t="s">
        <v>501</v>
      </c>
      <c r="B452">
        <f>VLOOKUP('Employee Details'!A452,'Remote work mental helath'!$A$2:$T$1001,2,)</f>
        <v>58</v>
      </c>
      <c r="C452" t="str">
        <f t="shared" si="7"/>
        <v>50+</v>
      </c>
      <c r="D452" t="str">
        <f>VLOOKUP(A452,'Remote work mental helath'!$A$2:$T$1001,3,)</f>
        <v>Prefer not to say</v>
      </c>
      <c r="E452" t="str">
        <f>VLOOKUP(A452,'Remote work mental helath'!$A$2:$T$1001,20,)</f>
        <v>North America</v>
      </c>
      <c r="F452" t="str">
        <f>VLOOKUP(A452,'Remote work mental helath'!$A$2:$T$1001,4,)</f>
        <v>Data Scientist</v>
      </c>
    </row>
    <row r="453" spans="1:6" x14ac:dyDescent="0.3">
      <c r="A453" t="s">
        <v>502</v>
      </c>
      <c r="B453">
        <f>VLOOKUP('Employee Details'!A453,'Remote work mental helath'!$A$2:$T$1001,2,)</f>
        <v>32</v>
      </c>
      <c r="C453" t="str">
        <f t="shared" si="7"/>
        <v>30-39</v>
      </c>
      <c r="D453" t="str">
        <f>VLOOKUP(A453,'Remote work mental helath'!$A$2:$T$1001,3,)</f>
        <v>Prefer not to say</v>
      </c>
      <c r="E453" t="str">
        <f>VLOOKUP(A453,'Remote work mental helath'!$A$2:$T$1001,20,)</f>
        <v>Oceania</v>
      </c>
      <c r="F453" t="str">
        <f>VLOOKUP(A453,'Remote work mental helath'!$A$2:$T$1001,4,)</f>
        <v>Data Scientist</v>
      </c>
    </row>
    <row r="454" spans="1:6" x14ac:dyDescent="0.3">
      <c r="A454" t="s">
        <v>503</v>
      </c>
      <c r="B454">
        <f>VLOOKUP('Employee Details'!A454,'Remote work mental helath'!$A$2:$T$1001,2,)</f>
        <v>41</v>
      </c>
      <c r="C454" t="str">
        <f t="shared" si="7"/>
        <v>40-49</v>
      </c>
      <c r="D454" t="str">
        <f>VLOOKUP(A454,'Remote work mental helath'!$A$2:$T$1001,3,)</f>
        <v>Female</v>
      </c>
      <c r="E454" t="str">
        <f>VLOOKUP(A454,'Remote work mental helath'!$A$2:$T$1001,20,)</f>
        <v>Oceania</v>
      </c>
      <c r="F454" t="str">
        <f>VLOOKUP(A454,'Remote work mental helath'!$A$2:$T$1001,4,)</f>
        <v>Data Scientist</v>
      </c>
    </row>
    <row r="455" spans="1:6" x14ac:dyDescent="0.3">
      <c r="A455" t="s">
        <v>504</v>
      </c>
      <c r="B455">
        <f>VLOOKUP('Employee Details'!A455,'Remote work mental helath'!$A$2:$T$1001,2,)</f>
        <v>36</v>
      </c>
      <c r="C455" t="str">
        <f t="shared" si="7"/>
        <v>30-39</v>
      </c>
      <c r="D455" t="str">
        <f>VLOOKUP(A455,'Remote work mental helath'!$A$2:$T$1001,3,)</f>
        <v>Female</v>
      </c>
      <c r="E455" t="str">
        <f>VLOOKUP(A455,'Remote work mental helath'!$A$2:$T$1001,20,)</f>
        <v>Asia</v>
      </c>
      <c r="F455" t="str">
        <f>VLOOKUP(A455,'Remote work mental helath'!$A$2:$T$1001,4,)</f>
        <v>Marketing</v>
      </c>
    </row>
    <row r="456" spans="1:6" x14ac:dyDescent="0.3">
      <c r="A456" t="s">
        <v>505</v>
      </c>
      <c r="B456">
        <f>VLOOKUP('Employee Details'!A456,'Remote work mental helath'!$A$2:$T$1001,2,)</f>
        <v>51</v>
      </c>
      <c r="C456" t="str">
        <f t="shared" si="7"/>
        <v>50+</v>
      </c>
      <c r="D456" t="str">
        <f>VLOOKUP(A456,'Remote work mental helath'!$A$2:$T$1001,3,)</f>
        <v>Non-binary</v>
      </c>
      <c r="E456" t="str">
        <f>VLOOKUP(A456,'Remote work mental helath'!$A$2:$T$1001,20,)</f>
        <v>Asia</v>
      </c>
      <c r="F456" t="str">
        <f>VLOOKUP(A456,'Remote work mental helath'!$A$2:$T$1001,4,)</f>
        <v>Data Scientist</v>
      </c>
    </row>
    <row r="457" spans="1:6" x14ac:dyDescent="0.3">
      <c r="A457" t="s">
        <v>506</v>
      </c>
      <c r="B457">
        <f>VLOOKUP('Employee Details'!A457,'Remote work mental helath'!$A$2:$T$1001,2,)</f>
        <v>60</v>
      </c>
      <c r="C457" t="str">
        <f t="shared" si="7"/>
        <v>50+</v>
      </c>
      <c r="D457" t="str">
        <f>VLOOKUP(A457,'Remote work mental helath'!$A$2:$T$1001,3,)</f>
        <v>Female</v>
      </c>
      <c r="E457" t="str">
        <f>VLOOKUP(A457,'Remote work mental helath'!$A$2:$T$1001,20,)</f>
        <v>South America</v>
      </c>
      <c r="F457" t="str">
        <f>VLOOKUP(A457,'Remote work mental helath'!$A$2:$T$1001,4,)</f>
        <v>Sales</v>
      </c>
    </row>
    <row r="458" spans="1:6" x14ac:dyDescent="0.3">
      <c r="A458" t="s">
        <v>507</v>
      </c>
      <c r="B458">
        <f>VLOOKUP('Employee Details'!A458,'Remote work mental helath'!$A$2:$T$1001,2,)</f>
        <v>34</v>
      </c>
      <c r="C458" t="str">
        <f t="shared" si="7"/>
        <v>30-39</v>
      </c>
      <c r="D458" t="str">
        <f>VLOOKUP(A458,'Remote work mental helath'!$A$2:$T$1001,3,)</f>
        <v>Female</v>
      </c>
      <c r="E458" t="str">
        <f>VLOOKUP(A458,'Remote work mental helath'!$A$2:$T$1001,20,)</f>
        <v>Africa</v>
      </c>
      <c r="F458" t="str">
        <f>VLOOKUP(A458,'Remote work mental helath'!$A$2:$T$1001,4,)</f>
        <v>HR</v>
      </c>
    </row>
    <row r="459" spans="1:6" x14ac:dyDescent="0.3">
      <c r="A459" t="s">
        <v>508</v>
      </c>
      <c r="B459">
        <f>VLOOKUP('Employee Details'!A459,'Remote work mental helath'!$A$2:$T$1001,2,)</f>
        <v>33</v>
      </c>
      <c r="C459" t="str">
        <f t="shared" si="7"/>
        <v>30-39</v>
      </c>
      <c r="D459" t="str">
        <f>VLOOKUP(A459,'Remote work mental helath'!$A$2:$T$1001,3,)</f>
        <v>Female</v>
      </c>
      <c r="E459" t="str">
        <f>VLOOKUP(A459,'Remote work mental helath'!$A$2:$T$1001,20,)</f>
        <v>Oceania</v>
      </c>
      <c r="F459" t="str">
        <f>VLOOKUP(A459,'Remote work mental helath'!$A$2:$T$1001,4,)</f>
        <v>Sales</v>
      </c>
    </row>
    <row r="460" spans="1:6" x14ac:dyDescent="0.3">
      <c r="A460" t="s">
        <v>509</v>
      </c>
      <c r="B460">
        <f>VLOOKUP('Employee Details'!A460,'Remote work mental helath'!$A$2:$T$1001,2,)</f>
        <v>53</v>
      </c>
      <c r="C460" t="str">
        <f t="shared" si="7"/>
        <v>50+</v>
      </c>
      <c r="D460" t="str">
        <f>VLOOKUP(A460,'Remote work mental helath'!$A$2:$T$1001,3,)</f>
        <v>Prefer not to say</v>
      </c>
      <c r="E460" t="str">
        <f>VLOOKUP(A460,'Remote work mental helath'!$A$2:$T$1001,20,)</f>
        <v>Asia</v>
      </c>
      <c r="F460" t="str">
        <f>VLOOKUP(A460,'Remote work mental helath'!$A$2:$T$1001,4,)</f>
        <v>Marketing</v>
      </c>
    </row>
    <row r="461" spans="1:6" x14ac:dyDescent="0.3">
      <c r="A461" t="s">
        <v>510</v>
      </c>
      <c r="B461">
        <f>VLOOKUP('Employee Details'!A461,'Remote work mental helath'!$A$2:$T$1001,2,)</f>
        <v>53</v>
      </c>
      <c r="C461" t="str">
        <f t="shared" si="7"/>
        <v>50+</v>
      </c>
      <c r="D461" t="str">
        <f>VLOOKUP(A461,'Remote work mental helath'!$A$2:$T$1001,3,)</f>
        <v>Female</v>
      </c>
      <c r="E461" t="str">
        <f>VLOOKUP(A461,'Remote work mental helath'!$A$2:$T$1001,20,)</f>
        <v>Africa</v>
      </c>
      <c r="F461" t="str">
        <f>VLOOKUP(A461,'Remote work mental helath'!$A$2:$T$1001,4,)</f>
        <v>Sales</v>
      </c>
    </row>
    <row r="462" spans="1:6" x14ac:dyDescent="0.3">
      <c r="A462" t="s">
        <v>511</v>
      </c>
      <c r="B462">
        <f>VLOOKUP('Employee Details'!A462,'Remote work mental helath'!$A$2:$T$1001,2,)</f>
        <v>40</v>
      </c>
      <c r="C462" t="str">
        <f t="shared" si="7"/>
        <v>40-49</v>
      </c>
      <c r="D462" t="str">
        <f>VLOOKUP(A462,'Remote work mental helath'!$A$2:$T$1001,3,)</f>
        <v>Female</v>
      </c>
      <c r="E462" t="str">
        <f>VLOOKUP(A462,'Remote work mental helath'!$A$2:$T$1001,20,)</f>
        <v>Europe</v>
      </c>
      <c r="F462" t="str">
        <f>VLOOKUP(A462,'Remote work mental helath'!$A$2:$T$1001,4,)</f>
        <v>Project Manager</v>
      </c>
    </row>
    <row r="463" spans="1:6" x14ac:dyDescent="0.3">
      <c r="A463" t="s">
        <v>512</v>
      </c>
      <c r="B463">
        <f>VLOOKUP('Employee Details'!A463,'Remote work mental helath'!$A$2:$T$1001,2,)</f>
        <v>36</v>
      </c>
      <c r="C463" t="str">
        <f t="shared" si="7"/>
        <v>30-39</v>
      </c>
      <c r="D463" t="str">
        <f>VLOOKUP(A463,'Remote work mental helath'!$A$2:$T$1001,3,)</f>
        <v>Non-binary</v>
      </c>
      <c r="E463" t="str">
        <f>VLOOKUP(A463,'Remote work mental helath'!$A$2:$T$1001,20,)</f>
        <v>Europe</v>
      </c>
      <c r="F463" t="str">
        <f>VLOOKUP(A463,'Remote work mental helath'!$A$2:$T$1001,4,)</f>
        <v>Designer</v>
      </c>
    </row>
    <row r="464" spans="1:6" x14ac:dyDescent="0.3">
      <c r="A464" t="s">
        <v>513</v>
      </c>
      <c r="B464">
        <f>VLOOKUP('Employee Details'!A464,'Remote work mental helath'!$A$2:$T$1001,2,)</f>
        <v>54</v>
      </c>
      <c r="C464" t="str">
        <f t="shared" si="7"/>
        <v>50+</v>
      </c>
      <c r="D464" t="str">
        <f>VLOOKUP(A464,'Remote work mental helath'!$A$2:$T$1001,3,)</f>
        <v>Prefer not to say</v>
      </c>
      <c r="E464" t="str">
        <f>VLOOKUP(A464,'Remote work mental helath'!$A$2:$T$1001,20,)</f>
        <v>Europe</v>
      </c>
      <c r="F464" t="str">
        <f>VLOOKUP(A464,'Remote work mental helath'!$A$2:$T$1001,4,)</f>
        <v>Designer</v>
      </c>
    </row>
    <row r="465" spans="1:6" x14ac:dyDescent="0.3">
      <c r="A465" t="s">
        <v>514</v>
      </c>
      <c r="B465">
        <f>VLOOKUP('Employee Details'!A465,'Remote work mental helath'!$A$2:$T$1001,2,)</f>
        <v>41</v>
      </c>
      <c r="C465" t="str">
        <f t="shared" si="7"/>
        <v>40-49</v>
      </c>
      <c r="D465" t="str">
        <f>VLOOKUP(A465,'Remote work mental helath'!$A$2:$T$1001,3,)</f>
        <v>Prefer not to say</v>
      </c>
      <c r="E465" t="str">
        <f>VLOOKUP(A465,'Remote work mental helath'!$A$2:$T$1001,20,)</f>
        <v>North America</v>
      </c>
      <c r="F465" t="str">
        <f>VLOOKUP(A465,'Remote work mental helath'!$A$2:$T$1001,4,)</f>
        <v>HR</v>
      </c>
    </row>
    <row r="466" spans="1:6" x14ac:dyDescent="0.3">
      <c r="A466" t="s">
        <v>515</v>
      </c>
      <c r="B466">
        <f>VLOOKUP('Employee Details'!A466,'Remote work mental helath'!$A$2:$T$1001,2,)</f>
        <v>55</v>
      </c>
      <c r="C466" t="str">
        <f t="shared" si="7"/>
        <v>50+</v>
      </c>
      <c r="D466" t="str">
        <f>VLOOKUP(A466,'Remote work mental helath'!$A$2:$T$1001,3,)</f>
        <v>Female</v>
      </c>
      <c r="E466" t="str">
        <f>VLOOKUP(A466,'Remote work mental helath'!$A$2:$T$1001,20,)</f>
        <v>Europe</v>
      </c>
      <c r="F466" t="str">
        <f>VLOOKUP(A466,'Remote work mental helath'!$A$2:$T$1001,4,)</f>
        <v>Sales</v>
      </c>
    </row>
    <row r="467" spans="1:6" x14ac:dyDescent="0.3">
      <c r="A467" t="s">
        <v>516</v>
      </c>
      <c r="B467">
        <f>VLOOKUP('Employee Details'!A467,'Remote work mental helath'!$A$2:$T$1001,2,)</f>
        <v>34</v>
      </c>
      <c r="C467" t="str">
        <f t="shared" si="7"/>
        <v>30-39</v>
      </c>
      <c r="D467" t="str">
        <f>VLOOKUP(A467,'Remote work mental helath'!$A$2:$T$1001,3,)</f>
        <v>Prefer not to say</v>
      </c>
      <c r="E467" t="str">
        <f>VLOOKUP(A467,'Remote work mental helath'!$A$2:$T$1001,20,)</f>
        <v>Europe</v>
      </c>
      <c r="F467" t="str">
        <f>VLOOKUP(A467,'Remote work mental helath'!$A$2:$T$1001,4,)</f>
        <v>Marketing</v>
      </c>
    </row>
    <row r="468" spans="1:6" x14ac:dyDescent="0.3">
      <c r="A468" t="s">
        <v>517</v>
      </c>
      <c r="B468">
        <f>VLOOKUP('Employee Details'!A468,'Remote work mental helath'!$A$2:$T$1001,2,)</f>
        <v>43</v>
      </c>
      <c r="C468" t="str">
        <f t="shared" si="7"/>
        <v>40-49</v>
      </c>
      <c r="D468" t="str">
        <f>VLOOKUP(A468,'Remote work mental helath'!$A$2:$T$1001,3,)</f>
        <v>Prefer not to say</v>
      </c>
      <c r="E468" t="str">
        <f>VLOOKUP(A468,'Remote work mental helath'!$A$2:$T$1001,20,)</f>
        <v>Europe</v>
      </c>
      <c r="F468" t="str">
        <f>VLOOKUP(A468,'Remote work mental helath'!$A$2:$T$1001,4,)</f>
        <v>Project Manager</v>
      </c>
    </row>
    <row r="469" spans="1:6" x14ac:dyDescent="0.3">
      <c r="A469" t="s">
        <v>518</v>
      </c>
      <c r="B469">
        <f>VLOOKUP('Employee Details'!A469,'Remote work mental helath'!$A$2:$T$1001,2,)</f>
        <v>37</v>
      </c>
      <c r="C469" t="str">
        <f t="shared" si="7"/>
        <v>30-39</v>
      </c>
      <c r="D469" t="str">
        <f>VLOOKUP(A469,'Remote work mental helath'!$A$2:$T$1001,3,)</f>
        <v>Non-binary</v>
      </c>
      <c r="E469" t="str">
        <f>VLOOKUP(A469,'Remote work mental helath'!$A$2:$T$1001,20,)</f>
        <v>Oceania</v>
      </c>
      <c r="F469" t="str">
        <f>VLOOKUP(A469,'Remote work mental helath'!$A$2:$T$1001,4,)</f>
        <v>Project Manager</v>
      </c>
    </row>
    <row r="470" spans="1:6" x14ac:dyDescent="0.3">
      <c r="A470" t="s">
        <v>519</v>
      </c>
      <c r="B470">
        <f>VLOOKUP('Employee Details'!A470,'Remote work mental helath'!$A$2:$T$1001,2,)</f>
        <v>37</v>
      </c>
      <c r="C470" t="str">
        <f t="shared" si="7"/>
        <v>30-39</v>
      </c>
      <c r="D470" t="str">
        <f>VLOOKUP(A470,'Remote work mental helath'!$A$2:$T$1001,3,)</f>
        <v>Prefer not to say</v>
      </c>
      <c r="E470" t="str">
        <f>VLOOKUP(A470,'Remote work mental helath'!$A$2:$T$1001,20,)</f>
        <v>Asia</v>
      </c>
      <c r="F470" t="str">
        <f>VLOOKUP(A470,'Remote work mental helath'!$A$2:$T$1001,4,)</f>
        <v>HR</v>
      </c>
    </row>
    <row r="471" spans="1:6" x14ac:dyDescent="0.3">
      <c r="A471" t="s">
        <v>520</v>
      </c>
      <c r="B471">
        <f>VLOOKUP('Employee Details'!A471,'Remote work mental helath'!$A$2:$T$1001,2,)</f>
        <v>57</v>
      </c>
      <c r="C471" t="str">
        <f t="shared" si="7"/>
        <v>50+</v>
      </c>
      <c r="D471" t="str">
        <f>VLOOKUP(A471,'Remote work mental helath'!$A$2:$T$1001,3,)</f>
        <v>Female</v>
      </c>
      <c r="E471" t="str">
        <f>VLOOKUP(A471,'Remote work mental helath'!$A$2:$T$1001,20,)</f>
        <v>Africa</v>
      </c>
      <c r="F471" t="str">
        <f>VLOOKUP(A471,'Remote work mental helath'!$A$2:$T$1001,4,)</f>
        <v>Sales</v>
      </c>
    </row>
    <row r="472" spans="1:6" x14ac:dyDescent="0.3">
      <c r="A472" t="s">
        <v>521</v>
      </c>
      <c r="B472">
        <f>VLOOKUP('Employee Details'!A472,'Remote work mental helath'!$A$2:$T$1001,2,)</f>
        <v>33</v>
      </c>
      <c r="C472" t="str">
        <f t="shared" si="7"/>
        <v>30-39</v>
      </c>
      <c r="D472" t="str">
        <f>VLOOKUP(A472,'Remote work mental helath'!$A$2:$T$1001,3,)</f>
        <v>Female</v>
      </c>
      <c r="E472" t="str">
        <f>VLOOKUP(A472,'Remote work mental helath'!$A$2:$T$1001,20,)</f>
        <v>Europe</v>
      </c>
      <c r="F472" t="str">
        <f>VLOOKUP(A472,'Remote work mental helath'!$A$2:$T$1001,4,)</f>
        <v>Sales</v>
      </c>
    </row>
    <row r="473" spans="1:6" x14ac:dyDescent="0.3">
      <c r="A473" t="s">
        <v>522</v>
      </c>
      <c r="B473">
        <f>VLOOKUP('Employee Details'!A473,'Remote work mental helath'!$A$2:$T$1001,2,)</f>
        <v>51</v>
      </c>
      <c r="C473" t="str">
        <f t="shared" si="7"/>
        <v>50+</v>
      </c>
      <c r="D473" t="str">
        <f>VLOOKUP(A473,'Remote work mental helath'!$A$2:$T$1001,3,)</f>
        <v>Female</v>
      </c>
      <c r="E473" t="str">
        <f>VLOOKUP(A473,'Remote work mental helath'!$A$2:$T$1001,20,)</f>
        <v>Africa</v>
      </c>
      <c r="F473" t="str">
        <f>VLOOKUP(A473,'Remote work mental helath'!$A$2:$T$1001,4,)</f>
        <v>HR</v>
      </c>
    </row>
    <row r="474" spans="1:6" x14ac:dyDescent="0.3">
      <c r="A474" t="s">
        <v>523</v>
      </c>
      <c r="B474">
        <f>VLOOKUP('Employee Details'!A474,'Remote work mental helath'!$A$2:$T$1001,2,)</f>
        <v>50</v>
      </c>
      <c r="C474" t="str">
        <f t="shared" si="7"/>
        <v>50+</v>
      </c>
      <c r="D474" t="str">
        <f>VLOOKUP(A474,'Remote work mental helath'!$A$2:$T$1001,3,)</f>
        <v>Male</v>
      </c>
      <c r="E474" t="str">
        <f>VLOOKUP(A474,'Remote work mental helath'!$A$2:$T$1001,20,)</f>
        <v>Europe</v>
      </c>
      <c r="F474" t="str">
        <f>VLOOKUP(A474,'Remote work mental helath'!$A$2:$T$1001,4,)</f>
        <v>Designer</v>
      </c>
    </row>
    <row r="475" spans="1:6" x14ac:dyDescent="0.3">
      <c r="A475" t="s">
        <v>524</v>
      </c>
      <c r="B475">
        <f>VLOOKUP('Employee Details'!A475,'Remote work mental helath'!$A$2:$T$1001,2,)</f>
        <v>35</v>
      </c>
      <c r="C475" t="str">
        <f t="shared" si="7"/>
        <v>30-39</v>
      </c>
      <c r="D475" t="str">
        <f>VLOOKUP(A475,'Remote work mental helath'!$A$2:$T$1001,3,)</f>
        <v>Female</v>
      </c>
      <c r="E475" t="str">
        <f>VLOOKUP(A475,'Remote work mental helath'!$A$2:$T$1001,20,)</f>
        <v>Asia</v>
      </c>
      <c r="F475" t="str">
        <f>VLOOKUP(A475,'Remote work mental helath'!$A$2:$T$1001,4,)</f>
        <v>Sales</v>
      </c>
    </row>
    <row r="476" spans="1:6" x14ac:dyDescent="0.3">
      <c r="A476" t="s">
        <v>525</v>
      </c>
      <c r="B476">
        <f>VLOOKUP('Employee Details'!A476,'Remote work mental helath'!$A$2:$T$1001,2,)</f>
        <v>40</v>
      </c>
      <c r="C476" t="str">
        <f t="shared" si="7"/>
        <v>40-49</v>
      </c>
      <c r="D476" t="str">
        <f>VLOOKUP(A476,'Remote work mental helath'!$A$2:$T$1001,3,)</f>
        <v>Non-binary</v>
      </c>
      <c r="E476" t="str">
        <f>VLOOKUP(A476,'Remote work mental helath'!$A$2:$T$1001,20,)</f>
        <v>Africa</v>
      </c>
      <c r="F476" t="str">
        <f>VLOOKUP(A476,'Remote work mental helath'!$A$2:$T$1001,4,)</f>
        <v>Marketing</v>
      </c>
    </row>
    <row r="477" spans="1:6" x14ac:dyDescent="0.3">
      <c r="A477" t="s">
        <v>526</v>
      </c>
      <c r="B477">
        <f>VLOOKUP('Employee Details'!A477,'Remote work mental helath'!$A$2:$T$1001,2,)</f>
        <v>53</v>
      </c>
      <c r="C477" t="str">
        <f t="shared" si="7"/>
        <v>50+</v>
      </c>
      <c r="D477" t="str">
        <f>VLOOKUP(A477,'Remote work mental helath'!$A$2:$T$1001,3,)</f>
        <v>Non-binary</v>
      </c>
      <c r="E477" t="str">
        <f>VLOOKUP(A477,'Remote work mental helath'!$A$2:$T$1001,20,)</f>
        <v>South America</v>
      </c>
      <c r="F477" t="str">
        <f>VLOOKUP(A477,'Remote work mental helath'!$A$2:$T$1001,4,)</f>
        <v>Project Manager</v>
      </c>
    </row>
    <row r="478" spans="1:6" x14ac:dyDescent="0.3">
      <c r="A478" t="s">
        <v>527</v>
      </c>
      <c r="B478">
        <f>VLOOKUP('Employee Details'!A478,'Remote work mental helath'!$A$2:$T$1001,2,)</f>
        <v>32</v>
      </c>
      <c r="C478" t="str">
        <f t="shared" si="7"/>
        <v>30-39</v>
      </c>
      <c r="D478" t="str">
        <f>VLOOKUP(A478,'Remote work mental helath'!$A$2:$T$1001,3,)</f>
        <v>Male</v>
      </c>
      <c r="E478" t="str">
        <f>VLOOKUP(A478,'Remote work mental helath'!$A$2:$T$1001,20,)</f>
        <v>Africa</v>
      </c>
      <c r="F478" t="str">
        <f>VLOOKUP(A478,'Remote work mental helath'!$A$2:$T$1001,4,)</f>
        <v>Marketing</v>
      </c>
    </row>
    <row r="479" spans="1:6" x14ac:dyDescent="0.3">
      <c r="A479" t="s">
        <v>528</v>
      </c>
      <c r="B479">
        <f>VLOOKUP('Employee Details'!A479,'Remote work mental helath'!$A$2:$T$1001,2,)</f>
        <v>56</v>
      </c>
      <c r="C479" t="str">
        <f t="shared" si="7"/>
        <v>50+</v>
      </c>
      <c r="D479" t="str">
        <f>VLOOKUP(A479,'Remote work mental helath'!$A$2:$T$1001,3,)</f>
        <v>Female</v>
      </c>
      <c r="E479" t="str">
        <f>VLOOKUP(A479,'Remote work mental helath'!$A$2:$T$1001,20,)</f>
        <v>Africa</v>
      </c>
      <c r="F479" t="str">
        <f>VLOOKUP(A479,'Remote work mental helath'!$A$2:$T$1001,4,)</f>
        <v>Designer</v>
      </c>
    </row>
    <row r="480" spans="1:6" x14ac:dyDescent="0.3">
      <c r="A480" t="s">
        <v>529</v>
      </c>
      <c r="B480">
        <f>VLOOKUP('Employee Details'!A480,'Remote work mental helath'!$A$2:$T$1001,2,)</f>
        <v>55</v>
      </c>
      <c r="C480" t="str">
        <f t="shared" si="7"/>
        <v>50+</v>
      </c>
      <c r="D480" t="str">
        <f>VLOOKUP(A480,'Remote work mental helath'!$A$2:$T$1001,3,)</f>
        <v>Female</v>
      </c>
      <c r="E480" t="str">
        <f>VLOOKUP(A480,'Remote work mental helath'!$A$2:$T$1001,20,)</f>
        <v>South America</v>
      </c>
      <c r="F480" t="str">
        <f>VLOOKUP(A480,'Remote work mental helath'!$A$2:$T$1001,4,)</f>
        <v>Sales</v>
      </c>
    </row>
    <row r="481" spans="1:6" x14ac:dyDescent="0.3">
      <c r="A481" t="s">
        <v>530</v>
      </c>
      <c r="B481">
        <f>VLOOKUP('Employee Details'!A481,'Remote work mental helath'!$A$2:$T$1001,2,)</f>
        <v>49</v>
      </c>
      <c r="C481" t="str">
        <f t="shared" si="7"/>
        <v>40-49</v>
      </c>
      <c r="D481" t="str">
        <f>VLOOKUP(A481,'Remote work mental helath'!$A$2:$T$1001,3,)</f>
        <v>Non-binary</v>
      </c>
      <c r="E481" t="str">
        <f>VLOOKUP(A481,'Remote work mental helath'!$A$2:$T$1001,20,)</f>
        <v>Africa</v>
      </c>
      <c r="F481" t="str">
        <f>VLOOKUP(A481,'Remote work mental helath'!$A$2:$T$1001,4,)</f>
        <v>Project Manager</v>
      </c>
    </row>
    <row r="482" spans="1:6" x14ac:dyDescent="0.3">
      <c r="A482" t="s">
        <v>531</v>
      </c>
      <c r="B482">
        <f>VLOOKUP('Employee Details'!A482,'Remote work mental helath'!$A$2:$T$1001,2,)</f>
        <v>23</v>
      </c>
      <c r="C482" t="str">
        <f t="shared" si="7"/>
        <v>20-29</v>
      </c>
      <c r="D482" t="str">
        <f>VLOOKUP(A482,'Remote work mental helath'!$A$2:$T$1001,3,)</f>
        <v>Female</v>
      </c>
      <c r="E482" t="str">
        <f>VLOOKUP(A482,'Remote work mental helath'!$A$2:$T$1001,20,)</f>
        <v>North America</v>
      </c>
      <c r="F482" t="str">
        <f>VLOOKUP(A482,'Remote work mental helath'!$A$2:$T$1001,4,)</f>
        <v>Software Engineer</v>
      </c>
    </row>
    <row r="483" spans="1:6" x14ac:dyDescent="0.3">
      <c r="A483" t="s">
        <v>532</v>
      </c>
      <c r="B483">
        <f>VLOOKUP('Employee Details'!A483,'Remote work mental helath'!$A$2:$T$1001,2,)</f>
        <v>38</v>
      </c>
      <c r="C483" t="str">
        <f t="shared" si="7"/>
        <v>30-39</v>
      </c>
      <c r="D483" t="str">
        <f>VLOOKUP(A483,'Remote work mental helath'!$A$2:$T$1001,3,)</f>
        <v>Male</v>
      </c>
      <c r="E483" t="str">
        <f>VLOOKUP(A483,'Remote work mental helath'!$A$2:$T$1001,20,)</f>
        <v>Africa</v>
      </c>
      <c r="F483" t="str">
        <f>VLOOKUP(A483,'Remote work mental helath'!$A$2:$T$1001,4,)</f>
        <v>Sales</v>
      </c>
    </row>
    <row r="484" spans="1:6" x14ac:dyDescent="0.3">
      <c r="A484" t="s">
        <v>533</v>
      </c>
      <c r="B484">
        <f>VLOOKUP('Employee Details'!A484,'Remote work mental helath'!$A$2:$T$1001,2,)</f>
        <v>23</v>
      </c>
      <c r="C484" t="str">
        <f t="shared" si="7"/>
        <v>20-29</v>
      </c>
      <c r="D484" t="str">
        <f>VLOOKUP(A484,'Remote work mental helath'!$A$2:$T$1001,3,)</f>
        <v>Male</v>
      </c>
      <c r="E484" t="str">
        <f>VLOOKUP(A484,'Remote work mental helath'!$A$2:$T$1001,20,)</f>
        <v>Africa</v>
      </c>
      <c r="F484" t="str">
        <f>VLOOKUP(A484,'Remote work mental helath'!$A$2:$T$1001,4,)</f>
        <v>Marketing</v>
      </c>
    </row>
    <row r="485" spans="1:6" x14ac:dyDescent="0.3">
      <c r="A485" t="s">
        <v>534</v>
      </c>
      <c r="B485">
        <f>VLOOKUP('Employee Details'!A485,'Remote work mental helath'!$A$2:$T$1001,2,)</f>
        <v>29</v>
      </c>
      <c r="C485" t="str">
        <f t="shared" si="7"/>
        <v>20-29</v>
      </c>
      <c r="D485" t="str">
        <f>VLOOKUP(A485,'Remote work mental helath'!$A$2:$T$1001,3,)</f>
        <v>Female</v>
      </c>
      <c r="E485" t="str">
        <f>VLOOKUP(A485,'Remote work mental helath'!$A$2:$T$1001,20,)</f>
        <v>Africa</v>
      </c>
      <c r="F485" t="str">
        <f>VLOOKUP(A485,'Remote work mental helath'!$A$2:$T$1001,4,)</f>
        <v>Project Manager</v>
      </c>
    </row>
    <row r="486" spans="1:6" x14ac:dyDescent="0.3">
      <c r="A486" t="s">
        <v>535</v>
      </c>
      <c r="B486">
        <f>VLOOKUP('Employee Details'!A486,'Remote work mental helath'!$A$2:$T$1001,2,)</f>
        <v>24</v>
      </c>
      <c r="C486" t="str">
        <f t="shared" si="7"/>
        <v>20-29</v>
      </c>
      <c r="D486" t="str">
        <f>VLOOKUP(A486,'Remote work mental helath'!$A$2:$T$1001,3,)</f>
        <v>Female</v>
      </c>
      <c r="E486" t="str">
        <f>VLOOKUP(A486,'Remote work mental helath'!$A$2:$T$1001,20,)</f>
        <v>Europe</v>
      </c>
      <c r="F486" t="str">
        <f>VLOOKUP(A486,'Remote work mental helath'!$A$2:$T$1001,4,)</f>
        <v>Data Scientist</v>
      </c>
    </row>
    <row r="487" spans="1:6" x14ac:dyDescent="0.3">
      <c r="A487" t="s">
        <v>536</v>
      </c>
      <c r="B487">
        <f>VLOOKUP('Employee Details'!A487,'Remote work mental helath'!$A$2:$T$1001,2,)</f>
        <v>58</v>
      </c>
      <c r="C487" t="str">
        <f t="shared" si="7"/>
        <v>50+</v>
      </c>
      <c r="D487" t="str">
        <f>VLOOKUP(A487,'Remote work mental helath'!$A$2:$T$1001,3,)</f>
        <v>Male</v>
      </c>
      <c r="E487" t="str">
        <f>VLOOKUP(A487,'Remote work mental helath'!$A$2:$T$1001,20,)</f>
        <v>South America</v>
      </c>
      <c r="F487" t="str">
        <f>VLOOKUP(A487,'Remote work mental helath'!$A$2:$T$1001,4,)</f>
        <v>Software Engineer</v>
      </c>
    </row>
    <row r="488" spans="1:6" x14ac:dyDescent="0.3">
      <c r="A488" t="s">
        <v>537</v>
      </c>
      <c r="B488">
        <f>VLOOKUP('Employee Details'!A488,'Remote work mental helath'!$A$2:$T$1001,2,)</f>
        <v>42</v>
      </c>
      <c r="C488" t="str">
        <f t="shared" si="7"/>
        <v>40-49</v>
      </c>
      <c r="D488" t="str">
        <f>VLOOKUP(A488,'Remote work mental helath'!$A$2:$T$1001,3,)</f>
        <v>Male</v>
      </c>
      <c r="E488" t="str">
        <f>VLOOKUP(A488,'Remote work mental helath'!$A$2:$T$1001,20,)</f>
        <v>Africa</v>
      </c>
      <c r="F488" t="str">
        <f>VLOOKUP(A488,'Remote work mental helath'!$A$2:$T$1001,4,)</f>
        <v>Project Manager</v>
      </c>
    </row>
    <row r="489" spans="1:6" x14ac:dyDescent="0.3">
      <c r="A489" t="s">
        <v>538</v>
      </c>
      <c r="B489">
        <f>VLOOKUP('Employee Details'!A489,'Remote work mental helath'!$A$2:$T$1001,2,)</f>
        <v>42</v>
      </c>
      <c r="C489" t="str">
        <f t="shared" si="7"/>
        <v>40-49</v>
      </c>
      <c r="D489" t="str">
        <f>VLOOKUP(A489,'Remote work mental helath'!$A$2:$T$1001,3,)</f>
        <v>Male</v>
      </c>
      <c r="E489" t="str">
        <f>VLOOKUP(A489,'Remote work mental helath'!$A$2:$T$1001,20,)</f>
        <v>South America</v>
      </c>
      <c r="F489" t="str">
        <f>VLOOKUP(A489,'Remote work mental helath'!$A$2:$T$1001,4,)</f>
        <v>Designer</v>
      </c>
    </row>
    <row r="490" spans="1:6" x14ac:dyDescent="0.3">
      <c r="A490" t="s">
        <v>539</v>
      </c>
      <c r="B490">
        <f>VLOOKUP('Employee Details'!A490,'Remote work mental helath'!$A$2:$T$1001,2,)</f>
        <v>39</v>
      </c>
      <c r="C490" t="str">
        <f t="shared" si="7"/>
        <v>30-39</v>
      </c>
      <c r="D490" t="str">
        <f>VLOOKUP(A490,'Remote work mental helath'!$A$2:$T$1001,3,)</f>
        <v>Non-binary</v>
      </c>
      <c r="E490" t="str">
        <f>VLOOKUP(A490,'Remote work mental helath'!$A$2:$T$1001,20,)</f>
        <v>Asia</v>
      </c>
      <c r="F490" t="str">
        <f>VLOOKUP(A490,'Remote work mental helath'!$A$2:$T$1001,4,)</f>
        <v>Sales</v>
      </c>
    </row>
    <row r="491" spans="1:6" x14ac:dyDescent="0.3">
      <c r="A491" t="s">
        <v>540</v>
      </c>
      <c r="B491">
        <f>VLOOKUP('Employee Details'!A491,'Remote work mental helath'!$A$2:$T$1001,2,)</f>
        <v>45</v>
      </c>
      <c r="C491" t="str">
        <f t="shared" si="7"/>
        <v>40-49</v>
      </c>
      <c r="D491" t="str">
        <f>VLOOKUP(A491,'Remote work mental helath'!$A$2:$T$1001,3,)</f>
        <v>Male</v>
      </c>
      <c r="E491" t="str">
        <f>VLOOKUP(A491,'Remote work mental helath'!$A$2:$T$1001,20,)</f>
        <v>Oceania</v>
      </c>
      <c r="F491" t="str">
        <f>VLOOKUP(A491,'Remote work mental helath'!$A$2:$T$1001,4,)</f>
        <v>Designer</v>
      </c>
    </row>
    <row r="492" spans="1:6" x14ac:dyDescent="0.3">
      <c r="A492" t="s">
        <v>541</v>
      </c>
      <c r="B492">
        <f>VLOOKUP('Employee Details'!A492,'Remote work mental helath'!$A$2:$T$1001,2,)</f>
        <v>53</v>
      </c>
      <c r="C492" t="str">
        <f t="shared" si="7"/>
        <v>50+</v>
      </c>
      <c r="D492" t="str">
        <f>VLOOKUP(A492,'Remote work mental helath'!$A$2:$T$1001,3,)</f>
        <v>Non-binary</v>
      </c>
      <c r="E492" t="str">
        <f>VLOOKUP(A492,'Remote work mental helath'!$A$2:$T$1001,20,)</f>
        <v>Oceania</v>
      </c>
      <c r="F492" t="str">
        <f>VLOOKUP(A492,'Remote work mental helath'!$A$2:$T$1001,4,)</f>
        <v>Project Manager</v>
      </c>
    </row>
    <row r="493" spans="1:6" x14ac:dyDescent="0.3">
      <c r="A493" t="s">
        <v>542</v>
      </c>
      <c r="B493">
        <f>VLOOKUP('Employee Details'!A493,'Remote work mental helath'!$A$2:$T$1001,2,)</f>
        <v>43</v>
      </c>
      <c r="C493" t="str">
        <f t="shared" si="7"/>
        <v>40-49</v>
      </c>
      <c r="D493" t="str">
        <f>VLOOKUP(A493,'Remote work mental helath'!$A$2:$T$1001,3,)</f>
        <v>Prefer not to say</v>
      </c>
      <c r="E493" t="str">
        <f>VLOOKUP(A493,'Remote work mental helath'!$A$2:$T$1001,20,)</f>
        <v>North America</v>
      </c>
      <c r="F493" t="str">
        <f>VLOOKUP(A493,'Remote work mental helath'!$A$2:$T$1001,4,)</f>
        <v>Sales</v>
      </c>
    </row>
    <row r="494" spans="1:6" x14ac:dyDescent="0.3">
      <c r="A494" t="s">
        <v>543</v>
      </c>
      <c r="B494">
        <f>VLOOKUP('Employee Details'!A494,'Remote work mental helath'!$A$2:$T$1001,2,)</f>
        <v>24</v>
      </c>
      <c r="C494" t="str">
        <f t="shared" si="7"/>
        <v>20-29</v>
      </c>
      <c r="D494" t="str">
        <f>VLOOKUP(A494,'Remote work mental helath'!$A$2:$T$1001,3,)</f>
        <v>Prefer not to say</v>
      </c>
      <c r="E494" t="str">
        <f>VLOOKUP(A494,'Remote work mental helath'!$A$2:$T$1001,20,)</f>
        <v>South America</v>
      </c>
      <c r="F494" t="str">
        <f>VLOOKUP(A494,'Remote work mental helath'!$A$2:$T$1001,4,)</f>
        <v>Designer</v>
      </c>
    </row>
    <row r="495" spans="1:6" x14ac:dyDescent="0.3">
      <c r="A495" t="s">
        <v>544</v>
      </c>
      <c r="B495">
        <f>VLOOKUP('Employee Details'!A495,'Remote work mental helath'!$A$2:$T$1001,2,)</f>
        <v>44</v>
      </c>
      <c r="C495" t="str">
        <f t="shared" si="7"/>
        <v>40-49</v>
      </c>
      <c r="D495" t="str">
        <f>VLOOKUP(A495,'Remote work mental helath'!$A$2:$T$1001,3,)</f>
        <v>Male</v>
      </c>
      <c r="E495" t="str">
        <f>VLOOKUP(A495,'Remote work mental helath'!$A$2:$T$1001,20,)</f>
        <v>Europe</v>
      </c>
      <c r="F495" t="str">
        <f>VLOOKUP(A495,'Remote work mental helath'!$A$2:$T$1001,4,)</f>
        <v>Marketing</v>
      </c>
    </row>
    <row r="496" spans="1:6" x14ac:dyDescent="0.3">
      <c r="A496" t="s">
        <v>545</v>
      </c>
      <c r="B496">
        <f>VLOOKUP('Employee Details'!A496,'Remote work mental helath'!$A$2:$T$1001,2,)</f>
        <v>39</v>
      </c>
      <c r="C496" t="str">
        <f t="shared" si="7"/>
        <v>30-39</v>
      </c>
      <c r="D496" t="str">
        <f>VLOOKUP(A496,'Remote work mental helath'!$A$2:$T$1001,3,)</f>
        <v>Prefer not to say</v>
      </c>
      <c r="E496" t="str">
        <f>VLOOKUP(A496,'Remote work mental helath'!$A$2:$T$1001,20,)</f>
        <v>North America</v>
      </c>
      <c r="F496" t="str">
        <f>VLOOKUP(A496,'Remote work mental helath'!$A$2:$T$1001,4,)</f>
        <v>Software Engineer</v>
      </c>
    </row>
    <row r="497" spans="1:6" x14ac:dyDescent="0.3">
      <c r="A497" t="s">
        <v>546</v>
      </c>
      <c r="B497">
        <f>VLOOKUP('Employee Details'!A497,'Remote work mental helath'!$A$2:$T$1001,2,)</f>
        <v>40</v>
      </c>
      <c r="C497" t="str">
        <f t="shared" si="7"/>
        <v>40-49</v>
      </c>
      <c r="D497" t="str">
        <f>VLOOKUP(A497,'Remote work mental helath'!$A$2:$T$1001,3,)</f>
        <v>Prefer not to say</v>
      </c>
      <c r="E497" t="str">
        <f>VLOOKUP(A497,'Remote work mental helath'!$A$2:$T$1001,20,)</f>
        <v>Europe</v>
      </c>
      <c r="F497" t="str">
        <f>VLOOKUP(A497,'Remote work mental helath'!$A$2:$T$1001,4,)</f>
        <v>HR</v>
      </c>
    </row>
    <row r="498" spans="1:6" x14ac:dyDescent="0.3">
      <c r="A498" t="s">
        <v>547</v>
      </c>
      <c r="B498">
        <f>VLOOKUP('Employee Details'!A498,'Remote work mental helath'!$A$2:$T$1001,2,)</f>
        <v>41</v>
      </c>
      <c r="C498" t="str">
        <f t="shared" si="7"/>
        <v>40-49</v>
      </c>
      <c r="D498" t="str">
        <f>VLOOKUP(A498,'Remote work mental helath'!$A$2:$T$1001,3,)</f>
        <v>Non-binary</v>
      </c>
      <c r="E498" t="str">
        <f>VLOOKUP(A498,'Remote work mental helath'!$A$2:$T$1001,20,)</f>
        <v>North America</v>
      </c>
      <c r="F498" t="str">
        <f>VLOOKUP(A498,'Remote work mental helath'!$A$2:$T$1001,4,)</f>
        <v>Designer</v>
      </c>
    </row>
    <row r="499" spans="1:6" x14ac:dyDescent="0.3">
      <c r="A499" t="s">
        <v>548</v>
      </c>
      <c r="B499">
        <f>VLOOKUP('Employee Details'!A499,'Remote work mental helath'!$A$2:$T$1001,2,)</f>
        <v>23</v>
      </c>
      <c r="C499" t="str">
        <f t="shared" si="7"/>
        <v>20-29</v>
      </c>
      <c r="D499" t="str">
        <f>VLOOKUP(A499,'Remote work mental helath'!$A$2:$T$1001,3,)</f>
        <v>Male</v>
      </c>
      <c r="E499" t="str">
        <f>VLOOKUP(A499,'Remote work mental helath'!$A$2:$T$1001,20,)</f>
        <v>North America</v>
      </c>
      <c r="F499" t="str">
        <f>VLOOKUP(A499,'Remote work mental helath'!$A$2:$T$1001,4,)</f>
        <v>Data Scientist</v>
      </c>
    </row>
    <row r="500" spans="1:6" x14ac:dyDescent="0.3">
      <c r="A500" t="s">
        <v>549</v>
      </c>
      <c r="B500">
        <f>VLOOKUP('Employee Details'!A500,'Remote work mental helath'!$A$2:$T$1001,2,)</f>
        <v>53</v>
      </c>
      <c r="C500" t="str">
        <f t="shared" si="7"/>
        <v>50+</v>
      </c>
      <c r="D500" t="str">
        <f>VLOOKUP(A500,'Remote work mental helath'!$A$2:$T$1001,3,)</f>
        <v>Female</v>
      </c>
      <c r="E500" t="str">
        <f>VLOOKUP(A500,'Remote work mental helath'!$A$2:$T$1001,20,)</f>
        <v>North America</v>
      </c>
      <c r="F500" t="str">
        <f>VLOOKUP(A500,'Remote work mental helath'!$A$2:$T$1001,4,)</f>
        <v>Software Engineer</v>
      </c>
    </row>
    <row r="501" spans="1:6" x14ac:dyDescent="0.3">
      <c r="A501" t="s">
        <v>550</v>
      </c>
      <c r="B501">
        <f>VLOOKUP('Employee Details'!A501,'Remote work mental helath'!$A$2:$T$1001,2,)</f>
        <v>52</v>
      </c>
      <c r="C501" t="str">
        <f t="shared" si="7"/>
        <v>50+</v>
      </c>
      <c r="D501" t="str">
        <f>VLOOKUP(A501,'Remote work mental helath'!$A$2:$T$1001,3,)</f>
        <v>Non-binary</v>
      </c>
      <c r="E501" t="str">
        <f>VLOOKUP(A501,'Remote work mental helath'!$A$2:$T$1001,20,)</f>
        <v>Asia</v>
      </c>
      <c r="F501" t="str">
        <f>VLOOKUP(A501,'Remote work mental helath'!$A$2:$T$1001,4,)</f>
        <v>Project Manager</v>
      </c>
    </row>
    <row r="502" spans="1:6" x14ac:dyDescent="0.3">
      <c r="A502" t="s">
        <v>551</v>
      </c>
      <c r="B502">
        <f>VLOOKUP('Employee Details'!A502,'Remote work mental helath'!$A$2:$T$1001,2,)</f>
        <v>58</v>
      </c>
      <c r="C502" t="str">
        <f t="shared" si="7"/>
        <v>50+</v>
      </c>
      <c r="D502" t="str">
        <f>VLOOKUP(A502,'Remote work mental helath'!$A$2:$T$1001,3,)</f>
        <v>Female</v>
      </c>
      <c r="E502" t="str">
        <f>VLOOKUP(A502,'Remote work mental helath'!$A$2:$T$1001,20,)</f>
        <v>Europe</v>
      </c>
      <c r="F502" t="str">
        <f>VLOOKUP(A502,'Remote work mental helath'!$A$2:$T$1001,4,)</f>
        <v>Data Scientist</v>
      </c>
    </row>
    <row r="503" spans="1:6" x14ac:dyDescent="0.3">
      <c r="A503" t="s">
        <v>552</v>
      </c>
      <c r="B503">
        <f>VLOOKUP('Employee Details'!A503,'Remote work mental helath'!$A$2:$T$1001,2,)</f>
        <v>56</v>
      </c>
      <c r="C503" t="str">
        <f t="shared" si="7"/>
        <v>50+</v>
      </c>
      <c r="D503" t="str">
        <f>VLOOKUP(A503,'Remote work mental helath'!$A$2:$T$1001,3,)</f>
        <v>Prefer not to say</v>
      </c>
      <c r="E503" t="str">
        <f>VLOOKUP(A503,'Remote work mental helath'!$A$2:$T$1001,20,)</f>
        <v>Oceania</v>
      </c>
      <c r="F503" t="str">
        <f>VLOOKUP(A503,'Remote work mental helath'!$A$2:$T$1001,4,)</f>
        <v>Data Scientist</v>
      </c>
    </row>
    <row r="504" spans="1:6" x14ac:dyDescent="0.3">
      <c r="A504" t="s">
        <v>553</v>
      </c>
      <c r="B504">
        <f>VLOOKUP('Employee Details'!A504,'Remote work mental helath'!$A$2:$T$1001,2,)</f>
        <v>34</v>
      </c>
      <c r="C504" t="str">
        <f t="shared" si="7"/>
        <v>30-39</v>
      </c>
      <c r="D504" t="str">
        <f>VLOOKUP(A504,'Remote work mental helath'!$A$2:$T$1001,3,)</f>
        <v>Female</v>
      </c>
      <c r="E504" t="str">
        <f>VLOOKUP(A504,'Remote work mental helath'!$A$2:$T$1001,20,)</f>
        <v>Africa</v>
      </c>
      <c r="F504" t="str">
        <f>VLOOKUP(A504,'Remote work mental helath'!$A$2:$T$1001,4,)</f>
        <v>Software Engineer</v>
      </c>
    </row>
    <row r="505" spans="1:6" x14ac:dyDescent="0.3">
      <c r="A505" t="s">
        <v>554</v>
      </c>
      <c r="B505">
        <f>VLOOKUP('Employee Details'!A505,'Remote work mental helath'!$A$2:$T$1001,2,)</f>
        <v>36</v>
      </c>
      <c r="C505" t="str">
        <f t="shared" si="7"/>
        <v>30-39</v>
      </c>
      <c r="D505" t="str">
        <f>VLOOKUP(A505,'Remote work mental helath'!$A$2:$T$1001,3,)</f>
        <v>Non-binary</v>
      </c>
      <c r="E505" t="str">
        <f>VLOOKUP(A505,'Remote work mental helath'!$A$2:$T$1001,20,)</f>
        <v>Europe</v>
      </c>
      <c r="F505" t="str">
        <f>VLOOKUP(A505,'Remote work mental helath'!$A$2:$T$1001,4,)</f>
        <v>Sales</v>
      </c>
    </row>
    <row r="506" spans="1:6" x14ac:dyDescent="0.3">
      <c r="A506" t="s">
        <v>555</v>
      </c>
      <c r="B506">
        <f>VLOOKUP('Employee Details'!A506,'Remote work mental helath'!$A$2:$T$1001,2,)</f>
        <v>50</v>
      </c>
      <c r="C506" t="str">
        <f t="shared" si="7"/>
        <v>50+</v>
      </c>
      <c r="D506" t="str">
        <f>VLOOKUP(A506,'Remote work mental helath'!$A$2:$T$1001,3,)</f>
        <v>Male</v>
      </c>
      <c r="E506" t="str">
        <f>VLOOKUP(A506,'Remote work mental helath'!$A$2:$T$1001,20,)</f>
        <v>South America</v>
      </c>
      <c r="F506" t="str">
        <f>VLOOKUP(A506,'Remote work mental helath'!$A$2:$T$1001,4,)</f>
        <v>Software Engineer</v>
      </c>
    </row>
    <row r="507" spans="1:6" x14ac:dyDescent="0.3">
      <c r="A507" t="s">
        <v>556</v>
      </c>
      <c r="B507">
        <f>VLOOKUP('Employee Details'!A507,'Remote work mental helath'!$A$2:$T$1001,2,)</f>
        <v>41</v>
      </c>
      <c r="C507" t="str">
        <f t="shared" si="7"/>
        <v>40-49</v>
      </c>
      <c r="D507" t="str">
        <f>VLOOKUP(A507,'Remote work mental helath'!$A$2:$T$1001,3,)</f>
        <v>Male</v>
      </c>
      <c r="E507" t="str">
        <f>VLOOKUP(A507,'Remote work mental helath'!$A$2:$T$1001,20,)</f>
        <v>Asia</v>
      </c>
      <c r="F507" t="str">
        <f>VLOOKUP(A507,'Remote work mental helath'!$A$2:$T$1001,4,)</f>
        <v>Software Engineer</v>
      </c>
    </row>
    <row r="508" spans="1:6" x14ac:dyDescent="0.3">
      <c r="A508" t="s">
        <v>557</v>
      </c>
      <c r="B508">
        <f>VLOOKUP('Employee Details'!A508,'Remote work mental helath'!$A$2:$T$1001,2,)</f>
        <v>27</v>
      </c>
      <c r="C508" t="str">
        <f t="shared" si="7"/>
        <v>20-29</v>
      </c>
      <c r="D508" t="str">
        <f>VLOOKUP(A508,'Remote work mental helath'!$A$2:$T$1001,3,)</f>
        <v>Female</v>
      </c>
      <c r="E508" t="str">
        <f>VLOOKUP(A508,'Remote work mental helath'!$A$2:$T$1001,20,)</f>
        <v>North America</v>
      </c>
      <c r="F508" t="str">
        <f>VLOOKUP(A508,'Remote work mental helath'!$A$2:$T$1001,4,)</f>
        <v>Sales</v>
      </c>
    </row>
    <row r="509" spans="1:6" x14ac:dyDescent="0.3">
      <c r="A509" t="s">
        <v>558</v>
      </c>
      <c r="B509">
        <f>VLOOKUP('Employee Details'!A509,'Remote work mental helath'!$A$2:$T$1001,2,)</f>
        <v>40</v>
      </c>
      <c r="C509" t="str">
        <f t="shared" si="7"/>
        <v>40-49</v>
      </c>
      <c r="D509" t="str">
        <f>VLOOKUP(A509,'Remote work mental helath'!$A$2:$T$1001,3,)</f>
        <v>Non-binary</v>
      </c>
      <c r="E509" t="str">
        <f>VLOOKUP(A509,'Remote work mental helath'!$A$2:$T$1001,20,)</f>
        <v>Europe</v>
      </c>
      <c r="F509" t="str">
        <f>VLOOKUP(A509,'Remote work mental helath'!$A$2:$T$1001,4,)</f>
        <v>Designer</v>
      </c>
    </row>
    <row r="510" spans="1:6" x14ac:dyDescent="0.3">
      <c r="A510" t="s">
        <v>559</v>
      </c>
      <c r="B510">
        <f>VLOOKUP('Employee Details'!A510,'Remote work mental helath'!$A$2:$T$1001,2,)</f>
        <v>33</v>
      </c>
      <c r="C510" t="str">
        <f t="shared" si="7"/>
        <v>30-39</v>
      </c>
      <c r="D510" t="str">
        <f>VLOOKUP(A510,'Remote work mental helath'!$A$2:$T$1001,3,)</f>
        <v>Male</v>
      </c>
      <c r="E510" t="str">
        <f>VLOOKUP(A510,'Remote work mental helath'!$A$2:$T$1001,20,)</f>
        <v>Africa</v>
      </c>
      <c r="F510" t="str">
        <f>VLOOKUP(A510,'Remote work mental helath'!$A$2:$T$1001,4,)</f>
        <v>HR</v>
      </c>
    </row>
    <row r="511" spans="1:6" x14ac:dyDescent="0.3">
      <c r="A511" t="s">
        <v>560</v>
      </c>
      <c r="B511">
        <f>VLOOKUP('Employee Details'!A511,'Remote work mental helath'!$A$2:$T$1001,2,)</f>
        <v>45</v>
      </c>
      <c r="C511" t="str">
        <f t="shared" si="7"/>
        <v>40-49</v>
      </c>
      <c r="D511" t="str">
        <f>VLOOKUP(A511,'Remote work mental helath'!$A$2:$T$1001,3,)</f>
        <v>Prefer not to say</v>
      </c>
      <c r="E511" t="str">
        <f>VLOOKUP(A511,'Remote work mental helath'!$A$2:$T$1001,20,)</f>
        <v>Oceania</v>
      </c>
      <c r="F511" t="str">
        <f>VLOOKUP(A511,'Remote work mental helath'!$A$2:$T$1001,4,)</f>
        <v>Sales</v>
      </c>
    </row>
    <row r="512" spans="1:6" x14ac:dyDescent="0.3">
      <c r="A512" t="s">
        <v>561</v>
      </c>
      <c r="B512">
        <f>VLOOKUP('Employee Details'!A512,'Remote work mental helath'!$A$2:$T$1001,2,)</f>
        <v>39</v>
      </c>
      <c r="C512" t="str">
        <f t="shared" si="7"/>
        <v>30-39</v>
      </c>
      <c r="D512" t="str">
        <f>VLOOKUP(A512,'Remote work mental helath'!$A$2:$T$1001,3,)</f>
        <v>Prefer not to say</v>
      </c>
      <c r="E512" t="str">
        <f>VLOOKUP(A512,'Remote work mental helath'!$A$2:$T$1001,20,)</f>
        <v>Oceania</v>
      </c>
      <c r="F512" t="str">
        <f>VLOOKUP(A512,'Remote work mental helath'!$A$2:$T$1001,4,)</f>
        <v>HR</v>
      </c>
    </row>
    <row r="513" spans="1:6" x14ac:dyDescent="0.3">
      <c r="A513" t="s">
        <v>562</v>
      </c>
      <c r="B513">
        <f>VLOOKUP('Employee Details'!A513,'Remote work mental helath'!$A$2:$T$1001,2,)</f>
        <v>34</v>
      </c>
      <c r="C513" t="str">
        <f t="shared" si="7"/>
        <v>30-39</v>
      </c>
      <c r="D513" t="str">
        <f>VLOOKUP(A513,'Remote work mental helath'!$A$2:$T$1001,3,)</f>
        <v>Male</v>
      </c>
      <c r="E513" t="str">
        <f>VLOOKUP(A513,'Remote work mental helath'!$A$2:$T$1001,20,)</f>
        <v>Asia</v>
      </c>
      <c r="F513" t="str">
        <f>VLOOKUP(A513,'Remote work mental helath'!$A$2:$T$1001,4,)</f>
        <v>Designer</v>
      </c>
    </row>
    <row r="514" spans="1:6" x14ac:dyDescent="0.3">
      <c r="A514" t="s">
        <v>563</v>
      </c>
      <c r="B514">
        <f>VLOOKUP('Employee Details'!A514,'Remote work mental helath'!$A$2:$T$1001,2,)</f>
        <v>40</v>
      </c>
      <c r="C514" t="str">
        <f t="shared" si="7"/>
        <v>40-49</v>
      </c>
      <c r="D514" t="str">
        <f>VLOOKUP(A514,'Remote work mental helath'!$A$2:$T$1001,3,)</f>
        <v>Female</v>
      </c>
      <c r="E514" t="str">
        <f>VLOOKUP(A514,'Remote work mental helath'!$A$2:$T$1001,20,)</f>
        <v>Oceania</v>
      </c>
      <c r="F514" t="str">
        <f>VLOOKUP(A514,'Remote work mental helath'!$A$2:$T$1001,4,)</f>
        <v>Marketing</v>
      </c>
    </row>
    <row r="515" spans="1:6" x14ac:dyDescent="0.3">
      <c r="A515" t="s">
        <v>564</v>
      </c>
      <c r="B515">
        <f>VLOOKUP('Employee Details'!A515,'Remote work mental helath'!$A$2:$T$1001,2,)</f>
        <v>49</v>
      </c>
      <c r="C515" t="str">
        <f t="shared" ref="C515:C578" si="8">IF(B515&lt;30,"20-29",IF(B515&lt;40,"30-39",IF(B515&lt;50,"40-49","50+")))</f>
        <v>40-49</v>
      </c>
      <c r="D515" t="str">
        <f>VLOOKUP(A515,'Remote work mental helath'!$A$2:$T$1001,3,)</f>
        <v>Female</v>
      </c>
      <c r="E515" t="str">
        <f>VLOOKUP(A515,'Remote work mental helath'!$A$2:$T$1001,20,)</f>
        <v>North America</v>
      </c>
      <c r="F515" t="str">
        <f>VLOOKUP(A515,'Remote work mental helath'!$A$2:$T$1001,4,)</f>
        <v>Data Scientist</v>
      </c>
    </row>
    <row r="516" spans="1:6" x14ac:dyDescent="0.3">
      <c r="A516" t="s">
        <v>565</v>
      </c>
      <c r="B516">
        <f>VLOOKUP('Employee Details'!A516,'Remote work mental helath'!$A$2:$T$1001,2,)</f>
        <v>35</v>
      </c>
      <c r="C516" t="str">
        <f t="shared" si="8"/>
        <v>30-39</v>
      </c>
      <c r="D516" t="str">
        <f>VLOOKUP(A516,'Remote work mental helath'!$A$2:$T$1001,3,)</f>
        <v>Female</v>
      </c>
      <c r="E516" t="str">
        <f>VLOOKUP(A516,'Remote work mental helath'!$A$2:$T$1001,20,)</f>
        <v>Africa</v>
      </c>
      <c r="F516" t="str">
        <f>VLOOKUP(A516,'Remote work mental helath'!$A$2:$T$1001,4,)</f>
        <v>Project Manager</v>
      </c>
    </row>
    <row r="517" spans="1:6" x14ac:dyDescent="0.3">
      <c r="A517" t="s">
        <v>566</v>
      </c>
      <c r="B517">
        <f>VLOOKUP('Employee Details'!A517,'Remote work mental helath'!$A$2:$T$1001,2,)</f>
        <v>43</v>
      </c>
      <c r="C517" t="str">
        <f t="shared" si="8"/>
        <v>40-49</v>
      </c>
      <c r="D517" t="str">
        <f>VLOOKUP(A517,'Remote work mental helath'!$A$2:$T$1001,3,)</f>
        <v>Non-binary</v>
      </c>
      <c r="E517" t="str">
        <f>VLOOKUP(A517,'Remote work mental helath'!$A$2:$T$1001,20,)</f>
        <v>Asia</v>
      </c>
      <c r="F517" t="str">
        <f>VLOOKUP(A517,'Remote work mental helath'!$A$2:$T$1001,4,)</f>
        <v>Designer</v>
      </c>
    </row>
    <row r="518" spans="1:6" x14ac:dyDescent="0.3">
      <c r="A518" t="s">
        <v>567</v>
      </c>
      <c r="B518">
        <f>VLOOKUP('Employee Details'!A518,'Remote work mental helath'!$A$2:$T$1001,2,)</f>
        <v>59</v>
      </c>
      <c r="C518" t="str">
        <f t="shared" si="8"/>
        <v>50+</v>
      </c>
      <c r="D518" t="str">
        <f>VLOOKUP(A518,'Remote work mental helath'!$A$2:$T$1001,3,)</f>
        <v>Female</v>
      </c>
      <c r="E518" t="str">
        <f>VLOOKUP(A518,'Remote work mental helath'!$A$2:$T$1001,20,)</f>
        <v>Europe</v>
      </c>
      <c r="F518" t="str">
        <f>VLOOKUP(A518,'Remote work mental helath'!$A$2:$T$1001,4,)</f>
        <v>HR</v>
      </c>
    </row>
    <row r="519" spans="1:6" x14ac:dyDescent="0.3">
      <c r="A519" t="s">
        <v>568</v>
      </c>
      <c r="B519">
        <f>VLOOKUP('Employee Details'!A519,'Remote work mental helath'!$A$2:$T$1001,2,)</f>
        <v>60</v>
      </c>
      <c r="C519" t="str">
        <f t="shared" si="8"/>
        <v>50+</v>
      </c>
      <c r="D519" t="str">
        <f>VLOOKUP(A519,'Remote work mental helath'!$A$2:$T$1001,3,)</f>
        <v>Prefer not to say</v>
      </c>
      <c r="E519" t="str">
        <f>VLOOKUP(A519,'Remote work mental helath'!$A$2:$T$1001,20,)</f>
        <v>Asia</v>
      </c>
      <c r="F519" t="str">
        <f>VLOOKUP(A519,'Remote work mental helath'!$A$2:$T$1001,4,)</f>
        <v>Data Scientist</v>
      </c>
    </row>
    <row r="520" spans="1:6" x14ac:dyDescent="0.3">
      <c r="A520" t="s">
        <v>569</v>
      </c>
      <c r="B520">
        <f>VLOOKUP('Employee Details'!A520,'Remote work mental helath'!$A$2:$T$1001,2,)</f>
        <v>42</v>
      </c>
      <c r="C520" t="str">
        <f t="shared" si="8"/>
        <v>40-49</v>
      </c>
      <c r="D520" t="str">
        <f>VLOOKUP(A520,'Remote work mental helath'!$A$2:$T$1001,3,)</f>
        <v>Female</v>
      </c>
      <c r="E520" t="str">
        <f>VLOOKUP(A520,'Remote work mental helath'!$A$2:$T$1001,20,)</f>
        <v>Oceania</v>
      </c>
      <c r="F520" t="str">
        <f>VLOOKUP(A520,'Remote work mental helath'!$A$2:$T$1001,4,)</f>
        <v>Project Manager</v>
      </c>
    </row>
    <row r="521" spans="1:6" x14ac:dyDescent="0.3">
      <c r="A521" t="s">
        <v>570</v>
      </c>
      <c r="B521">
        <f>VLOOKUP('Employee Details'!A521,'Remote work mental helath'!$A$2:$T$1001,2,)</f>
        <v>42</v>
      </c>
      <c r="C521" t="str">
        <f t="shared" si="8"/>
        <v>40-49</v>
      </c>
      <c r="D521" t="str">
        <f>VLOOKUP(A521,'Remote work mental helath'!$A$2:$T$1001,3,)</f>
        <v>Prefer not to say</v>
      </c>
      <c r="E521" t="str">
        <f>VLOOKUP(A521,'Remote work mental helath'!$A$2:$T$1001,20,)</f>
        <v>Asia</v>
      </c>
      <c r="F521" t="str">
        <f>VLOOKUP(A521,'Remote work mental helath'!$A$2:$T$1001,4,)</f>
        <v>Designer</v>
      </c>
    </row>
    <row r="522" spans="1:6" x14ac:dyDescent="0.3">
      <c r="A522" t="s">
        <v>571</v>
      </c>
      <c r="B522">
        <f>VLOOKUP('Employee Details'!A522,'Remote work mental helath'!$A$2:$T$1001,2,)</f>
        <v>37</v>
      </c>
      <c r="C522" t="str">
        <f t="shared" si="8"/>
        <v>30-39</v>
      </c>
      <c r="D522" t="str">
        <f>VLOOKUP(A522,'Remote work mental helath'!$A$2:$T$1001,3,)</f>
        <v>Male</v>
      </c>
      <c r="E522" t="str">
        <f>VLOOKUP(A522,'Remote work mental helath'!$A$2:$T$1001,20,)</f>
        <v>South America</v>
      </c>
      <c r="F522" t="str">
        <f>VLOOKUP(A522,'Remote work mental helath'!$A$2:$T$1001,4,)</f>
        <v>HR</v>
      </c>
    </row>
    <row r="523" spans="1:6" x14ac:dyDescent="0.3">
      <c r="A523" t="s">
        <v>572</v>
      </c>
      <c r="B523">
        <f>VLOOKUP('Employee Details'!A523,'Remote work mental helath'!$A$2:$T$1001,2,)</f>
        <v>60</v>
      </c>
      <c r="C523" t="str">
        <f t="shared" si="8"/>
        <v>50+</v>
      </c>
      <c r="D523" t="str">
        <f>VLOOKUP(A523,'Remote work mental helath'!$A$2:$T$1001,3,)</f>
        <v>Female</v>
      </c>
      <c r="E523" t="str">
        <f>VLOOKUP(A523,'Remote work mental helath'!$A$2:$T$1001,20,)</f>
        <v>Oceania</v>
      </c>
      <c r="F523" t="str">
        <f>VLOOKUP(A523,'Remote work mental helath'!$A$2:$T$1001,4,)</f>
        <v>Data Scientist</v>
      </c>
    </row>
    <row r="524" spans="1:6" x14ac:dyDescent="0.3">
      <c r="A524" t="s">
        <v>573</v>
      </c>
      <c r="B524">
        <f>VLOOKUP('Employee Details'!A524,'Remote work mental helath'!$A$2:$T$1001,2,)</f>
        <v>33</v>
      </c>
      <c r="C524" t="str">
        <f t="shared" si="8"/>
        <v>30-39</v>
      </c>
      <c r="D524" t="str">
        <f>VLOOKUP(A524,'Remote work mental helath'!$A$2:$T$1001,3,)</f>
        <v>Non-binary</v>
      </c>
      <c r="E524" t="str">
        <f>VLOOKUP(A524,'Remote work mental helath'!$A$2:$T$1001,20,)</f>
        <v>Europe</v>
      </c>
      <c r="F524" t="str">
        <f>VLOOKUP(A524,'Remote work mental helath'!$A$2:$T$1001,4,)</f>
        <v>Software Engineer</v>
      </c>
    </row>
    <row r="525" spans="1:6" x14ac:dyDescent="0.3">
      <c r="A525" t="s">
        <v>574</v>
      </c>
      <c r="B525">
        <f>VLOOKUP('Employee Details'!A525,'Remote work mental helath'!$A$2:$T$1001,2,)</f>
        <v>60</v>
      </c>
      <c r="C525" t="str">
        <f t="shared" si="8"/>
        <v>50+</v>
      </c>
      <c r="D525" t="str">
        <f>VLOOKUP(A525,'Remote work mental helath'!$A$2:$T$1001,3,)</f>
        <v>Male</v>
      </c>
      <c r="E525" t="str">
        <f>VLOOKUP(A525,'Remote work mental helath'!$A$2:$T$1001,20,)</f>
        <v>Oceania</v>
      </c>
      <c r="F525" t="str">
        <f>VLOOKUP(A525,'Remote work mental helath'!$A$2:$T$1001,4,)</f>
        <v>Project Manager</v>
      </c>
    </row>
    <row r="526" spans="1:6" x14ac:dyDescent="0.3">
      <c r="A526" t="s">
        <v>575</v>
      </c>
      <c r="B526">
        <f>VLOOKUP('Employee Details'!A526,'Remote work mental helath'!$A$2:$T$1001,2,)</f>
        <v>58</v>
      </c>
      <c r="C526" t="str">
        <f t="shared" si="8"/>
        <v>50+</v>
      </c>
      <c r="D526" t="str">
        <f>VLOOKUP(A526,'Remote work mental helath'!$A$2:$T$1001,3,)</f>
        <v>Female</v>
      </c>
      <c r="E526" t="str">
        <f>VLOOKUP(A526,'Remote work mental helath'!$A$2:$T$1001,20,)</f>
        <v>Oceania</v>
      </c>
      <c r="F526" t="str">
        <f>VLOOKUP(A526,'Remote work mental helath'!$A$2:$T$1001,4,)</f>
        <v>Designer</v>
      </c>
    </row>
    <row r="527" spans="1:6" x14ac:dyDescent="0.3">
      <c r="A527" t="s">
        <v>576</v>
      </c>
      <c r="B527">
        <f>VLOOKUP('Employee Details'!A527,'Remote work mental helath'!$A$2:$T$1001,2,)</f>
        <v>25</v>
      </c>
      <c r="C527" t="str">
        <f t="shared" si="8"/>
        <v>20-29</v>
      </c>
      <c r="D527" t="str">
        <f>VLOOKUP(A527,'Remote work mental helath'!$A$2:$T$1001,3,)</f>
        <v>Male</v>
      </c>
      <c r="E527" t="str">
        <f>VLOOKUP(A527,'Remote work mental helath'!$A$2:$T$1001,20,)</f>
        <v>South America</v>
      </c>
      <c r="F527" t="str">
        <f>VLOOKUP(A527,'Remote work mental helath'!$A$2:$T$1001,4,)</f>
        <v>Software Engineer</v>
      </c>
    </row>
    <row r="528" spans="1:6" x14ac:dyDescent="0.3">
      <c r="A528" t="s">
        <v>577</v>
      </c>
      <c r="B528">
        <f>VLOOKUP('Employee Details'!A528,'Remote work mental helath'!$A$2:$T$1001,2,)</f>
        <v>30</v>
      </c>
      <c r="C528" t="str">
        <f t="shared" si="8"/>
        <v>30-39</v>
      </c>
      <c r="D528" t="str">
        <f>VLOOKUP(A528,'Remote work mental helath'!$A$2:$T$1001,3,)</f>
        <v>Prefer not to say</v>
      </c>
      <c r="E528" t="str">
        <f>VLOOKUP(A528,'Remote work mental helath'!$A$2:$T$1001,20,)</f>
        <v>North America</v>
      </c>
      <c r="F528" t="str">
        <f>VLOOKUP(A528,'Remote work mental helath'!$A$2:$T$1001,4,)</f>
        <v>Project Manager</v>
      </c>
    </row>
    <row r="529" spans="1:6" x14ac:dyDescent="0.3">
      <c r="A529" t="s">
        <v>578</v>
      </c>
      <c r="B529">
        <f>VLOOKUP('Employee Details'!A529,'Remote work mental helath'!$A$2:$T$1001,2,)</f>
        <v>28</v>
      </c>
      <c r="C529" t="str">
        <f t="shared" si="8"/>
        <v>20-29</v>
      </c>
      <c r="D529" t="str">
        <f>VLOOKUP(A529,'Remote work mental helath'!$A$2:$T$1001,3,)</f>
        <v>Female</v>
      </c>
      <c r="E529" t="str">
        <f>VLOOKUP(A529,'Remote work mental helath'!$A$2:$T$1001,20,)</f>
        <v>Africa</v>
      </c>
      <c r="F529" t="str">
        <f>VLOOKUP(A529,'Remote work mental helath'!$A$2:$T$1001,4,)</f>
        <v>Software Engineer</v>
      </c>
    </row>
    <row r="530" spans="1:6" x14ac:dyDescent="0.3">
      <c r="A530" t="s">
        <v>579</v>
      </c>
      <c r="B530">
        <f>VLOOKUP('Employee Details'!A530,'Remote work mental helath'!$A$2:$T$1001,2,)</f>
        <v>28</v>
      </c>
      <c r="C530" t="str">
        <f t="shared" si="8"/>
        <v>20-29</v>
      </c>
      <c r="D530" t="str">
        <f>VLOOKUP(A530,'Remote work mental helath'!$A$2:$T$1001,3,)</f>
        <v>Non-binary</v>
      </c>
      <c r="E530" t="str">
        <f>VLOOKUP(A530,'Remote work mental helath'!$A$2:$T$1001,20,)</f>
        <v>North America</v>
      </c>
      <c r="F530" t="str">
        <f>VLOOKUP(A530,'Remote work mental helath'!$A$2:$T$1001,4,)</f>
        <v>Project Manager</v>
      </c>
    </row>
    <row r="531" spans="1:6" x14ac:dyDescent="0.3">
      <c r="A531" t="s">
        <v>580</v>
      </c>
      <c r="B531">
        <f>VLOOKUP('Employee Details'!A531,'Remote work mental helath'!$A$2:$T$1001,2,)</f>
        <v>23</v>
      </c>
      <c r="C531" t="str">
        <f t="shared" si="8"/>
        <v>20-29</v>
      </c>
      <c r="D531" t="str">
        <f>VLOOKUP(A531,'Remote work mental helath'!$A$2:$T$1001,3,)</f>
        <v>Prefer not to say</v>
      </c>
      <c r="E531" t="str">
        <f>VLOOKUP(A531,'Remote work mental helath'!$A$2:$T$1001,20,)</f>
        <v>Europe</v>
      </c>
      <c r="F531" t="str">
        <f>VLOOKUP(A531,'Remote work mental helath'!$A$2:$T$1001,4,)</f>
        <v>Marketing</v>
      </c>
    </row>
    <row r="532" spans="1:6" x14ac:dyDescent="0.3">
      <c r="A532" t="s">
        <v>581</v>
      </c>
      <c r="B532">
        <f>VLOOKUP('Employee Details'!A532,'Remote work mental helath'!$A$2:$T$1001,2,)</f>
        <v>36</v>
      </c>
      <c r="C532" t="str">
        <f t="shared" si="8"/>
        <v>30-39</v>
      </c>
      <c r="D532" t="str">
        <f>VLOOKUP(A532,'Remote work mental helath'!$A$2:$T$1001,3,)</f>
        <v>Female</v>
      </c>
      <c r="E532" t="str">
        <f>VLOOKUP(A532,'Remote work mental helath'!$A$2:$T$1001,20,)</f>
        <v>Oceania</v>
      </c>
      <c r="F532" t="str">
        <f>VLOOKUP(A532,'Remote work mental helath'!$A$2:$T$1001,4,)</f>
        <v>Software Engineer</v>
      </c>
    </row>
    <row r="533" spans="1:6" x14ac:dyDescent="0.3">
      <c r="A533" t="s">
        <v>582</v>
      </c>
      <c r="B533">
        <f>VLOOKUP('Employee Details'!A533,'Remote work mental helath'!$A$2:$T$1001,2,)</f>
        <v>50</v>
      </c>
      <c r="C533" t="str">
        <f t="shared" si="8"/>
        <v>50+</v>
      </c>
      <c r="D533" t="str">
        <f>VLOOKUP(A533,'Remote work mental helath'!$A$2:$T$1001,3,)</f>
        <v>Male</v>
      </c>
      <c r="E533" t="str">
        <f>VLOOKUP(A533,'Remote work mental helath'!$A$2:$T$1001,20,)</f>
        <v>South America</v>
      </c>
      <c r="F533" t="str">
        <f>VLOOKUP(A533,'Remote work mental helath'!$A$2:$T$1001,4,)</f>
        <v>Designer</v>
      </c>
    </row>
    <row r="534" spans="1:6" x14ac:dyDescent="0.3">
      <c r="A534" t="s">
        <v>583</v>
      </c>
      <c r="B534">
        <f>VLOOKUP('Employee Details'!A534,'Remote work mental helath'!$A$2:$T$1001,2,)</f>
        <v>57</v>
      </c>
      <c r="C534" t="str">
        <f t="shared" si="8"/>
        <v>50+</v>
      </c>
      <c r="D534" t="str">
        <f>VLOOKUP(A534,'Remote work mental helath'!$A$2:$T$1001,3,)</f>
        <v>Non-binary</v>
      </c>
      <c r="E534" t="str">
        <f>VLOOKUP(A534,'Remote work mental helath'!$A$2:$T$1001,20,)</f>
        <v>South America</v>
      </c>
      <c r="F534" t="str">
        <f>VLOOKUP(A534,'Remote work mental helath'!$A$2:$T$1001,4,)</f>
        <v>Designer</v>
      </c>
    </row>
    <row r="535" spans="1:6" x14ac:dyDescent="0.3">
      <c r="A535" t="s">
        <v>584</v>
      </c>
      <c r="B535">
        <f>VLOOKUP('Employee Details'!A535,'Remote work mental helath'!$A$2:$T$1001,2,)</f>
        <v>44</v>
      </c>
      <c r="C535" t="str">
        <f t="shared" si="8"/>
        <v>40-49</v>
      </c>
      <c r="D535" t="str">
        <f>VLOOKUP(A535,'Remote work mental helath'!$A$2:$T$1001,3,)</f>
        <v>Male</v>
      </c>
      <c r="E535" t="str">
        <f>VLOOKUP(A535,'Remote work mental helath'!$A$2:$T$1001,20,)</f>
        <v>Africa</v>
      </c>
      <c r="F535" t="str">
        <f>VLOOKUP(A535,'Remote work mental helath'!$A$2:$T$1001,4,)</f>
        <v>Sales</v>
      </c>
    </row>
    <row r="536" spans="1:6" x14ac:dyDescent="0.3">
      <c r="A536" t="s">
        <v>585</v>
      </c>
      <c r="B536">
        <f>VLOOKUP('Employee Details'!A536,'Remote work mental helath'!$A$2:$T$1001,2,)</f>
        <v>24</v>
      </c>
      <c r="C536" t="str">
        <f t="shared" si="8"/>
        <v>20-29</v>
      </c>
      <c r="D536" t="str">
        <f>VLOOKUP(A536,'Remote work mental helath'!$A$2:$T$1001,3,)</f>
        <v>Non-binary</v>
      </c>
      <c r="E536" t="str">
        <f>VLOOKUP(A536,'Remote work mental helath'!$A$2:$T$1001,20,)</f>
        <v>Africa</v>
      </c>
      <c r="F536" t="str">
        <f>VLOOKUP(A536,'Remote work mental helath'!$A$2:$T$1001,4,)</f>
        <v>Marketing</v>
      </c>
    </row>
    <row r="537" spans="1:6" x14ac:dyDescent="0.3">
      <c r="A537" t="s">
        <v>586</v>
      </c>
      <c r="B537">
        <f>VLOOKUP('Employee Details'!A537,'Remote work mental helath'!$A$2:$T$1001,2,)</f>
        <v>39</v>
      </c>
      <c r="C537" t="str">
        <f t="shared" si="8"/>
        <v>30-39</v>
      </c>
      <c r="D537" t="str">
        <f>VLOOKUP(A537,'Remote work mental helath'!$A$2:$T$1001,3,)</f>
        <v>Prefer not to say</v>
      </c>
      <c r="E537" t="str">
        <f>VLOOKUP(A537,'Remote work mental helath'!$A$2:$T$1001,20,)</f>
        <v>South America</v>
      </c>
      <c r="F537" t="str">
        <f>VLOOKUP(A537,'Remote work mental helath'!$A$2:$T$1001,4,)</f>
        <v>Software Engineer</v>
      </c>
    </row>
    <row r="538" spans="1:6" x14ac:dyDescent="0.3">
      <c r="A538" t="s">
        <v>587</v>
      </c>
      <c r="B538">
        <f>VLOOKUP('Employee Details'!A538,'Remote work mental helath'!$A$2:$T$1001,2,)</f>
        <v>57</v>
      </c>
      <c r="C538" t="str">
        <f t="shared" si="8"/>
        <v>50+</v>
      </c>
      <c r="D538" t="str">
        <f>VLOOKUP(A538,'Remote work mental helath'!$A$2:$T$1001,3,)</f>
        <v>Male</v>
      </c>
      <c r="E538" t="str">
        <f>VLOOKUP(A538,'Remote work mental helath'!$A$2:$T$1001,20,)</f>
        <v>Europe</v>
      </c>
      <c r="F538" t="str">
        <f>VLOOKUP(A538,'Remote work mental helath'!$A$2:$T$1001,4,)</f>
        <v>Marketing</v>
      </c>
    </row>
    <row r="539" spans="1:6" x14ac:dyDescent="0.3">
      <c r="A539" t="s">
        <v>588</v>
      </c>
      <c r="B539">
        <f>VLOOKUP('Employee Details'!A539,'Remote work mental helath'!$A$2:$T$1001,2,)</f>
        <v>45</v>
      </c>
      <c r="C539" t="str">
        <f t="shared" si="8"/>
        <v>40-49</v>
      </c>
      <c r="D539" t="str">
        <f>VLOOKUP(A539,'Remote work mental helath'!$A$2:$T$1001,3,)</f>
        <v>Prefer not to say</v>
      </c>
      <c r="E539" t="str">
        <f>VLOOKUP(A539,'Remote work mental helath'!$A$2:$T$1001,20,)</f>
        <v>North America</v>
      </c>
      <c r="F539" t="str">
        <f>VLOOKUP(A539,'Remote work mental helath'!$A$2:$T$1001,4,)</f>
        <v>HR</v>
      </c>
    </row>
    <row r="540" spans="1:6" x14ac:dyDescent="0.3">
      <c r="A540" t="s">
        <v>589</v>
      </c>
      <c r="B540">
        <f>VLOOKUP('Employee Details'!A540,'Remote work mental helath'!$A$2:$T$1001,2,)</f>
        <v>35</v>
      </c>
      <c r="C540" t="str">
        <f t="shared" si="8"/>
        <v>30-39</v>
      </c>
      <c r="D540" t="str">
        <f>VLOOKUP(A540,'Remote work mental helath'!$A$2:$T$1001,3,)</f>
        <v>Female</v>
      </c>
      <c r="E540" t="str">
        <f>VLOOKUP(A540,'Remote work mental helath'!$A$2:$T$1001,20,)</f>
        <v>North America</v>
      </c>
      <c r="F540" t="str">
        <f>VLOOKUP(A540,'Remote work mental helath'!$A$2:$T$1001,4,)</f>
        <v>Marketing</v>
      </c>
    </row>
    <row r="541" spans="1:6" x14ac:dyDescent="0.3">
      <c r="A541" t="s">
        <v>590</v>
      </c>
      <c r="B541">
        <f>VLOOKUP('Employee Details'!A541,'Remote work mental helath'!$A$2:$T$1001,2,)</f>
        <v>59</v>
      </c>
      <c r="C541" t="str">
        <f t="shared" si="8"/>
        <v>50+</v>
      </c>
      <c r="D541" t="str">
        <f>VLOOKUP(A541,'Remote work mental helath'!$A$2:$T$1001,3,)</f>
        <v>Prefer not to say</v>
      </c>
      <c r="E541" t="str">
        <f>VLOOKUP(A541,'Remote work mental helath'!$A$2:$T$1001,20,)</f>
        <v>North America</v>
      </c>
      <c r="F541" t="str">
        <f>VLOOKUP(A541,'Remote work mental helath'!$A$2:$T$1001,4,)</f>
        <v>Project Manager</v>
      </c>
    </row>
    <row r="542" spans="1:6" x14ac:dyDescent="0.3">
      <c r="A542" t="s">
        <v>591</v>
      </c>
      <c r="B542">
        <f>VLOOKUP('Employee Details'!A542,'Remote work mental helath'!$A$2:$T$1001,2,)</f>
        <v>58</v>
      </c>
      <c r="C542" t="str">
        <f t="shared" si="8"/>
        <v>50+</v>
      </c>
      <c r="D542" t="str">
        <f>VLOOKUP(A542,'Remote work mental helath'!$A$2:$T$1001,3,)</f>
        <v>Prefer not to say</v>
      </c>
      <c r="E542" t="str">
        <f>VLOOKUP(A542,'Remote work mental helath'!$A$2:$T$1001,20,)</f>
        <v>Oceania</v>
      </c>
      <c r="F542" t="str">
        <f>VLOOKUP(A542,'Remote work mental helath'!$A$2:$T$1001,4,)</f>
        <v>Marketing</v>
      </c>
    </row>
    <row r="543" spans="1:6" x14ac:dyDescent="0.3">
      <c r="A543" t="s">
        <v>592</v>
      </c>
      <c r="B543">
        <f>VLOOKUP('Employee Details'!A543,'Remote work mental helath'!$A$2:$T$1001,2,)</f>
        <v>48</v>
      </c>
      <c r="C543" t="str">
        <f t="shared" si="8"/>
        <v>40-49</v>
      </c>
      <c r="D543" t="str">
        <f>VLOOKUP(A543,'Remote work mental helath'!$A$2:$T$1001,3,)</f>
        <v>Male</v>
      </c>
      <c r="E543" t="str">
        <f>VLOOKUP(A543,'Remote work mental helath'!$A$2:$T$1001,20,)</f>
        <v>Oceania</v>
      </c>
      <c r="F543" t="str">
        <f>VLOOKUP(A543,'Remote work mental helath'!$A$2:$T$1001,4,)</f>
        <v>Data Scientist</v>
      </c>
    </row>
    <row r="544" spans="1:6" x14ac:dyDescent="0.3">
      <c r="A544" t="s">
        <v>593</v>
      </c>
      <c r="B544">
        <f>VLOOKUP('Employee Details'!A544,'Remote work mental helath'!$A$2:$T$1001,2,)</f>
        <v>55</v>
      </c>
      <c r="C544" t="str">
        <f t="shared" si="8"/>
        <v>50+</v>
      </c>
      <c r="D544" t="str">
        <f>VLOOKUP(A544,'Remote work mental helath'!$A$2:$T$1001,3,)</f>
        <v>Prefer not to say</v>
      </c>
      <c r="E544" t="str">
        <f>VLOOKUP(A544,'Remote work mental helath'!$A$2:$T$1001,20,)</f>
        <v>South America</v>
      </c>
      <c r="F544" t="str">
        <f>VLOOKUP(A544,'Remote work mental helath'!$A$2:$T$1001,4,)</f>
        <v>Data Scientist</v>
      </c>
    </row>
    <row r="545" spans="1:6" x14ac:dyDescent="0.3">
      <c r="A545" t="s">
        <v>594</v>
      </c>
      <c r="B545">
        <f>VLOOKUP('Employee Details'!A545,'Remote work mental helath'!$A$2:$T$1001,2,)</f>
        <v>60</v>
      </c>
      <c r="C545" t="str">
        <f t="shared" si="8"/>
        <v>50+</v>
      </c>
      <c r="D545" t="str">
        <f>VLOOKUP(A545,'Remote work mental helath'!$A$2:$T$1001,3,)</f>
        <v>Male</v>
      </c>
      <c r="E545" t="str">
        <f>VLOOKUP(A545,'Remote work mental helath'!$A$2:$T$1001,20,)</f>
        <v>Europe</v>
      </c>
      <c r="F545" t="str">
        <f>VLOOKUP(A545,'Remote work mental helath'!$A$2:$T$1001,4,)</f>
        <v>Designer</v>
      </c>
    </row>
    <row r="546" spans="1:6" x14ac:dyDescent="0.3">
      <c r="A546" t="s">
        <v>595</v>
      </c>
      <c r="B546">
        <f>VLOOKUP('Employee Details'!A546,'Remote work mental helath'!$A$2:$T$1001,2,)</f>
        <v>60</v>
      </c>
      <c r="C546" t="str">
        <f t="shared" si="8"/>
        <v>50+</v>
      </c>
      <c r="D546" t="str">
        <f>VLOOKUP(A546,'Remote work mental helath'!$A$2:$T$1001,3,)</f>
        <v>Prefer not to say</v>
      </c>
      <c r="E546" t="str">
        <f>VLOOKUP(A546,'Remote work mental helath'!$A$2:$T$1001,20,)</f>
        <v>Europe</v>
      </c>
      <c r="F546" t="str">
        <f>VLOOKUP(A546,'Remote work mental helath'!$A$2:$T$1001,4,)</f>
        <v>Software Engineer</v>
      </c>
    </row>
    <row r="547" spans="1:6" x14ac:dyDescent="0.3">
      <c r="A547" t="s">
        <v>596</v>
      </c>
      <c r="B547">
        <f>VLOOKUP('Employee Details'!A547,'Remote work mental helath'!$A$2:$T$1001,2,)</f>
        <v>23</v>
      </c>
      <c r="C547" t="str">
        <f t="shared" si="8"/>
        <v>20-29</v>
      </c>
      <c r="D547" t="str">
        <f>VLOOKUP(A547,'Remote work mental helath'!$A$2:$T$1001,3,)</f>
        <v>Non-binary</v>
      </c>
      <c r="E547" t="str">
        <f>VLOOKUP(A547,'Remote work mental helath'!$A$2:$T$1001,20,)</f>
        <v>South America</v>
      </c>
      <c r="F547" t="str">
        <f>VLOOKUP(A547,'Remote work mental helath'!$A$2:$T$1001,4,)</f>
        <v>HR</v>
      </c>
    </row>
    <row r="548" spans="1:6" x14ac:dyDescent="0.3">
      <c r="A548" t="s">
        <v>597</v>
      </c>
      <c r="B548">
        <f>VLOOKUP('Employee Details'!A548,'Remote work mental helath'!$A$2:$T$1001,2,)</f>
        <v>28</v>
      </c>
      <c r="C548" t="str">
        <f t="shared" si="8"/>
        <v>20-29</v>
      </c>
      <c r="D548" t="str">
        <f>VLOOKUP(A548,'Remote work mental helath'!$A$2:$T$1001,3,)</f>
        <v>Male</v>
      </c>
      <c r="E548" t="str">
        <f>VLOOKUP(A548,'Remote work mental helath'!$A$2:$T$1001,20,)</f>
        <v>North America</v>
      </c>
      <c r="F548" t="str">
        <f>VLOOKUP(A548,'Remote work mental helath'!$A$2:$T$1001,4,)</f>
        <v>Designer</v>
      </c>
    </row>
    <row r="549" spans="1:6" x14ac:dyDescent="0.3">
      <c r="A549" t="s">
        <v>598</v>
      </c>
      <c r="B549">
        <f>VLOOKUP('Employee Details'!A549,'Remote work mental helath'!$A$2:$T$1001,2,)</f>
        <v>49</v>
      </c>
      <c r="C549" t="str">
        <f t="shared" si="8"/>
        <v>40-49</v>
      </c>
      <c r="D549" t="str">
        <f>VLOOKUP(A549,'Remote work mental helath'!$A$2:$T$1001,3,)</f>
        <v>Female</v>
      </c>
      <c r="E549" t="str">
        <f>VLOOKUP(A549,'Remote work mental helath'!$A$2:$T$1001,20,)</f>
        <v>Oceania</v>
      </c>
      <c r="F549" t="str">
        <f>VLOOKUP(A549,'Remote work mental helath'!$A$2:$T$1001,4,)</f>
        <v>Marketing</v>
      </c>
    </row>
    <row r="550" spans="1:6" x14ac:dyDescent="0.3">
      <c r="A550" t="s">
        <v>599</v>
      </c>
      <c r="B550">
        <f>VLOOKUP('Employee Details'!A550,'Remote work mental helath'!$A$2:$T$1001,2,)</f>
        <v>45</v>
      </c>
      <c r="C550" t="str">
        <f t="shared" si="8"/>
        <v>40-49</v>
      </c>
      <c r="D550" t="str">
        <f>VLOOKUP(A550,'Remote work mental helath'!$A$2:$T$1001,3,)</f>
        <v>Male</v>
      </c>
      <c r="E550" t="str">
        <f>VLOOKUP(A550,'Remote work mental helath'!$A$2:$T$1001,20,)</f>
        <v>Europe</v>
      </c>
      <c r="F550" t="str">
        <f>VLOOKUP(A550,'Remote work mental helath'!$A$2:$T$1001,4,)</f>
        <v>Designer</v>
      </c>
    </row>
    <row r="551" spans="1:6" x14ac:dyDescent="0.3">
      <c r="A551" t="s">
        <v>600</v>
      </c>
      <c r="B551">
        <f>VLOOKUP('Employee Details'!A551,'Remote work mental helath'!$A$2:$T$1001,2,)</f>
        <v>22</v>
      </c>
      <c r="C551" t="str">
        <f t="shared" si="8"/>
        <v>20-29</v>
      </c>
      <c r="D551" t="str">
        <f>VLOOKUP(A551,'Remote work mental helath'!$A$2:$T$1001,3,)</f>
        <v>Male</v>
      </c>
      <c r="E551" t="str">
        <f>VLOOKUP(A551,'Remote work mental helath'!$A$2:$T$1001,20,)</f>
        <v>South America</v>
      </c>
      <c r="F551" t="str">
        <f>VLOOKUP(A551,'Remote work mental helath'!$A$2:$T$1001,4,)</f>
        <v>Project Manager</v>
      </c>
    </row>
    <row r="552" spans="1:6" x14ac:dyDescent="0.3">
      <c r="A552" t="s">
        <v>601</v>
      </c>
      <c r="B552">
        <f>VLOOKUP('Employee Details'!A552,'Remote work mental helath'!$A$2:$T$1001,2,)</f>
        <v>24</v>
      </c>
      <c r="C552" t="str">
        <f t="shared" si="8"/>
        <v>20-29</v>
      </c>
      <c r="D552" t="str">
        <f>VLOOKUP(A552,'Remote work mental helath'!$A$2:$T$1001,3,)</f>
        <v>Female</v>
      </c>
      <c r="E552" t="str">
        <f>VLOOKUP(A552,'Remote work mental helath'!$A$2:$T$1001,20,)</f>
        <v>Oceania</v>
      </c>
      <c r="F552" t="str">
        <f>VLOOKUP(A552,'Remote work mental helath'!$A$2:$T$1001,4,)</f>
        <v>Designer</v>
      </c>
    </row>
    <row r="553" spans="1:6" x14ac:dyDescent="0.3">
      <c r="A553" t="s">
        <v>602</v>
      </c>
      <c r="B553">
        <f>VLOOKUP('Employee Details'!A553,'Remote work mental helath'!$A$2:$T$1001,2,)</f>
        <v>39</v>
      </c>
      <c r="C553" t="str">
        <f t="shared" si="8"/>
        <v>30-39</v>
      </c>
      <c r="D553" t="str">
        <f>VLOOKUP(A553,'Remote work mental helath'!$A$2:$T$1001,3,)</f>
        <v>Male</v>
      </c>
      <c r="E553" t="str">
        <f>VLOOKUP(A553,'Remote work mental helath'!$A$2:$T$1001,20,)</f>
        <v>Oceania</v>
      </c>
      <c r="F553" t="str">
        <f>VLOOKUP(A553,'Remote work mental helath'!$A$2:$T$1001,4,)</f>
        <v>Sales</v>
      </c>
    </row>
    <row r="554" spans="1:6" x14ac:dyDescent="0.3">
      <c r="A554" t="s">
        <v>603</v>
      </c>
      <c r="B554">
        <f>VLOOKUP('Employee Details'!A554,'Remote work mental helath'!$A$2:$T$1001,2,)</f>
        <v>27</v>
      </c>
      <c r="C554" t="str">
        <f t="shared" si="8"/>
        <v>20-29</v>
      </c>
      <c r="D554" t="str">
        <f>VLOOKUP(A554,'Remote work mental helath'!$A$2:$T$1001,3,)</f>
        <v>Non-binary</v>
      </c>
      <c r="E554" t="str">
        <f>VLOOKUP(A554,'Remote work mental helath'!$A$2:$T$1001,20,)</f>
        <v>South America</v>
      </c>
      <c r="F554" t="str">
        <f>VLOOKUP(A554,'Remote work mental helath'!$A$2:$T$1001,4,)</f>
        <v>HR</v>
      </c>
    </row>
    <row r="555" spans="1:6" x14ac:dyDescent="0.3">
      <c r="A555" t="s">
        <v>604</v>
      </c>
      <c r="B555">
        <f>VLOOKUP('Employee Details'!A555,'Remote work mental helath'!$A$2:$T$1001,2,)</f>
        <v>38</v>
      </c>
      <c r="C555" t="str">
        <f t="shared" si="8"/>
        <v>30-39</v>
      </c>
      <c r="D555" t="str">
        <f>VLOOKUP(A555,'Remote work mental helath'!$A$2:$T$1001,3,)</f>
        <v>Male</v>
      </c>
      <c r="E555" t="str">
        <f>VLOOKUP(A555,'Remote work mental helath'!$A$2:$T$1001,20,)</f>
        <v>North America</v>
      </c>
      <c r="F555" t="str">
        <f>VLOOKUP(A555,'Remote work mental helath'!$A$2:$T$1001,4,)</f>
        <v>Project Manager</v>
      </c>
    </row>
    <row r="556" spans="1:6" x14ac:dyDescent="0.3">
      <c r="A556" t="s">
        <v>605</v>
      </c>
      <c r="B556">
        <f>VLOOKUP('Employee Details'!A556,'Remote work mental helath'!$A$2:$T$1001,2,)</f>
        <v>50</v>
      </c>
      <c r="C556" t="str">
        <f t="shared" si="8"/>
        <v>50+</v>
      </c>
      <c r="D556" t="str">
        <f>VLOOKUP(A556,'Remote work mental helath'!$A$2:$T$1001,3,)</f>
        <v>Female</v>
      </c>
      <c r="E556" t="str">
        <f>VLOOKUP(A556,'Remote work mental helath'!$A$2:$T$1001,20,)</f>
        <v>Africa</v>
      </c>
      <c r="F556" t="str">
        <f>VLOOKUP(A556,'Remote work mental helath'!$A$2:$T$1001,4,)</f>
        <v>Project Manager</v>
      </c>
    </row>
    <row r="557" spans="1:6" x14ac:dyDescent="0.3">
      <c r="A557" t="s">
        <v>606</v>
      </c>
      <c r="B557">
        <f>VLOOKUP('Employee Details'!A557,'Remote work mental helath'!$A$2:$T$1001,2,)</f>
        <v>46</v>
      </c>
      <c r="C557" t="str">
        <f t="shared" si="8"/>
        <v>40-49</v>
      </c>
      <c r="D557" t="str">
        <f>VLOOKUP(A557,'Remote work mental helath'!$A$2:$T$1001,3,)</f>
        <v>Non-binary</v>
      </c>
      <c r="E557" t="str">
        <f>VLOOKUP(A557,'Remote work mental helath'!$A$2:$T$1001,20,)</f>
        <v>North America</v>
      </c>
      <c r="F557" t="str">
        <f>VLOOKUP(A557,'Remote work mental helath'!$A$2:$T$1001,4,)</f>
        <v>HR</v>
      </c>
    </row>
    <row r="558" spans="1:6" x14ac:dyDescent="0.3">
      <c r="A558" t="s">
        <v>607</v>
      </c>
      <c r="B558">
        <f>VLOOKUP('Employee Details'!A558,'Remote work mental helath'!$A$2:$T$1001,2,)</f>
        <v>46</v>
      </c>
      <c r="C558" t="str">
        <f t="shared" si="8"/>
        <v>40-49</v>
      </c>
      <c r="D558" t="str">
        <f>VLOOKUP(A558,'Remote work mental helath'!$A$2:$T$1001,3,)</f>
        <v>Prefer not to say</v>
      </c>
      <c r="E558" t="str">
        <f>VLOOKUP(A558,'Remote work mental helath'!$A$2:$T$1001,20,)</f>
        <v>Asia</v>
      </c>
      <c r="F558" t="str">
        <f>VLOOKUP(A558,'Remote work mental helath'!$A$2:$T$1001,4,)</f>
        <v>Designer</v>
      </c>
    </row>
    <row r="559" spans="1:6" x14ac:dyDescent="0.3">
      <c r="A559" t="s">
        <v>608</v>
      </c>
      <c r="B559">
        <f>VLOOKUP('Employee Details'!A559,'Remote work mental helath'!$A$2:$T$1001,2,)</f>
        <v>28</v>
      </c>
      <c r="C559" t="str">
        <f t="shared" si="8"/>
        <v>20-29</v>
      </c>
      <c r="D559" t="str">
        <f>VLOOKUP(A559,'Remote work mental helath'!$A$2:$T$1001,3,)</f>
        <v>Prefer not to say</v>
      </c>
      <c r="E559" t="str">
        <f>VLOOKUP(A559,'Remote work mental helath'!$A$2:$T$1001,20,)</f>
        <v>Europe</v>
      </c>
      <c r="F559" t="str">
        <f>VLOOKUP(A559,'Remote work mental helath'!$A$2:$T$1001,4,)</f>
        <v>Sales</v>
      </c>
    </row>
    <row r="560" spans="1:6" x14ac:dyDescent="0.3">
      <c r="A560" t="s">
        <v>609</v>
      </c>
      <c r="B560">
        <f>VLOOKUP('Employee Details'!A560,'Remote work mental helath'!$A$2:$T$1001,2,)</f>
        <v>53</v>
      </c>
      <c r="C560" t="str">
        <f t="shared" si="8"/>
        <v>50+</v>
      </c>
      <c r="D560" t="str">
        <f>VLOOKUP(A560,'Remote work mental helath'!$A$2:$T$1001,3,)</f>
        <v>Prefer not to say</v>
      </c>
      <c r="E560" t="str">
        <f>VLOOKUP(A560,'Remote work mental helath'!$A$2:$T$1001,20,)</f>
        <v>Oceania</v>
      </c>
      <c r="F560" t="str">
        <f>VLOOKUP(A560,'Remote work mental helath'!$A$2:$T$1001,4,)</f>
        <v>HR</v>
      </c>
    </row>
    <row r="561" spans="1:6" x14ac:dyDescent="0.3">
      <c r="A561" t="s">
        <v>610</v>
      </c>
      <c r="B561">
        <f>VLOOKUP('Employee Details'!A561,'Remote work mental helath'!$A$2:$T$1001,2,)</f>
        <v>34</v>
      </c>
      <c r="C561" t="str">
        <f t="shared" si="8"/>
        <v>30-39</v>
      </c>
      <c r="D561" t="str">
        <f>VLOOKUP(A561,'Remote work mental helath'!$A$2:$T$1001,3,)</f>
        <v>Female</v>
      </c>
      <c r="E561" t="str">
        <f>VLOOKUP(A561,'Remote work mental helath'!$A$2:$T$1001,20,)</f>
        <v>North America</v>
      </c>
      <c r="F561" t="str">
        <f>VLOOKUP(A561,'Remote work mental helath'!$A$2:$T$1001,4,)</f>
        <v>Software Engineer</v>
      </c>
    </row>
    <row r="562" spans="1:6" x14ac:dyDescent="0.3">
      <c r="A562" t="s">
        <v>611</v>
      </c>
      <c r="B562">
        <f>VLOOKUP('Employee Details'!A562,'Remote work mental helath'!$A$2:$T$1001,2,)</f>
        <v>35</v>
      </c>
      <c r="C562" t="str">
        <f t="shared" si="8"/>
        <v>30-39</v>
      </c>
      <c r="D562" t="str">
        <f>VLOOKUP(A562,'Remote work mental helath'!$A$2:$T$1001,3,)</f>
        <v>Female</v>
      </c>
      <c r="E562" t="str">
        <f>VLOOKUP(A562,'Remote work mental helath'!$A$2:$T$1001,20,)</f>
        <v>Asia</v>
      </c>
      <c r="F562" t="str">
        <f>VLOOKUP(A562,'Remote work mental helath'!$A$2:$T$1001,4,)</f>
        <v>Project Manager</v>
      </c>
    </row>
    <row r="563" spans="1:6" x14ac:dyDescent="0.3">
      <c r="A563" t="s">
        <v>612</v>
      </c>
      <c r="B563">
        <f>VLOOKUP('Employee Details'!A563,'Remote work mental helath'!$A$2:$T$1001,2,)</f>
        <v>48</v>
      </c>
      <c r="C563" t="str">
        <f t="shared" si="8"/>
        <v>40-49</v>
      </c>
      <c r="D563" t="str">
        <f>VLOOKUP(A563,'Remote work mental helath'!$A$2:$T$1001,3,)</f>
        <v>Prefer not to say</v>
      </c>
      <c r="E563" t="str">
        <f>VLOOKUP(A563,'Remote work mental helath'!$A$2:$T$1001,20,)</f>
        <v>North America</v>
      </c>
      <c r="F563" t="str">
        <f>VLOOKUP(A563,'Remote work mental helath'!$A$2:$T$1001,4,)</f>
        <v>HR</v>
      </c>
    </row>
    <row r="564" spans="1:6" x14ac:dyDescent="0.3">
      <c r="A564" t="s">
        <v>613</v>
      </c>
      <c r="B564">
        <f>VLOOKUP('Employee Details'!A564,'Remote work mental helath'!$A$2:$T$1001,2,)</f>
        <v>25</v>
      </c>
      <c r="C564" t="str">
        <f t="shared" si="8"/>
        <v>20-29</v>
      </c>
      <c r="D564" t="str">
        <f>VLOOKUP(A564,'Remote work mental helath'!$A$2:$T$1001,3,)</f>
        <v>Male</v>
      </c>
      <c r="E564" t="str">
        <f>VLOOKUP(A564,'Remote work mental helath'!$A$2:$T$1001,20,)</f>
        <v>Asia</v>
      </c>
      <c r="F564" t="str">
        <f>VLOOKUP(A564,'Remote work mental helath'!$A$2:$T$1001,4,)</f>
        <v>Sales</v>
      </c>
    </row>
    <row r="565" spans="1:6" x14ac:dyDescent="0.3">
      <c r="A565" t="s">
        <v>614</v>
      </c>
      <c r="B565">
        <f>VLOOKUP('Employee Details'!A565,'Remote work mental helath'!$A$2:$T$1001,2,)</f>
        <v>54</v>
      </c>
      <c r="C565" t="str">
        <f t="shared" si="8"/>
        <v>50+</v>
      </c>
      <c r="D565" t="str">
        <f>VLOOKUP(A565,'Remote work mental helath'!$A$2:$T$1001,3,)</f>
        <v>Prefer not to say</v>
      </c>
      <c r="E565" t="str">
        <f>VLOOKUP(A565,'Remote work mental helath'!$A$2:$T$1001,20,)</f>
        <v>South America</v>
      </c>
      <c r="F565" t="str">
        <f>VLOOKUP(A565,'Remote work mental helath'!$A$2:$T$1001,4,)</f>
        <v>Software Engineer</v>
      </c>
    </row>
    <row r="566" spans="1:6" x14ac:dyDescent="0.3">
      <c r="A566" t="s">
        <v>615</v>
      </c>
      <c r="B566">
        <f>VLOOKUP('Employee Details'!A566,'Remote work mental helath'!$A$2:$T$1001,2,)</f>
        <v>37</v>
      </c>
      <c r="C566" t="str">
        <f t="shared" si="8"/>
        <v>30-39</v>
      </c>
      <c r="D566" t="str">
        <f>VLOOKUP(A566,'Remote work mental helath'!$A$2:$T$1001,3,)</f>
        <v>Male</v>
      </c>
      <c r="E566" t="str">
        <f>VLOOKUP(A566,'Remote work mental helath'!$A$2:$T$1001,20,)</f>
        <v>Oceania</v>
      </c>
      <c r="F566" t="str">
        <f>VLOOKUP(A566,'Remote work mental helath'!$A$2:$T$1001,4,)</f>
        <v>Sales</v>
      </c>
    </row>
    <row r="567" spans="1:6" x14ac:dyDescent="0.3">
      <c r="A567" t="s">
        <v>616</v>
      </c>
      <c r="B567">
        <f>VLOOKUP('Employee Details'!A567,'Remote work mental helath'!$A$2:$T$1001,2,)</f>
        <v>33</v>
      </c>
      <c r="C567" t="str">
        <f t="shared" si="8"/>
        <v>30-39</v>
      </c>
      <c r="D567" t="str">
        <f>VLOOKUP(A567,'Remote work mental helath'!$A$2:$T$1001,3,)</f>
        <v>Male</v>
      </c>
      <c r="E567" t="str">
        <f>VLOOKUP(A567,'Remote work mental helath'!$A$2:$T$1001,20,)</f>
        <v>Africa</v>
      </c>
      <c r="F567" t="str">
        <f>VLOOKUP(A567,'Remote work mental helath'!$A$2:$T$1001,4,)</f>
        <v>Project Manager</v>
      </c>
    </row>
    <row r="568" spans="1:6" x14ac:dyDescent="0.3">
      <c r="A568" t="s">
        <v>617</v>
      </c>
      <c r="B568">
        <f>VLOOKUP('Employee Details'!A568,'Remote work mental helath'!$A$2:$T$1001,2,)</f>
        <v>24</v>
      </c>
      <c r="C568" t="str">
        <f t="shared" si="8"/>
        <v>20-29</v>
      </c>
      <c r="D568" t="str">
        <f>VLOOKUP(A568,'Remote work mental helath'!$A$2:$T$1001,3,)</f>
        <v>Female</v>
      </c>
      <c r="E568" t="str">
        <f>VLOOKUP(A568,'Remote work mental helath'!$A$2:$T$1001,20,)</f>
        <v>South America</v>
      </c>
      <c r="F568" t="str">
        <f>VLOOKUP(A568,'Remote work mental helath'!$A$2:$T$1001,4,)</f>
        <v>Sales</v>
      </c>
    </row>
    <row r="569" spans="1:6" x14ac:dyDescent="0.3">
      <c r="A569" t="s">
        <v>618</v>
      </c>
      <c r="B569">
        <f>VLOOKUP('Employee Details'!A569,'Remote work mental helath'!$A$2:$T$1001,2,)</f>
        <v>52</v>
      </c>
      <c r="C569" t="str">
        <f t="shared" si="8"/>
        <v>50+</v>
      </c>
      <c r="D569" t="str">
        <f>VLOOKUP(A569,'Remote work mental helath'!$A$2:$T$1001,3,)</f>
        <v>Prefer not to say</v>
      </c>
      <c r="E569" t="str">
        <f>VLOOKUP(A569,'Remote work mental helath'!$A$2:$T$1001,20,)</f>
        <v>North America</v>
      </c>
      <c r="F569" t="str">
        <f>VLOOKUP(A569,'Remote work mental helath'!$A$2:$T$1001,4,)</f>
        <v>HR</v>
      </c>
    </row>
    <row r="570" spans="1:6" x14ac:dyDescent="0.3">
      <c r="A570" t="s">
        <v>619</v>
      </c>
      <c r="B570">
        <f>VLOOKUP('Employee Details'!A570,'Remote work mental helath'!$A$2:$T$1001,2,)</f>
        <v>22</v>
      </c>
      <c r="C570" t="str">
        <f t="shared" si="8"/>
        <v>20-29</v>
      </c>
      <c r="D570" t="str">
        <f>VLOOKUP(A570,'Remote work mental helath'!$A$2:$T$1001,3,)</f>
        <v>Male</v>
      </c>
      <c r="E570" t="str">
        <f>VLOOKUP(A570,'Remote work mental helath'!$A$2:$T$1001,20,)</f>
        <v>Oceania</v>
      </c>
      <c r="F570" t="str">
        <f>VLOOKUP(A570,'Remote work mental helath'!$A$2:$T$1001,4,)</f>
        <v>Project Manager</v>
      </c>
    </row>
    <row r="571" spans="1:6" x14ac:dyDescent="0.3">
      <c r="A571" t="s">
        <v>620</v>
      </c>
      <c r="B571">
        <f>VLOOKUP('Employee Details'!A571,'Remote work mental helath'!$A$2:$T$1001,2,)</f>
        <v>48</v>
      </c>
      <c r="C571" t="str">
        <f t="shared" si="8"/>
        <v>40-49</v>
      </c>
      <c r="D571" t="str">
        <f>VLOOKUP(A571,'Remote work mental helath'!$A$2:$T$1001,3,)</f>
        <v>Prefer not to say</v>
      </c>
      <c r="E571" t="str">
        <f>VLOOKUP(A571,'Remote work mental helath'!$A$2:$T$1001,20,)</f>
        <v>Asia</v>
      </c>
      <c r="F571" t="str">
        <f>VLOOKUP(A571,'Remote work mental helath'!$A$2:$T$1001,4,)</f>
        <v>Software Engineer</v>
      </c>
    </row>
    <row r="572" spans="1:6" x14ac:dyDescent="0.3">
      <c r="A572" t="s">
        <v>621</v>
      </c>
      <c r="B572">
        <f>VLOOKUP('Employee Details'!A572,'Remote work mental helath'!$A$2:$T$1001,2,)</f>
        <v>48</v>
      </c>
      <c r="C572" t="str">
        <f t="shared" si="8"/>
        <v>40-49</v>
      </c>
      <c r="D572" t="str">
        <f>VLOOKUP(A572,'Remote work mental helath'!$A$2:$T$1001,3,)</f>
        <v>Male</v>
      </c>
      <c r="E572" t="str">
        <f>VLOOKUP(A572,'Remote work mental helath'!$A$2:$T$1001,20,)</f>
        <v>South America</v>
      </c>
      <c r="F572" t="str">
        <f>VLOOKUP(A572,'Remote work mental helath'!$A$2:$T$1001,4,)</f>
        <v>Designer</v>
      </c>
    </row>
    <row r="573" spans="1:6" x14ac:dyDescent="0.3">
      <c r="A573" t="s">
        <v>622</v>
      </c>
      <c r="B573">
        <f>VLOOKUP('Employee Details'!A573,'Remote work mental helath'!$A$2:$T$1001,2,)</f>
        <v>47</v>
      </c>
      <c r="C573" t="str">
        <f t="shared" si="8"/>
        <v>40-49</v>
      </c>
      <c r="D573" t="str">
        <f>VLOOKUP(A573,'Remote work mental helath'!$A$2:$T$1001,3,)</f>
        <v>Female</v>
      </c>
      <c r="E573" t="str">
        <f>VLOOKUP(A573,'Remote work mental helath'!$A$2:$T$1001,20,)</f>
        <v>Africa</v>
      </c>
      <c r="F573" t="str">
        <f>VLOOKUP(A573,'Remote work mental helath'!$A$2:$T$1001,4,)</f>
        <v>Sales</v>
      </c>
    </row>
    <row r="574" spans="1:6" x14ac:dyDescent="0.3">
      <c r="A574" t="s">
        <v>623</v>
      </c>
      <c r="B574">
        <f>VLOOKUP('Employee Details'!A574,'Remote work mental helath'!$A$2:$T$1001,2,)</f>
        <v>51</v>
      </c>
      <c r="C574" t="str">
        <f t="shared" si="8"/>
        <v>50+</v>
      </c>
      <c r="D574" t="str">
        <f>VLOOKUP(A574,'Remote work mental helath'!$A$2:$T$1001,3,)</f>
        <v>Male</v>
      </c>
      <c r="E574" t="str">
        <f>VLOOKUP(A574,'Remote work mental helath'!$A$2:$T$1001,20,)</f>
        <v>South America</v>
      </c>
      <c r="F574" t="str">
        <f>VLOOKUP(A574,'Remote work mental helath'!$A$2:$T$1001,4,)</f>
        <v>Software Engineer</v>
      </c>
    </row>
    <row r="575" spans="1:6" x14ac:dyDescent="0.3">
      <c r="A575" t="s">
        <v>624</v>
      </c>
      <c r="B575">
        <f>VLOOKUP('Employee Details'!A575,'Remote work mental helath'!$A$2:$T$1001,2,)</f>
        <v>52</v>
      </c>
      <c r="C575" t="str">
        <f t="shared" si="8"/>
        <v>50+</v>
      </c>
      <c r="D575" t="str">
        <f>VLOOKUP(A575,'Remote work mental helath'!$A$2:$T$1001,3,)</f>
        <v>Male</v>
      </c>
      <c r="E575" t="str">
        <f>VLOOKUP(A575,'Remote work mental helath'!$A$2:$T$1001,20,)</f>
        <v>North America</v>
      </c>
      <c r="F575" t="str">
        <f>VLOOKUP(A575,'Remote work mental helath'!$A$2:$T$1001,4,)</f>
        <v>Marketing</v>
      </c>
    </row>
    <row r="576" spans="1:6" x14ac:dyDescent="0.3">
      <c r="A576" t="s">
        <v>625</v>
      </c>
      <c r="B576">
        <f>VLOOKUP('Employee Details'!A576,'Remote work mental helath'!$A$2:$T$1001,2,)</f>
        <v>41</v>
      </c>
      <c r="C576" t="str">
        <f t="shared" si="8"/>
        <v>40-49</v>
      </c>
      <c r="D576" t="str">
        <f>VLOOKUP(A576,'Remote work mental helath'!$A$2:$T$1001,3,)</f>
        <v>Female</v>
      </c>
      <c r="E576" t="str">
        <f>VLOOKUP(A576,'Remote work mental helath'!$A$2:$T$1001,20,)</f>
        <v>Oceania</v>
      </c>
      <c r="F576" t="str">
        <f>VLOOKUP(A576,'Remote work mental helath'!$A$2:$T$1001,4,)</f>
        <v>Software Engineer</v>
      </c>
    </row>
    <row r="577" spans="1:6" x14ac:dyDescent="0.3">
      <c r="A577" t="s">
        <v>626</v>
      </c>
      <c r="B577">
        <f>VLOOKUP('Employee Details'!A577,'Remote work mental helath'!$A$2:$T$1001,2,)</f>
        <v>28</v>
      </c>
      <c r="C577" t="str">
        <f t="shared" si="8"/>
        <v>20-29</v>
      </c>
      <c r="D577" t="str">
        <f>VLOOKUP(A577,'Remote work mental helath'!$A$2:$T$1001,3,)</f>
        <v>Male</v>
      </c>
      <c r="E577" t="str">
        <f>VLOOKUP(A577,'Remote work mental helath'!$A$2:$T$1001,20,)</f>
        <v>Oceania</v>
      </c>
      <c r="F577" t="str">
        <f>VLOOKUP(A577,'Remote work mental helath'!$A$2:$T$1001,4,)</f>
        <v>Project Manager</v>
      </c>
    </row>
    <row r="578" spans="1:6" x14ac:dyDescent="0.3">
      <c r="A578" t="s">
        <v>627</v>
      </c>
      <c r="B578">
        <f>VLOOKUP('Employee Details'!A578,'Remote work mental helath'!$A$2:$T$1001,2,)</f>
        <v>44</v>
      </c>
      <c r="C578" t="str">
        <f t="shared" si="8"/>
        <v>40-49</v>
      </c>
      <c r="D578" t="str">
        <f>VLOOKUP(A578,'Remote work mental helath'!$A$2:$T$1001,3,)</f>
        <v>Prefer not to say</v>
      </c>
      <c r="E578" t="str">
        <f>VLOOKUP(A578,'Remote work mental helath'!$A$2:$T$1001,20,)</f>
        <v>South America</v>
      </c>
      <c r="F578" t="str">
        <f>VLOOKUP(A578,'Remote work mental helath'!$A$2:$T$1001,4,)</f>
        <v>Designer</v>
      </c>
    </row>
    <row r="579" spans="1:6" x14ac:dyDescent="0.3">
      <c r="A579" t="s">
        <v>628</v>
      </c>
      <c r="B579">
        <f>VLOOKUP('Employee Details'!A579,'Remote work mental helath'!$A$2:$T$1001,2,)</f>
        <v>50</v>
      </c>
      <c r="C579" t="str">
        <f t="shared" ref="C579:C642" si="9">IF(B579&lt;30,"20-29",IF(B579&lt;40,"30-39",IF(B579&lt;50,"40-49","50+")))</f>
        <v>50+</v>
      </c>
      <c r="D579" t="str">
        <f>VLOOKUP(A579,'Remote work mental helath'!$A$2:$T$1001,3,)</f>
        <v>Non-binary</v>
      </c>
      <c r="E579" t="str">
        <f>VLOOKUP(A579,'Remote work mental helath'!$A$2:$T$1001,20,)</f>
        <v>Europe</v>
      </c>
      <c r="F579" t="str">
        <f>VLOOKUP(A579,'Remote work mental helath'!$A$2:$T$1001,4,)</f>
        <v>Sales</v>
      </c>
    </row>
    <row r="580" spans="1:6" x14ac:dyDescent="0.3">
      <c r="A580" t="s">
        <v>629</v>
      </c>
      <c r="B580">
        <f>VLOOKUP('Employee Details'!A580,'Remote work mental helath'!$A$2:$T$1001,2,)</f>
        <v>43</v>
      </c>
      <c r="C580" t="str">
        <f t="shared" si="9"/>
        <v>40-49</v>
      </c>
      <c r="D580" t="str">
        <f>VLOOKUP(A580,'Remote work mental helath'!$A$2:$T$1001,3,)</f>
        <v>Prefer not to say</v>
      </c>
      <c r="E580" t="str">
        <f>VLOOKUP(A580,'Remote work mental helath'!$A$2:$T$1001,20,)</f>
        <v>Europe</v>
      </c>
      <c r="F580" t="str">
        <f>VLOOKUP(A580,'Remote work mental helath'!$A$2:$T$1001,4,)</f>
        <v>Project Manager</v>
      </c>
    </row>
    <row r="581" spans="1:6" x14ac:dyDescent="0.3">
      <c r="A581" t="s">
        <v>630</v>
      </c>
      <c r="B581">
        <f>VLOOKUP('Employee Details'!A581,'Remote work mental helath'!$A$2:$T$1001,2,)</f>
        <v>43</v>
      </c>
      <c r="C581" t="str">
        <f t="shared" si="9"/>
        <v>40-49</v>
      </c>
      <c r="D581" t="str">
        <f>VLOOKUP(A581,'Remote work mental helath'!$A$2:$T$1001,3,)</f>
        <v>Male</v>
      </c>
      <c r="E581" t="str">
        <f>VLOOKUP(A581,'Remote work mental helath'!$A$2:$T$1001,20,)</f>
        <v>North America</v>
      </c>
      <c r="F581" t="str">
        <f>VLOOKUP(A581,'Remote work mental helath'!$A$2:$T$1001,4,)</f>
        <v>HR</v>
      </c>
    </row>
    <row r="582" spans="1:6" x14ac:dyDescent="0.3">
      <c r="A582" t="s">
        <v>631</v>
      </c>
      <c r="B582">
        <f>VLOOKUP('Employee Details'!A582,'Remote work mental helath'!$A$2:$T$1001,2,)</f>
        <v>29</v>
      </c>
      <c r="C582" t="str">
        <f t="shared" si="9"/>
        <v>20-29</v>
      </c>
      <c r="D582" t="str">
        <f>VLOOKUP(A582,'Remote work mental helath'!$A$2:$T$1001,3,)</f>
        <v>Prefer not to say</v>
      </c>
      <c r="E582" t="str">
        <f>VLOOKUP(A582,'Remote work mental helath'!$A$2:$T$1001,20,)</f>
        <v>Oceania</v>
      </c>
      <c r="F582" t="str">
        <f>VLOOKUP(A582,'Remote work mental helath'!$A$2:$T$1001,4,)</f>
        <v>Marketing</v>
      </c>
    </row>
    <row r="583" spans="1:6" x14ac:dyDescent="0.3">
      <c r="A583" t="s">
        <v>632</v>
      </c>
      <c r="B583">
        <f>VLOOKUP('Employee Details'!A583,'Remote work mental helath'!$A$2:$T$1001,2,)</f>
        <v>30</v>
      </c>
      <c r="C583" t="str">
        <f t="shared" si="9"/>
        <v>30-39</v>
      </c>
      <c r="D583" t="str">
        <f>VLOOKUP(A583,'Remote work mental helath'!$A$2:$T$1001,3,)</f>
        <v>Prefer not to say</v>
      </c>
      <c r="E583" t="str">
        <f>VLOOKUP(A583,'Remote work mental helath'!$A$2:$T$1001,20,)</f>
        <v>Europe</v>
      </c>
      <c r="F583" t="str">
        <f>VLOOKUP(A583,'Remote work mental helath'!$A$2:$T$1001,4,)</f>
        <v>Marketing</v>
      </c>
    </row>
    <row r="584" spans="1:6" x14ac:dyDescent="0.3">
      <c r="A584" t="s">
        <v>633</v>
      </c>
      <c r="B584">
        <f>VLOOKUP('Employee Details'!A584,'Remote work mental helath'!$A$2:$T$1001,2,)</f>
        <v>50</v>
      </c>
      <c r="C584" t="str">
        <f t="shared" si="9"/>
        <v>50+</v>
      </c>
      <c r="D584" t="str">
        <f>VLOOKUP(A584,'Remote work mental helath'!$A$2:$T$1001,3,)</f>
        <v>Prefer not to say</v>
      </c>
      <c r="E584" t="str">
        <f>VLOOKUP(A584,'Remote work mental helath'!$A$2:$T$1001,20,)</f>
        <v>Oceania</v>
      </c>
      <c r="F584" t="str">
        <f>VLOOKUP(A584,'Remote work mental helath'!$A$2:$T$1001,4,)</f>
        <v>HR</v>
      </c>
    </row>
    <row r="585" spans="1:6" x14ac:dyDescent="0.3">
      <c r="A585" t="s">
        <v>634</v>
      </c>
      <c r="B585">
        <f>VLOOKUP('Employee Details'!A585,'Remote work mental helath'!$A$2:$T$1001,2,)</f>
        <v>60</v>
      </c>
      <c r="C585" t="str">
        <f t="shared" si="9"/>
        <v>50+</v>
      </c>
      <c r="D585" t="str">
        <f>VLOOKUP(A585,'Remote work mental helath'!$A$2:$T$1001,3,)</f>
        <v>Male</v>
      </c>
      <c r="E585" t="str">
        <f>VLOOKUP(A585,'Remote work mental helath'!$A$2:$T$1001,20,)</f>
        <v>South America</v>
      </c>
      <c r="F585" t="str">
        <f>VLOOKUP(A585,'Remote work mental helath'!$A$2:$T$1001,4,)</f>
        <v>HR</v>
      </c>
    </row>
    <row r="586" spans="1:6" x14ac:dyDescent="0.3">
      <c r="A586" t="s">
        <v>635</v>
      </c>
      <c r="B586">
        <f>VLOOKUP('Employee Details'!A586,'Remote work mental helath'!$A$2:$T$1001,2,)</f>
        <v>31</v>
      </c>
      <c r="C586" t="str">
        <f t="shared" si="9"/>
        <v>30-39</v>
      </c>
      <c r="D586" t="str">
        <f>VLOOKUP(A586,'Remote work mental helath'!$A$2:$T$1001,3,)</f>
        <v>Prefer not to say</v>
      </c>
      <c r="E586" t="str">
        <f>VLOOKUP(A586,'Remote work mental helath'!$A$2:$T$1001,20,)</f>
        <v>North America</v>
      </c>
      <c r="F586" t="str">
        <f>VLOOKUP(A586,'Remote work mental helath'!$A$2:$T$1001,4,)</f>
        <v>Data Scientist</v>
      </c>
    </row>
    <row r="587" spans="1:6" x14ac:dyDescent="0.3">
      <c r="A587" t="s">
        <v>636</v>
      </c>
      <c r="B587">
        <f>VLOOKUP('Employee Details'!A587,'Remote work mental helath'!$A$2:$T$1001,2,)</f>
        <v>43</v>
      </c>
      <c r="C587" t="str">
        <f t="shared" si="9"/>
        <v>40-49</v>
      </c>
      <c r="D587" t="str">
        <f>VLOOKUP(A587,'Remote work mental helath'!$A$2:$T$1001,3,)</f>
        <v>Female</v>
      </c>
      <c r="E587" t="str">
        <f>VLOOKUP(A587,'Remote work mental helath'!$A$2:$T$1001,20,)</f>
        <v>Europe</v>
      </c>
      <c r="F587" t="str">
        <f>VLOOKUP(A587,'Remote work mental helath'!$A$2:$T$1001,4,)</f>
        <v>Sales</v>
      </c>
    </row>
    <row r="588" spans="1:6" x14ac:dyDescent="0.3">
      <c r="A588" t="s">
        <v>637</v>
      </c>
      <c r="B588">
        <f>VLOOKUP('Employee Details'!A588,'Remote work mental helath'!$A$2:$T$1001,2,)</f>
        <v>58</v>
      </c>
      <c r="C588" t="str">
        <f t="shared" si="9"/>
        <v>50+</v>
      </c>
      <c r="D588" t="str">
        <f>VLOOKUP(A588,'Remote work mental helath'!$A$2:$T$1001,3,)</f>
        <v>Female</v>
      </c>
      <c r="E588" t="str">
        <f>VLOOKUP(A588,'Remote work mental helath'!$A$2:$T$1001,20,)</f>
        <v>Africa</v>
      </c>
      <c r="F588" t="str">
        <f>VLOOKUP(A588,'Remote work mental helath'!$A$2:$T$1001,4,)</f>
        <v>Sales</v>
      </c>
    </row>
    <row r="589" spans="1:6" x14ac:dyDescent="0.3">
      <c r="A589" t="s">
        <v>638</v>
      </c>
      <c r="B589">
        <f>VLOOKUP('Employee Details'!A589,'Remote work mental helath'!$A$2:$T$1001,2,)</f>
        <v>56</v>
      </c>
      <c r="C589" t="str">
        <f t="shared" si="9"/>
        <v>50+</v>
      </c>
      <c r="D589" t="str">
        <f>VLOOKUP(A589,'Remote work mental helath'!$A$2:$T$1001,3,)</f>
        <v>Prefer not to say</v>
      </c>
      <c r="E589" t="str">
        <f>VLOOKUP(A589,'Remote work mental helath'!$A$2:$T$1001,20,)</f>
        <v>South America</v>
      </c>
      <c r="F589" t="str">
        <f>VLOOKUP(A589,'Remote work mental helath'!$A$2:$T$1001,4,)</f>
        <v>Software Engineer</v>
      </c>
    </row>
    <row r="590" spans="1:6" x14ac:dyDescent="0.3">
      <c r="A590" t="s">
        <v>639</v>
      </c>
      <c r="B590">
        <f>VLOOKUP('Employee Details'!A590,'Remote work mental helath'!$A$2:$T$1001,2,)</f>
        <v>40</v>
      </c>
      <c r="C590" t="str">
        <f t="shared" si="9"/>
        <v>40-49</v>
      </c>
      <c r="D590" t="str">
        <f>VLOOKUP(A590,'Remote work mental helath'!$A$2:$T$1001,3,)</f>
        <v>Non-binary</v>
      </c>
      <c r="E590" t="str">
        <f>VLOOKUP(A590,'Remote work mental helath'!$A$2:$T$1001,20,)</f>
        <v>South America</v>
      </c>
      <c r="F590" t="str">
        <f>VLOOKUP(A590,'Remote work mental helath'!$A$2:$T$1001,4,)</f>
        <v>Designer</v>
      </c>
    </row>
    <row r="591" spans="1:6" x14ac:dyDescent="0.3">
      <c r="A591" t="s">
        <v>640</v>
      </c>
      <c r="B591">
        <f>VLOOKUP('Employee Details'!A591,'Remote work mental helath'!$A$2:$T$1001,2,)</f>
        <v>57</v>
      </c>
      <c r="C591" t="str">
        <f t="shared" si="9"/>
        <v>50+</v>
      </c>
      <c r="D591" t="str">
        <f>VLOOKUP(A591,'Remote work mental helath'!$A$2:$T$1001,3,)</f>
        <v>Female</v>
      </c>
      <c r="E591" t="str">
        <f>VLOOKUP(A591,'Remote work mental helath'!$A$2:$T$1001,20,)</f>
        <v>Asia</v>
      </c>
      <c r="F591" t="str">
        <f>VLOOKUP(A591,'Remote work mental helath'!$A$2:$T$1001,4,)</f>
        <v>Designer</v>
      </c>
    </row>
    <row r="592" spans="1:6" x14ac:dyDescent="0.3">
      <c r="A592" t="s">
        <v>641</v>
      </c>
      <c r="B592">
        <f>VLOOKUP('Employee Details'!A592,'Remote work mental helath'!$A$2:$T$1001,2,)</f>
        <v>31</v>
      </c>
      <c r="C592" t="str">
        <f t="shared" si="9"/>
        <v>30-39</v>
      </c>
      <c r="D592" t="str">
        <f>VLOOKUP(A592,'Remote work mental helath'!$A$2:$T$1001,3,)</f>
        <v>Male</v>
      </c>
      <c r="E592" t="str">
        <f>VLOOKUP(A592,'Remote work mental helath'!$A$2:$T$1001,20,)</f>
        <v>North America</v>
      </c>
      <c r="F592" t="str">
        <f>VLOOKUP(A592,'Remote work mental helath'!$A$2:$T$1001,4,)</f>
        <v>Project Manager</v>
      </c>
    </row>
    <row r="593" spans="1:6" x14ac:dyDescent="0.3">
      <c r="A593" t="s">
        <v>642</v>
      </c>
      <c r="B593">
        <f>VLOOKUP('Employee Details'!A593,'Remote work mental helath'!$A$2:$T$1001,2,)</f>
        <v>35</v>
      </c>
      <c r="C593" t="str">
        <f t="shared" si="9"/>
        <v>30-39</v>
      </c>
      <c r="D593" t="str">
        <f>VLOOKUP(A593,'Remote work mental helath'!$A$2:$T$1001,3,)</f>
        <v>Female</v>
      </c>
      <c r="E593" t="str">
        <f>VLOOKUP(A593,'Remote work mental helath'!$A$2:$T$1001,20,)</f>
        <v>South America</v>
      </c>
      <c r="F593" t="str">
        <f>VLOOKUP(A593,'Remote work mental helath'!$A$2:$T$1001,4,)</f>
        <v>Marketing</v>
      </c>
    </row>
    <row r="594" spans="1:6" x14ac:dyDescent="0.3">
      <c r="A594" t="s">
        <v>643</v>
      </c>
      <c r="B594">
        <f>VLOOKUP('Employee Details'!A594,'Remote work mental helath'!$A$2:$T$1001,2,)</f>
        <v>32</v>
      </c>
      <c r="C594" t="str">
        <f t="shared" si="9"/>
        <v>30-39</v>
      </c>
      <c r="D594" t="str">
        <f>VLOOKUP(A594,'Remote work mental helath'!$A$2:$T$1001,3,)</f>
        <v>Prefer not to say</v>
      </c>
      <c r="E594" t="str">
        <f>VLOOKUP(A594,'Remote work mental helath'!$A$2:$T$1001,20,)</f>
        <v>Africa</v>
      </c>
      <c r="F594" t="str">
        <f>VLOOKUP(A594,'Remote work mental helath'!$A$2:$T$1001,4,)</f>
        <v>Sales</v>
      </c>
    </row>
    <row r="595" spans="1:6" x14ac:dyDescent="0.3">
      <c r="A595" t="s">
        <v>644</v>
      </c>
      <c r="B595">
        <f>VLOOKUP('Employee Details'!A595,'Remote work mental helath'!$A$2:$T$1001,2,)</f>
        <v>31</v>
      </c>
      <c r="C595" t="str">
        <f t="shared" si="9"/>
        <v>30-39</v>
      </c>
      <c r="D595" t="str">
        <f>VLOOKUP(A595,'Remote work mental helath'!$A$2:$T$1001,3,)</f>
        <v>Prefer not to say</v>
      </c>
      <c r="E595" t="str">
        <f>VLOOKUP(A595,'Remote work mental helath'!$A$2:$T$1001,20,)</f>
        <v>Oceania</v>
      </c>
      <c r="F595" t="str">
        <f>VLOOKUP(A595,'Remote work mental helath'!$A$2:$T$1001,4,)</f>
        <v>Project Manager</v>
      </c>
    </row>
    <row r="596" spans="1:6" x14ac:dyDescent="0.3">
      <c r="A596" t="s">
        <v>645</v>
      </c>
      <c r="B596">
        <f>VLOOKUP('Employee Details'!A596,'Remote work mental helath'!$A$2:$T$1001,2,)</f>
        <v>53</v>
      </c>
      <c r="C596" t="str">
        <f t="shared" si="9"/>
        <v>50+</v>
      </c>
      <c r="D596" t="str">
        <f>VLOOKUP(A596,'Remote work mental helath'!$A$2:$T$1001,3,)</f>
        <v>Prefer not to say</v>
      </c>
      <c r="E596" t="str">
        <f>VLOOKUP(A596,'Remote work mental helath'!$A$2:$T$1001,20,)</f>
        <v>Europe</v>
      </c>
      <c r="F596" t="str">
        <f>VLOOKUP(A596,'Remote work mental helath'!$A$2:$T$1001,4,)</f>
        <v>Sales</v>
      </c>
    </row>
    <row r="597" spans="1:6" x14ac:dyDescent="0.3">
      <c r="A597" t="s">
        <v>646</v>
      </c>
      <c r="B597">
        <f>VLOOKUP('Employee Details'!A597,'Remote work mental helath'!$A$2:$T$1001,2,)</f>
        <v>42</v>
      </c>
      <c r="C597" t="str">
        <f t="shared" si="9"/>
        <v>40-49</v>
      </c>
      <c r="D597" t="str">
        <f>VLOOKUP(A597,'Remote work mental helath'!$A$2:$T$1001,3,)</f>
        <v>Prefer not to say</v>
      </c>
      <c r="E597" t="str">
        <f>VLOOKUP(A597,'Remote work mental helath'!$A$2:$T$1001,20,)</f>
        <v>Oceania</v>
      </c>
      <c r="F597" t="str">
        <f>VLOOKUP(A597,'Remote work mental helath'!$A$2:$T$1001,4,)</f>
        <v>Designer</v>
      </c>
    </row>
    <row r="598" spans="1:6" x14ac:dyDescent="0.3">
      <c r="A598" t="s">
        <v>647</v>
      </c>
      <c r="B598">
        <f>VLOOKUP('Employee Details'!A598,'Remote work mental helath'!$A$2:$T$1001,2,)</f>
        <v>35</v>
      </c>
      <c r="C598" t="str">
        <f t="shared" si="9"/>
        <v>30-39</v>
      </c>
      <c r="D598" t="str">
        <f>VLOOKUP(A598,'Remote work mental helath'!$A$2:$T$1001,3,)</f>
        <v>Male</v>
      </c>
      <c r="E598" t="str">
        <f>VLOOKUP(A598,'Remote work mental helath'!$A$2:$T$1001,20,)</f>
        <v>Europe</v>
      </c>
      <c r="F598" t="str">
        <f>VLOOKUP(A598,'Remote work mental helath'!$A$2:$T$1001,4,)</f>
        <v>Designer</v>
      </c>
    </row>
    <row r="599" spans="1:6" x14ac:dyDescent="0.3">
      <c r="A599" t="s">
        <v>648</v>
      </c>
      <c r="B599">
        <f>VLOOKUP('Employee Details'!A599,'Remote work mental helath'!$A$2:$T$1001,2,)</f>
        <v>58</v>
      </c>
      <c r="C599" t="str">
        <f t="shared" si="9"/>
        <v>50+</v>
      </c>
      <c r="D599" t="str">
        <f>VLOOKUP(A599,'Remote work mental helath'!$A$2:$T$1001,3,)</f>
        <v>Female</v>
      </c>
      <c r="E599" t="str">
        <f>VLOOKUP(A599,'Remote work mental helath'!$A$2:$T$1001,20,)</f>
        <v>South America</v>
      </c>
      <c r="F599" t="str">
        <f>VLOOKUP(A599,'Remote work mental helath'!$A$2:$T$1001,4,)</f>
        <v>HR</v>
      </c>
    </row>
    <row r="600" spans="1:6" x14ac:dyDescent="0.3">
      <c r="A600" t="s">
        <v>649</v>
      </c>
      <c r="B600">
        <f>VLOOKUP('Employee Details'!A600,'Remote work mental helath'!$A$2:$T$1001,2,)</f>
        <v>26</v>
      </c>
      <c r="C600" t="str">
        <f t="shared" si="9"/>
        <v>20-29</v>
      </c>
      <c r="D600" t="str">
        <f>VLOOKUP(A600,'Remote work mental helath'!$A$2:$T$1001,3,)</f>
        <v>Female</v>
      </c>
      <c r="E600" t="str">
        <f>VLOOKUP(A600,'Remote work mental helath'!$A$2:$T$1001,20,)</f>
        <v>South America</v>
      </c>
      <c r="F600" t="str">
        <f>VLOOKUP(A600,'Remote work mental helath'!$A$2:$T$1001,4,)</f>
        <v>Marketing</v>
      </c>
    </row>
    <row r="601" spans="1:6" x14ac:dyDescent="0.3">
      <c r="A601" t="s">
        <v>650</v>
      </c>
      <c r="B601">
        <f>VLOOKUP('Employee Details'!A601,'Remote work mental helath'!$A$2:$T$1001,2,)</f>
        <v>45</v>
      </c>
      <c r="C601" t="str">
        <f t="shared" si="9"/>
        <v>40-49</v>
      </c>
      <c r="D601" t="str">
        <f>VLOOKUP(A601,'Remote work mental helath'!$A$2:$T$1001,3,)</f>
        <v>Non-binary</v>
      </c>
      <c r="E601" t="str">
        <f>VLOOKUP(A601,'Remote work mental helath'!$A$2:$T$1001,20,)</f>
        <v>Oceania</v>
      </c>
      <c r="F601" t="str">
        <f>VLOOKUP(A601,'Remote work mental helath'!$A$2:$T$1001,4,)</f>
        <v>Software Engineer</v>
      </c>
    </row>
    <row r="602" spans="1:6" x14ac:dyDescent="0.3">
      <c r="A602" t="s">
        <v>651</v>
      </c>
      <c r="B602">
        <f>VLOOKUP('Employee Details'!A602,'Remote work mental helath'!$A$2:$T$1001,2,)</f>
        <v>36</v>
      </c>
      <c r="C602" t="str">
        <f t="shared" si="9"/>
        <v>30-39</v>
      </c>
      <c r="D602" t="str">
        <f>VLOOKUP(A602,'Remote work mental helath'!$A$2:$T$1001,3,)</f>
        <v>Male</v>
      </c>
      <c r="E602" t="str">
        <f>VLOOKUP(A602,'Remote work mental helath'!$A$2:$T$1001,20,)</f>
        <v>Africa</v>
      </c>
      <c r="F602" t="str">
        <f>VLOOKUP(A602,'Remote work mental helath'!$A$2:$T$1001,4,)</f>
        <v>Designer</v>
      </c>
    </row>
    <row r="603" spans="1:6" x14ac:dyDescent="0.3">
      <c r="A603" t="s">
        <v>652</v>
      </c>
      <c r="B603">
        <f>VLOOKUP('Employee Details'!A603,'Remote work mental helath'!$A$2:$T$1001,2,)</f>
        <v>25</v>
      </c>
      <c r="C603" t="str">
        <f t="shared" si="9"/>
        <v>20-29</v>
      </c>
      <c r="D603" t="str">
        <f>VLOOKUP(A603,'Remote work mental helath'!$A$2:$T$1001,3,)</f>
        <v>Non-binary</v>
      </c>
      <c r="E603" t="str">
        <f>VLOOKUP(A603,'Remote work mental helath'!$A$2:$T$1001,20,)</f>
        <v>Asia</v>
      </c>
      <c r="F603" t="str">
        <f>VLOOKUP(A603,'Remote work mental helath'!$A$2:$T$1001,4,)</f>
        <v>Marketing</v>
      </c>
    </row>
    <row r="604" spans="1:6" x14ac:dyDescent="0.3">
      <c r="A604" t="s">
        <v>653</v>
      </c>
      <c r="B604">
        <f>VLOOKUP('Employee Details'!A604,'Remote work mental helath'!$A$2:$T$1001,2,)</f>
        <v>55</v>
      </c>
      <c r="C604" t="str">
        <f t="shared" si="9"/>
        <v>50+</v>
      </c>
      <c r="D604" t="str">
        <f>VLOOKUP(A604,'Remote work mental helath'!$A$2:$T$1001,3,)</f>
        <v>Prefer not to say</v>
      </c>
      <c r="E604" t="str">
        <f>VLOOKUP(A604,'Remote work mental helath'!$A$2:$T$1001,20,)</f>
        <v>Asia</v>
      </c>
      <c r="F604" t="str">
        <f>VLOOKUP(A604,'Remote work mental helath'!$A$2:$T$1001,4,)</f>
        <v>Project Manager</v>
      </c>
    </row>
    <row r="605" spans="1:6" x14ac:dyDescent="0.3">
      <c r="A605" t="s">
        <v>654</v>
      </c>
      <c r="B605">
        <f>VLOOKUP('Employee Details'!A605,'Remote work mental helath'!$A$2:$T$1001,2,)</f>
        <v>47</v>
      </c>
      <c r="C605" t="str">
        <f t="shared" si="9"/>
        <v>40-49</v>
      </c>
      <c r="D605" t="str">
        <f>VLOOKUP(A605,'Remote work mental helath'!$A$2:$T$1001,3,)</f>
        <v>Female</v>
      </c>
      <c r="E605" t="str">
        <f>VLOOKUP(A605,'Remote work mental helath'!$A$2:$T$1001,20,)</f>
        <v>Asia</v>
      </c>
      <c r="F605" t="str">
        <f>VLOOKUP(A605,'Remote work mental helath'!$A$2:$T$1001,4,)</f>
        <v>Data Scientist</v>
      </c>
    </row>
    <row r="606" spans="1:6" x14ac:dyDescent="0.3">
      <c r="A606" t="s">
        <v>655</v>
      </c>
      <c r="B606">
        <f>VLOOKUP('Employee Details'!A606,'Remote work mental helath'!$A$2:$T$1001,2,)</f>
        <v>46</v>
      </c>
      <c r="C606" t="str">
        <f t="shared" si="9"/>
        <v>40-49</v>
      </c>
      <c r="D606" t="str">
        <f>VLOOKUP(A606,'Remote work mental helath'!$A$2:$T$1001,3,)</f>
        <v>Female</v>
      </c>
      <c r="E606" t="str">
        <f>VLOOKUP(A606,'Remote work mental helath'!$A$2:$T$1001,20,)</f>
        <v>Asia</v>
      </c>
      <c r="F606" t="str">
        <f>VLOOKUP(A606,'Remote work mental helath'!$A$2:$T$1001,4,)</f>
        <v>Sales</v>
      </c>
    </row>
    <row r="607" spans="1:6" x14ac:dyDescent="0.3">
      <c r="A607" t="s">
        <v>656</v>
      </c>
      <c r="B607">
        <f>VLOOKUP('Employee Details'!A607,'Remote work mental helath'!$A$2:$T$1001,2,)</f>
        <v>39</v>
      </c>
      <c r="C607" t="str">
        <f t="shared" si="9"/>
        <v>30-39</v>
      </c>
      <c r="D607" t="str">
        <f>VLOOKUP(A607,'Remote work mental helath'!$A$2:$T$1001,3,)</f>
        <v>Prefer not to say</v>
      </c>
      <c r="E607" t="str">
        <f>VLOOKUP(A607,'Remote work mental helath'!$A$2:$T$1001,20,)</f>
        <v>Africa</v>
      </c>
      <c r="F607" t="str">
        <f>VLOOKUP(A607,'Remote work mental helath'!$A$2:$T$1001,4,)</f>
        <v>Sales</v>
      </c>
    </row>
    <row r="608" spans="1:6" x14ac:dyDescent="0.3">
      <c r="A608" t="s">
        <v>657</v>
      </c>
      <c r="B608">
        <f>VLOOKUP('Employee Details'!A608,'Remote work mental helath'!$A$2:$T$1001,2,)</f>
        <v>27</v>
      </c>
      <c r="C608" t="str">
        <f t="shared" si="9"/>
        <v>20-29</v>
      </c>
      <c r="D608" t="str">
        <f>VLOOKUP(A608,'Remote work mental helath'!$A$2:$T$1001,3,)</f>
        <v>Male</v>
      </c>
      <c r="E608" t="str">
        <f>VLOOKUP(A608,'Remote work mental helath'!$A$2:$T$1001,20,)</f>
        <v>South America</v>
      </c>
      <c r="F608" t="str">
        <f>VLOOKUP(A608,'Remote work mental helath'!$A$2:$T$1001,4,)</f>
        <v>Designer</v>
      </c>
    </row>
    <row r="609" spans="1:6" x14ac:dyDescent="0.3">
      <c r="A609" t="s">
        <v>658</v>
      </c>
      <c r="B609">
        <f>VLOOKUP('Employee Details'!A609,'Remote work mental helath'!$A$2:$T$1001,2,)</f>
        <v>35</v>
      </c>
      <c r="C609" t="str">
        <f t="shared" si="9"/>
        <v>30-39</v>
      </c>
      <c r="D609" t="str">
        <f>VLOOKUP(A609,'Remote work mental helath'!$A$2:$T$1001,3,)</f>
        <v>Prefer not to say</v>
      </c>
      <c r="E609" t="str">
        <f>VLOOKUP(A609,'Remote work mental helath'!$A$2:$T$1001,20,)</f>
        <v>North America</v>
      </c>
      <c r="F609" t="str">
        <f>VLOOKUP(A609,'Remote work mental helath'!$A$2:$T$1001,4,)</f>
        <v>Sales</v>
      </c>
    </row>
    <row r="610" spans="1:6" x14ac:dyDescent="0.3">
      <c r="A610" t="s">
        <v>659</v>
      </c>
      <c r="B610">
        <f>VLOOKUP('Employee Details'!A610,'Remote work mental helath'!$A$2:$T$1001,2,)</f>
        <v>60</v>
      </c>
      <c r="C610" t="str">
        <f t="shared" si="9"/>
        <v>50+</v>
      </c>
      <c r="D610" t="str">
        <f>VLOOKUP(A610,'Remote work mental helath'!$A$2:$T$1001,3,)</f>
        <v>Female</v>
      </c>
      <c r="E610" t="str">
        <f>VLOOKUP(A610,'Remote work mental helath'!$A$2:$T$1001,20,)</f>
        <v>North America</v>
      </c>
      <c r="F610" t="str">
        <f>VLOOKUP(A610,'Remote work mental helath'!$A$2:$T$1001,4,)</f>
        <v>Marketing</v>
      </c>
    </row>
    <row r="611" spans="1:6" x14ac:dyDescent="0.3">
      <c r="A611" t="s">
        <v>660</v>
      </c>
      <c r="B611">
        <f>VLOOKUP('Employee Details'!A611,'Remote work mental helath'!$A$2:$T$1001,2,)</f>
        <v>33</v>
      </c>
      <c r="C611" t="str">
        <f t="shared" si="9"/>
        <v>30-39</v>
      </c>
      <c r="D611" t="str">
        <f>VLOOKUP(A611,'Remote work mental helath'!$A$2:$T$1001,3,)</f>
        <v>Female</v>
      </c>
      <c r="E611" t="str">
        <f>VLOOKUP(A611,'Remote work mental helath'!$A$2:$T$1001,20,)</f>
        <v>North America</v>
      </c>
      <c r="F611" t="str">
        <f>VLOOKUP(A611,'Remote work mental helath'!$A$2:$T$1001,4,)</f>
        <v>Software Engineer</v>
      </c>
    </row>
    <row r="612" spans="1:6" x14ac:dyDescent="0.3">
      <c r="A612" t="s">
        <v>661</v>
      </c>
      <c r="B612">
        <f>VLOOKUP('Employee Details'!A612,'Remote work mental helath'!$A$2:$T$1001,2,)</f>
        <v>45</v>
      </c>
      <c r="C612" t="str">
        <f t="shared" si="9"/>
        <v>40-49</v>
      </c>
      <c r="D612" t="str">
        <f>VLOOKUP(A612,'Remote work mental helath'!$A$2:$T$1001,3,)</f>
        <v>Prefer not to say</v>
      </c>
      <c r="E612" t="str">
        <f>VLOOKUP(A612,'Remote work mental helath'!$A$2:$T$1001,20,)</f>
        <v>South America</v>
      </c>
      <c r="F612" t="str">
        <f>VLOOKUP(A612,'Remote work mental helath'!$A$2:$T$1001,4,)</f>
        <v>Marketing</v>
      </c>
    </row>
    <row r="613" spans="1:6" x14ac:dyDescent="0.3">
      <c r="A613" t="s">
        <v>662</v>
      </c>
      <c r="B613">
        <f>VLOOKUP('Employee Details'!A613,'Remote work mental helath'!$A$2:$T$1001,2,)</f>
        <v>26</v>
      </c>
      <c r="C613" t="str">
        <f t="shared" si="9"/>
        <v>20-29</v>
      </c>
      <c r="D613" t="str">
        <f>VLOOKUP(A613,'Remote work mental helath'!$A$2:$T$1001,3,)</f>
        <v>Male</v>
      </c>
      <c r="E613" t="str">
        <f>VLOOKUP(A613,'Remote work mental helath'!$A$2:$T$1001,20,)</f>
        <v>Asia</v>
      </c>
      <c r="F613" t="str">
        <f>VLOOKUP(A613,'Remote work mental helath'!$A$2:$T$1001,4,)</f>
        <v>HR</v>
      </c>
    </row>
    <row r="614" spans="1:6" x14ac:dyDescent="0.3">
      <c r="A614" t="s">
        <v>663</v>
      </c>
      <c r="B614">
        <f>VLOOKUP('Employee Details'!A614,'Remote work mental helath'!$A$2:$T$1001,2,)</f>
        <v>25</v>
      </c>
      <c r="C614" t="str">
        <f t="shared" si="9"/>
        <v>20-29</v>
      </c>
      <c r="D614" t="str">
        <f>VLOOKUP(A614,'Remote work mental helath'!$A$2:$T$1001,3,)</f>
        <v>Male</v>
      </c>
      <c r="E614" t="str">
        <f>VLOOKUP(A614,'Remote work mental helath'!$A$2:$T$1001,20,)</f>
        <v>Asia</v>
      </c>
      <c r="F614" t="str">
        <f>VLOOKUP(A614,'Remote work mental helath'!$A$2:$T$1001,4,)</f>
        <v>Marketing</v>
      </c>
    </row>
    <row r="615" spans="1:6" x14ac:dyDescent="0.3">
      <c r="A615" t="s">
        <v>664</v>
      </c>
      <c r="B615">
        <f>VLOOKUP('Employee Details'!A615,'Remote work mental helath'!$A$2:$T$1001,2,)</f>
        <v>57</v>
      </c>
      <c r="C615" t="str">
        <f t="shared" si="9"/>
        <v>50+</v>
      </c>
      <c r="D615" t="str">
        <f>VLOOKUP(A615,'Remote work mental helath'!$A$2:$T$1001,3,)</f>
        <v>Female</v>
      </c>
      <c r="E615" t="str">
        <f>VLOOKUP(A615,'Remote work mental helath'!$A$2:$T$1001,20,)</f>
        <v>Oceania</v>
      </c>
      <c r="F615" t="str">
        <f>VLOOKUP(A615,'Remote work mental helath'!$A$2:$T$1001,4,)</f>
        <v>Sales</v>
      </c>
    </row>
    <row r="616" spans="1:6" x14ac:dyDescent="0.3">
      <c r="A616" t="s">
        <v>665</v>
      </c>
      <c r="B616">
        <f>VLOOKUP('Employee Details'!A616,'Remote work mental helath'!$A$2:$T$1001,2,)</f>
        <v>38</v>
      </c>
      <c r="C616" t="str">
        <f t="shared" si="9"/>
        <v>30-39</v>
      </c>
      <c r="D616" t="str">
        <f>VLOOKUP(A616,'Remote work mental helath'!$A$2:$T$1001,3,)</f>
        <v>Prefer not to say</v>
      </c>
      <c r="E616" t="str">
        <f>VLOOKUP(A616,'Remote work mental helath'!$A$2:$T$1001,20,)</f>
        <v>Asia</v>
      </c>
      <c r="F616" t="str">
        <f>VLOOKUP(A616,'Remote work mental helath'!$A$2:$T$1001,4,)</f>
        <v>Sales</v>
      </c>
    </row>
    <row r="617" spans="1:6" x14ac:dyDescent="0.3">
      <c r="A617" t="s">
        <v>666</v>
      </c>
      <c r="B617">
        <f>VLOOKUP('Employee Details'!A617,'Remote work mental helath'!$A$2:$T$1001,2,)</f>
        <v>50</v>
      </c>
      <c r="C617" t="str">
        <f t="shared" si="9"/>
        <v>50+</v>
      </c>
      <c r="D617" t="str">
        <f>VLOOKUP(A617,'Remote work mental helath'!$A$2:$T$1001,3,)</f>
        <v>Non-binary</v>
      </c>
      <c r="E617" t="str">
        <f>VLOOKUP(A617,'Remote work mental helath'!$A$2:$T$1001,20,)</f>
        <v>Europe</v>
      </c>
      <c r="F617" t="str">
        <f>VLOOKUP(A617,'Remote work mental helath'!$A$2:$T$1001,4,)</f>
        <v>Sales</v>
      </c>
    </row>
    <row r="618" spans="1:6" x14ac:dyDescent="0.3">
      <c r="A618" t="s">
        <v>667</v>
      </c>
      <c r="B618">
        <f>VLOOKUP('Employee Details'!A618,'Remote work mental helath'!$A$2:$T$1001,2,)</f>
        <v>38</v>
      </c>
      <c r="C618" t="str">
        <f t="shared" si="9"/>
        <v>30-39</v>
      </c>
      <c r="D618" t="str">
        <f>VLOOKUP(A618,'Remote work mental helath'!$A$2:$T$1001,3,)</f>
        <v>Male</v>
      </c>
      <c r="E618" t="str">
        <f>VLOOKUP(A618,'Remote work mental helath'!$A$2:$T$1001,20,)</f>
        <v>Asia</v>
      </c>
      <c r="F618" t="str">
        <f>VLOOKUP(A618,'Remote work mental helath'!$A$2:$T$1001,4,)</f>
        <v>Marketing</v>
      </c>
    </row>
    <row r="619" spans="1:6" x14ac:dyDescent="0.3">
      <c r="A619" t="s">
        <v>668</v>
      </c>
      <c r="B619">
        <f>VLOOKUP('Employee Details'!A619,'Remote work mental helath'!$A$2:$T$1001,2,)</f>
        <v>56</v>
      </c>
      <c r="C619" t="str">
        <f t="shared" si="9"/>
        <v>50+</v>
      </c>
      <c r="D619" t="str">
        <f>VLOOKUP(A619,'Remote work mental helath'!$A$2:$T$1001,3,)</f>
        <v>Male</v>
      </c>
      <c r="E619" t="str">
        <f>VLOOKUP(A619,'Remote work mental helath'!$A$2:$T$1001,20,)</f>
        <v>Oceania</v>
      </c>
      <c r="F619" t="str">
        <f>VLOOKUP(A619,'Remote work mental helath'!$A$2:$T$1001,4,)</f>
        <v>Sales</v>
      </c>
    </row>
    <row r="620" spans="1:6" x14ac:dyDescent="0.3">
      <c r="A620" t="s">
        <v>669</v>
      </c>
      <c r="B620">
        <f>VLOOKUP('Employee Details'!A620,'Remote work mental helath'!$A$2:$T$1001,2,)</f>
        <v>54</v>
      </c>
      <c r="C620" t="str">
        <f t="shared" si="9"/>
        <v>50+</v>
      </c>
      <c r="D620" t="str">
        <f>VLOOKUP(A620,'Remote work mental helath'!$A$2:$T$1001,3,)</f>
        <v>Non-binary</v>
      </c>
      <c r="E620" t="str">
        <f>VLOOKUP(A620,'Remote work mental helath'!$A$2:$T$1001,20,)</f>
        <v>South America</v>
      </c>
      <c r="F620" t="str">
        <f>VLOOKUP(A620,'Remote work mental helath'!$A$2:$T$1001,4,)</f>
        <v>Software Engineer</v>
      </c>
    </row>
    <row r="621" spans="1:6" x14ac:dyDescent="0.3">
      <c r="A621" t="s">
        <v>670</v>
      </c>
      <c r="B621">
        <f>VLOOKUP('Employee Details'!A621,'Remote work mental helath'!$A$2:$T$1001,2,)</f>
        <v>27</v>
      </c>
      <c r="C621" t="str">
        <f t="shared" si="9"/>
        <v>20-29</v>
      </c>
      <c r="D621" t="str">
        <f>VLOOKUP(A621,'Remote work mental helath'!$A$2:$T$1001,3,)</f>
        <v>Prefer not to say</v>
      </c>
      <c r="E621" t="str">
        <f>VLOOKUP(A621,'Remote work mental helath'!$A$2:$T$1001,20,)</f>
        <v>North America</v>
      </c>
      <c r="F621" t="str">
        <f>VLOOKUP(A621,'Remote work mental helath'!$A$2:$T$1001,4,)</f>
        <v>HR</v>
      </c>
    </row>
    <row r="622" spans="1:6" x14ac:dyDescent="0.3">
      <c r="A622" t="s">
        <v>671</v>
      </c>
      <c r="B622">
        <f>VLOOKUP('Employee Details'!A622,'Remote work mental helath'!$A$2:$T$1001,2,)</f>
        <v>29</v>
      </c>
      <c r="C622" t="str">
        <f t="shared" si="9"/>
        <v>20-29</v>
      </c>
      <c r="D622" t="str">
        <f>VLOOKUP(A622,'Remote work mental helath'!$A$2:$T$1001,3,)</f>
        <v>Non-binary</v>
      </c>
      <c r="E622" t="str">
        <f>VLOOKUP(A622,'Remote work mental helath'!$A$2:$T$1001,20,)</f>
        <v>Africa</v>
      </c>
      <c r="F622" t="str">
        <f>VLOOKUP(A622,'Remote work mental helath'!$A$2:$T$1001,4,)</f>
        <v>Software Engineer</v>
      </c>
    </row>
    <row r="623" spans="1:6" x14ac:dyDescent="0.3">
      <c r="A623" t="s">
        <v>672</v>
      </c>
      <c r="B623">
        <f>VLOOKUP('Employee Details'!A623,'Remote work mental helath'!$A$2:$T$1001,2,)</f>
        <v>34</v>
      </c>
      <c r="C623" t="str">
        <f t="shared" si="9"/>
        <v>30-39</v>
      </c>
      <c r="D623" t="str">
        <f>VLOOKUP(A623,'Remote work mental helath'!$A$2:$T$1001,3,)</f>
        <v>Non-binary</v>
      </c>
      <c r="E623" t="str">
        <f>VLOOKUP(A623,'Remote work mental helath'!$A$2:$T$1001,20,)</f>
        <v>Oceania</v>
      </c>
      <c r="F623" t="str">
        <f>VLOOKUP(A623,'Remote work mental helath'!$A$2:$T$1001,4,)</f>
        <v>Project Manager</v>
      </c>
    </row>
    <row r="624" spans="1:6" x14ac:dyDescent="0.3">
      <c r="A624" t="s">
        <v>673</v>
      </c>
      <c r="B624">
        <f>VLOOKUP('Employee Details'!A624,'Remote work mental helath'!$A$2:$T$1001,2,)</f>
        <v>25</v>
      </c>
      <c r="C624" t="str">
        <f t="shared" si="9"/>
        <v>20-29</v>
      </c>
      <c r="D624" t="str">
        <f>VLOOKUP(A624,'Remote work mental helath'!$A$2:$T$1001,3,)</f>
        <v>Prefer not to say</v>
      </c>
      <c r="E624" t="str">
        <f>VLOOKUP(A624,'Remote work mental helath'!$A$2:$T$1001,20,)</f>
        <v>South America</v>
      </c>
      <c r="F624" t="str">
        <f>VLOOKUP(A624,'Remote work mental helath'!$A$2:$T$1001,4,)</f>
        <v>Designer</v>
      </c>
    </row>
    <row r="625" spans="1:6" x14ac:dyDescent="0.3">
      <c r="A625" t="s">
        <v>674</v>
      </c>
      <c r="B625">
        <f>VLOOKUP('Employee Details'!A625,'Remote work mental helath'!$A$2:$T$1001,2,)</f>
        <v>35</v>
      </c>
      <c r="C625" t="str">
        <f t="shared" si="9"/>
        <v>30-39</v>
      </c>
      <c r="D625" t="str">
        <f>VLOOKUP(A625,'Remote work mental helath'!$A$2:$T$1001,3,)</f>
        <v>Male</v>
      </c>
      <c r="E625" t="str">
        <f>VLOOKUP(A625,'Remote work mental helath'!$A$2:$T$1001,20,)</f>
        <v>South America</v>
      </c>
      <c r="F625" t="str">
        <f>VLOOKUP(A625,'Remote work mental helath'!$A$2:$T$1001,4,)</f>
        <v>Designer</v>
      </c>
    </row>
    <row r="626" spans="1:6" x14ac:dyDescent="0.3">
      <c r="A626" t="s">
        <v>675</v>
      </c>
      <c r="B626">
        <f>VLOOKUP('Employee Details'!A626,'Remote work mental helath'!$A$2:$T$1001,2,)</f>
        <v>48</v>
      </c>
      <c r="C626" t="str">
        <f t="shared" si="9"/>
        <v>40-49</v>
      </c>
      <c r="D626" t="str">
        <f>VLOOKUP(A626,'Remote work mental helath'!$A$2:$T$1001,3,)</f>
        <v>Female</v>
      </c>
      <c r="E626" t="str">
        <f>VLOOKUP(A626,'Remote work mental helath'!$A$2:$T$1001,20,)</f>
        <v>Europe</v>
      </c>
      <c r="F626" t="str">
        <f>VLOOKUP(A626,'Remote work mental helath'!$A$2:$T$1001,4,)</f>
        <v>HR</v>
      </c>
    </row>
    <row r="627" spans="1:6" x14ac:dyDescent="0.3">
      <c r="A627" t="s">
        <v>676</v>
      </c>
      <c r="B627">
        <f>VLOOKUP('Employee Details'!A627,'Remote work mental helath'!$A$2:$T$1001,2,)</f>
        <v>28</v>
      </c>
      <c r="C627" t="str">
        <f t="shared" si="9"/>
        <v>20-29</v>
      </c>
      <c r="D627" t="str">
        <f>VLOOKUP(A627,'Remote work mental helath'!$A$2:$T$1001,3,)</f>
        <v>Female</v>
      </c>
      <c r="E627" t="str">
        <f>VLOOKUP(A627,'Remote work mental helath'!$A$2:$T$1001,20,)</f>
        <v>Oceania</v>
      </c>
      <c r="F627" t="str">
        <f>VLOOKUP(A627,'Remote work mental helath'!$A$2:$T$1001,4,)</f>
        <v>Project Manager</v>
      </c>
    </row>
    <row r="628" spans="1:6" x14ac:dyDescent="0.3">
      <c r="A628" t="s">
        <v>677</v>
      </c>
      <c r="B628">
        <f>VLOOKUP('Employee Details'!A628,'Remote work mental helath'!$A$2:$T$1001,2,)</f>
        <v>23</v>
      </c>
      <c r="C628" t="str">
        <f t="shared" si="9"/>
        <v>20-29</v>
      </c>
      <c r="D628" t="str">
        <f>VLOOKUP(A628,'Remote work mental helath'!$A$2:$T$1001,3,)</f>
        <v>Non-binary</v>
      </c>
      <c r="E628" t="str">
        <f>VLOOKUP(A628,'Remote work mental helath'!$A$2:$T$1001,20,)</f>
        <v>Asia</v>
      </c>
      <c r="F628" t="str">
        <f>VLOOKUP(A628,'Remote work mental helath'!$A$2:$T$1001,4,)</f>
        <v>Software Engineer</v>
      </c>
    </row>
    <row r="629" spans="1:6" x14ac:dyDescent="0.3">
      <c r="A629" t="s">
        <v>678</v>
      </c>
      <c r="B629">
        <f>VLOOKUP('Employee Details'!A629,'Remote work mental helath'!$A$2:$T$1001,2,)</f>
        <v>34</v>
      </c>
      <c r="C629" t="str">
        <f t="shared" si="9"/>
        <v>30-39</v>
      </c>
      <c r="D629" t="str">
        <f>VLOOKUP(A629,'Remote work mental helath'!$A$2:$T$1001,3,)</f>
        <v>Non-binary</v>
      </c>
      <c r="E629" t="str">
        <f>VLOOKUP(A629,'Remote work mental helath'!$A$2:$T$1001,20,)</f>
        <v>Africa</v>
      </c>
      <c r="F629" t="str">
        <f>VLOOKUP(A629,'Remote work mental helath'!$A$2:$T$1001,4,)</f>
        <v>Marketing</v>
      </c>
    </row>
    <row r="630" spans="1:6" x14ac:dyDescent="0.3">
      <c r="A630" t="s">
        <v>679</v>
      </c>
      <c r="B630">
        <f>VLOOKUP('Employee Details'!A630,'Remote work mental helath'!$A$2:$T$1001,2,)</f>
        <v>53</v>
      </c>
      <c r="C630" t="str">
        <f t="shared" si="9"/>
        <v>50+</v>
      </c>
      <c r="D630" t="str">
        <f>VLOOKUP(A630,'Remote work mental helath'!$A$2:$T$1001,3,)</f>
        <v>Prefer not to say</v>
      </c>
      <c r="E630" t="str">
        <f>VLOOKUP(A630,'Remote work mental helath'!$A$2:$T$1001,20,)</f>
        <v>Oceania</v>
      </c>
      <c r="F630" t="str">
        <f>VLOOKUP(A630,'Remote work mental helath'!$A$2:$T$1001,4,)</f>
        <v>Data Scientist</v>
      </c>
    </row>
    <row r="631" spans="1:6" x14ac:dyDescent="0.3">
      <c r="A631" t="s">
        <v>680</v>
      </c>
      <c r="B631">
        <f>VLOOKUP('Employee Details'!A631,'Remote work mental helath'!$A$2:$T$1001,2,)</f>
        <v>52</v>
      </c>
      <c r="C631" t="str">
        <f t="shared" si="9"/>
        <v>50+</v>
      </c>
      <c r="D631" t="str">
        <f>VLOOKUP(A631,'Remote work mental helath'!$A$2:$T$1001,3,)</f>
        <v>Prefer not to say</v>
      </c>
      <c r="E631" t="str">
        <f>VLOOKUP(A631,'Remote work mental helath'!$A$2:$T$1001,20,)</f>
        <v>North America</v>
      </c>
      <c r="F631" t="str">
        <f>VLOOKUP(A631,'Remote work mental helath'!$A$2:$T$1001,4,)</f>
        <v>Designer</v>
      </c>
    </row>
    <row r="632" spans="1:6" x14ac:dyDescent="0.3">
      <c r="A632" t="s">
        <v>681</v>
      </c>
      <c r="B632">
        <f>VLOOKUP('Employee Details'!A632,'Remote work mental helath'!$A$2:$T$1001,2,)</f>
        <v>29</v>
      </c>
      <c r="C632" t="str">
        <f t="shared" si="9"/>
        <v>20-29</v>
      </c>
      <c r="D632" t="str">
        <f>VLOOKUP(A632,'Remote work mental helath'!$A$2:$T$1001,3,)</f>
        <v>Male</v>
      </c>
      <c r="E632" t="str">
        <f>VLOOKUP(A632,'Remote work mental helath'!$A$2:$T$1001,20,)</f>
        <v>Asia</v>
      </c>
      <c r="F632" t="str">
        <f>VLOOKUP(A632,'Remote work mental helath'!$A$2:$T$1001,4,)</f>
        <v>Project Manager</v>
      </c>
    </row>
    <row r="633" spans="1:6" x14ac:dyDescent="0.3">
      <c r="A633" t="s">
        <v>682</v>
      </c>
      <c r="B633">
        <f>VLOOKUP('Employee Details'!A633,'Remote work mental helath'!$A$2:$T$1001,2,)</f>
        <v>53</v>
      </c>
      <c r="C633" t="str">
        <f t="shared" si="9"/>
        <v>50+</v>
      </c>
      <c r="D633" t="str">
        <f>VLOOKUP(A633,'Remote work mental helath'!$A$2:$T$1001,3,)</f>
        <v>Female</v>
      </c>
      <c r="E633" t="str">
        <f>VLOOKUP(A633,'Remote work mental helath'!$A$2:$T$1001,20,)</f>
        <v>North America</v>
      </c>
      <c r="F633" t="str">
        <f>VLOOKUP(A633,'Remote work mental helath'!$A$2:$T$1001,4,)</f>
        <v>Designer</v>
      </c>
    </row>
    <row r="634" spans="1:6" x14ac:dyDescent="0.3">
      <c r="A634" t="s">
        <v>683</v>
      </c>
      <c r="B634">
        <f>VLOOKUP('Employee Details'!A634,'Remote work mental helath'!$A$2:$T$1001,2,)</f>
        <v>42</v>
      </c>
      <c r="C634" t="str">
        <f t="shared" si="9"/>
        <v>40-49</v>
      </c>
      <c r="D634" t="str">
        <f>VLOOKUP(A634,'Remote work mental helath'!$A$2:$T$1001,3,)</f>
        <v>Male</v>
      </c>
      <c r="E634" t="str">
        <f>VLOOKUP(A634,'Remote work mental helath'!$A$2:$T$1001,20,)</f>
        <v>North America</v>
      </c>
      <c r="F634" t="str">
        <f>VLOOKUP(A634,'Remote work mental helath'!$A$2:$T$1001,4,)</f>
        <v>Sales</v>
      </c>
    </row>
    <row r="635" spans="1:6" x14ac:dyDescent="0.3">
      <c r="A635" t="s">
        <v>684</v>
      </c>
      <c r="B635">
        <f>VLOOKUP('Employee Details'!A635,'Remote work mental helath'!$A$2:$T$1001,2,)</f>
        <v>35</v>
      </c>
      <c r="C635" t="str">
        <f t="shared" si="9"/>
        <v>30-39</v>
      </c>
      <c r="D635" t="str">
        <f>VLOOKUP(A635,'Remote work mental helath'!$A$2:$T$1001,3,)</f>
        <v>Male</v>
      </c>
      <c r="E635" t="str">
        <f>VLOOKUP(A635,'Remote work mental helath'!$A$2:$T$1001,20,)</f>
        <v>Oceania</v>
      </c>
      <c r="F635" t="str">
        <f>VLOOKUP(A635,'Remote work mental helath'!$A$2:$T$1001,4,)</f>
        <v>Marketing</v>
      </c>
    </row>
    <row r="636" spans="1:6" x14ac:dyDescent="0.3">
      <c r="A636" t="s">
        <v>685</v>
      </c>
      <c r="B636">
        <f>VLOOKUP('Employee Details'!A636,'Remote work mental helath'!$A$2:$T$1001,2,)</f>
        <v>42</v>
      </c>
      <c r="C636" t="str">
        <f t="shared" si="9"/>
        <v>40-49</v>
      </c>
      <c r="D636" t="str">
        <f>VLOOKUP(A636,'Remote work mental helath'!$A$2:$T$1001,3,)</f>
        <v>Non-binary</v>
      </c>
      <c r="E636" t="str">
        <f>VLOOKUP(A636,'Remote work mental helath'!$A$2:$T$1001,20,)</f>
        <v>Asia</v>
      </c>
      <c r="F636" t="str">
        <f>VLOOKUP(A636,'Remote work mental helath'!$A$2:$T$1001,4,)</f>
        <v>Project Manager</v>
      </c>
    </row>
    <row r="637" spans="1:6" x14ac:dyDescent="0.3">
      <c r="A637" t="s">
        <v>686</v>
      </c>
      <c r="B637">
        <f>VLOOKUP('Employee Details'!A637,'Remote work mental helath'!$A$2:$T$1001,2,)</f>
        <v>45</v>
      </c>
      <c r="C637" t="str">
        <f t="shared" si="9"/>
        <v>40-49</v>
      </c>
      <c r="D637" t="str">
        <f>VLOOKUP(A637,'Remote work mental helath'!$A$2:$T$1001,3,)</f>
        <v>Male</v>
      </c>
      <c r="E637" t="str">
        <f>VLOOKUP(A637,'Remote work mental helath'!$A$2:$T$1001,20,)</f>
        <v>Africa</v>
      </c>
      <c r="F637" t="str">
        <f>VLOOKUP(A637,'Remote work mental helath'!$A$2:$T$1001,4,)</f>
        <v>Software Engineer</v>
      </c>
    </row>
    <row r="638" spans="1:6" x14ac:dyDescent="0.3">
      <c r="A638" t="s">
        <v>687</v>
      </c>
      <c r="B638">
        <f>VLOOKUP('Employee Details'!A638,'Remote work mental helath'!$A$2:$T$1001,2,)</f>
        <v>24</v>
      </c>
      <c r="C638" t="str">
        <f t="shared" si="9"/>
        <v>20-29</v>
      </c>
      <c r="D638" t="str">
        <f>VLOOKUP(A638,'Remote work mental helath'!$A$2:$T$1001,3,)</f>
        <v>Male</v>
      </c>
      <c r="E638" t="str">
        <f>VLOOKUP(A638,'Remote work mental helath'!$A$2:$T$1001,20,)</f>
        <v>Asia</v>
      </c>
      <c r="F638" t="str">
        <f>VLOOKUP(A638,'Remote work mental helath'!$A$2:$T$1001,4,)</f>
        <v>Sales</v>
      </c>
    </row>
    <row r="639" spans="1:6" x14ac:dyDescent="0.3">
      <c r="A639" t="s">
        <v>688</v>
      </c>
      <c r="B639">
        <f>VLOOKUP('Employee Details'!A639,'Remote work mental helath'!$A$2:$T$1001,2,)</f>
        <v>40</v>
      </c>
      <c r="C639" t="str">
        <f t="shared" si="9"/>
        <v>40-49</v>
      </c>
      <c r="D639" t="str">
        <f>VLOOKUP(A639,'Remote work mental helath'!$A$2:$T$1001,3,)</f>
        <v>Female</v>
      </c>
      <c r="E639" t="str">
        <f>VLOOKUP(A639,'Remote work mental helath'!$A$2:$T$1001,20,)</f>
        <v>Europe</v>
      </c>
      <c r="F639" t="str">
        <f>VLOOKUP(A639,'Remote work mental helath'!$A$2:$T$1001,4,)</f>
        <v>Software Engineer</v>
      </c>
    </row>
    <row r="640" spans="1:6" x14ac:dyDescent="0.3">
      <c r="A640" t="s">
        <v>689</v>
      </c>
      <c r="B640">
        <f>VLOOKUP('Employee Details'!A640,'Remote work mental helath'!$A$2:$T$1001,2,)</f>
        <v>52</v>
      </c>
      <c r="C640" t="str">
        <f t="shared" si="9"/>
        <v>50+</v>
      </c>
      <c r="D640" t="str">
        <f>VLOOKUP(A640,'Remote work mental helath'!$A$2:$T$1001,3,)</f>
        <v>Non-binary</v>
      </c>
      <c r="E640" t="str">
        <f>VLOOKUP(A640,'Remote work mental helath'!$A$2:$T$1001,20,)</f>
        <v>Africa</v>
      </c>
      <c r="F640" t="str">
        <f>VLOOKUP(A640,'Remote work mental helath'!$A$2:$T$1001,4,)</f>
        <v>Software Engineer</v>
      </c>
    </row>
    <row r="641" spans="1:6" x14ac:dyDescent="0.3">
      <c r="A641" t="s">
        <v>690</v>
      </c>
      <c r="B641">
        <f>VLOOKUP('Employee Details'!A641,'Remote work mental helath'!$A$2:$T$1001,2,)</f>
        <v>55</v>
      </c>
      <c r="C641" t="str">
        <f t="shared" si="9"/>
        <v>50+</v>
      </c>
      <c r="D641" t="str">
        <f>VLOOKUP(A641,'Remote work mental helath'!$A$2:$T$1001,3,)</f>
        <v>Male</v>
      </c>
      <c r="E641" t="str">
        <f>VLOOKUP(A641,'Remote work mental helath'!$A$2:$T$1001,20,)</f>
        <v>North America</v>
      </c>
      <c r="F641" t="str">
        <f>VLOOKUP(A641,'Remote work mental helath'!$A$2:$T$1001,4,)</f>
        <v>Sales</v>
      </c>
    </row>
    <row r="642" spans="1:6" x14ac:dyDescent="0.3">
      <c r="A642" t="s">
        <v>691</v>
      </c>
      <c r="B642">
        <f>VLOOKUP('Employee Details'!A642,'Remote work mental helath'!$A$2:$T$1001,2,)</f>
        <v>38</v>
      </c>
      <c r="C642" t="str">
        <f t="shared" si="9"/>
        <v>30-39</v>
      </c>
      <c r="D642" t="str">
        <f>VLOOKUP(A642,'Remote work mental helath'!$A$2:$T$1001,3,)</f>
        <v>Non-binary</v>
      </c>
      <c r="E642" t="str">
        <f>VLOOKUP(A642,'Remote work mental helath'!$A$2:$T$1001,20,)</f>
        <v>North America</v>
      </c>
      <c r="F642" t="str">
        <f>VLOOKUP(A642,'Remote work mental helath'!$A$2:$T$1001,4,)</f>
        <v>Data Scientist</v>
      </c>
    </row>
    <row r="643" spans="1:6" x14ac:dyDescent="0.3">
      <c r="A643" t="s">
        <v>692</v>
      </c>
      <c r="B643">
        <f>VLOOKUP('Employee Details'!A643,'Remote work mental helath'!$A$2:$T$1001,2,)</f>
        <v>50</v>
      </c>
      <c r="C643" t="str">
        <f t="shared" ref="C643:C706" si="10">IF(B643&lt;30,"20-29",IF(B643&lt;40,"30-39",IF(B643&lt;50,"40-49","50+")))</f>
        <v>50+</v>
      </c>
      <c r="D643" t="str">
        <f>VLOOKUP(A643,'Remote work mental helath'!$A$2:$T$1001,3,)</f>
        <v>Male</v>
      </c>
      <c r="E643" t="str">
        <f>VLOOKUP(A643,'Remote work mental helath'!$A$2:$T$1001,20,)</f>
        <v>North America</v>
      </c>
      <c r="F643" t="str">
        <f>VLOOKUP(A643,'Remote work mental helath'!$A$2:$T$1001,4,)</f>
        <v>Designer</v>
      </c>
    </row>
    <row r="644" spans="1:6" x14ac:dyDescent="0.3">
      <c r="A644" t="s">
        <v>693</v>
      </c>
      <c r="B644">
        <f>VLOOKUP('Employee Details'!A644,'Remote work mental helath'!$A$2:$T$1001,2,)</f>
        <v>36</v>
      </c>
      <c r="C644" t="str">
        <f t="shared" si="10"/>
        <v>30-39</v>
      </c>
      <c r="D644" t="str">
        <f>VLOOKUP(A644,'Remote work mental helath'!$A$2:$T$1001,3,)</f>
        <v>Male</v>
      </c>
      <c r="E644" t="str">
        <f>VLOOKUP(A644,'Remote work mental helath'!$A$2:$T$1001,20,)</f>
        <v>Oceania</v>
      </c>
      <c r="F644" t="str">
        <f>VLOOKUP(A644,'Remote work mental helath'!$A$2:$T$1001,4,)</f>
        <v>Marketing</v>
      </c>
    </row>
    <row r="645" spans="1:6" x14ac:dyDescent="0.3">
      <c r="A645" t="s">
        <v>694</v>
      </c>
      <c r="B645">
        <f>VLOOKUP('Employee Details'!A645,'Remote work mental helath'!$A$2:$T$1001,2,)</f>
        <v>36</v>
      </c>
      <c r="C645" t="str">
        <f t="shared" si="10"/>
        <v>30-39</v>
      </c>
      <c r="D645" t="str">
        <f>VLOOKUP(A645,'Remote work mental helath'!$A$2:$T$1001,3,)</f>
        <v>Female</v>
      </c>
      <c r="E645" t="str">
        <f>VLOOKUP(A645,'Remote work mental helath'!$A$2:$T$1001,20,)</f>
        <v>Europe</v>
      </c>
      <c r="F645" t="str">
        <f>VLOOKUP(A645,'Remote work mental helath'!$A$2:$T$1001,4,)</f>
        <v>Project Manager</v>
      </c>
    </row>
    <row r="646" spans="1:6" x14ac:dyDescent="0.3">
      <c r="A646" t="s">
        <v>695</v>
      </c>
      <c r="B646">
        <f>VLOOKUP('Employee Details'!A646,'Remote work mental helath'!$A$2:$T$1001,2,)</f>
        <v>34</v>
      </c>
      <c r="C646" t="str">
        <f t="shared" si="10"/>
        <v>30-39</v>
      </c>
      <c r="D646" t="str">
        <f>VLOOKUP(A646,'Remote work mental helath'!$A$2:$T$1001,3,)</f>
        <v>Male</v>
      </c>
      <c r="E646" t="str">
        <f>VLOOKUP(A646,'Remote work mental helath'!$A$2:$T$1001,20,)</f>
        <v>Oceania</v>
      </c>
      <c r="F646" t="str">
        <f>VLOOKUP(A646,'Remote work mental helath'!$A$2:$T$1001,4,)</f>
        <v>Sales</v>
      </c>
    </row>
    <row r="647" spans="1:6" x14ac:dyDescent="0.3">
      <c r="A647" t="s">
        <v>696</v>
      </c>
      <c r="B647">
        <f>VLOOKUP('Employee Details'!A647,'Remote work mental helath'!$A$2:$T$1001,2,)</f>
        <v>55</v>
      </c>
      <c r="C647" t="str">
        <f t="shared" si="10"/>
        <v>50+</v>
      </c>
      <c r="D647" t="str">
        <f>VLOOKUP(A647,'Remote work mental helath'!$A$2:$T$1001,3,)</f>
        <v>Male</v>
      </c>
      <c r="E647" t="str">
        <f>VLOOKUP(A647,'Remote work mental helath'!$A$2:$T$1001,20,)</f>
        <v>South America</v>
      </c>
      <c r="F647" t="str">
        <f>VLOOKUP(A647,'Remote work mental helath'!$A$2:$T$1001,4,)</f>
        <v>Designer</v>
      </c>
    </row>
    <row r="648" spans="1:6" x14ac:dyDescent="0.3">
      <c r="A648" t="s">
        <v>697</v>
      </c>
      <c r="B648">
        <f>VLOOKUP('Employee Details'!A648,'Remote work mental helath'!$A$2:$T$1001,2,)</f>
        <v>37</v>
      </c>
      <c r="C648" t="str">
        <f t="shared" si="10"/>
        <v>30-39</v>
      </c>
      <c r="D648" t="str">
        <f>VLOOKUP(A648,'Remote work mental helath'!$A$2:$T$1001,3,)</f>
        <v>Prefer not to say</v>
      </c>
      <c r="E648" t="str">
        <f>VLOOKUP(A648,'Remote work mental helath'!$A$2:$T$1001,20,)</f>
        <v>North America</v>
      </c>
      <c r="F648" t="str">
        <f>VLOOKUP(A648,'Remote work mental helath'!$A$2:$T$1001,4,)</f>
        <v>HR</v>
      </c>
    </row>
    <row r="649" spans="1:6" x14ac:dyDescent="0.3">
      <c r="A649" t="s">
        <v>698</v>
      </c>
      <c r="B649">
        <f>VLOOKUP('Employee Details'!A649,'Remote work mental helath'!$A$2:$T$1001,2,)</f>
        <v>39</v>
      </c>
      <c r="C649" t="str">
        <f t="shared" si="10"/>
        <v>30-39</v>
      </c>
      <c r="D649" t="str">
        <f>VLOOKUP(A649,'Remote work mental helath'!$A$2:$T$1001,3,)</f>
        <v>Female</v>
      </c>
      <c r="E649" t="str">
        <f>VLOOKUP(A649,'Remote work mental helath'!$A$2:$T$1001,20,)</f>
        <v>North America</v>
      </c>
      <c r="F649" t="str">
        <f>VLOOKUP(A649,'Remote work mental helath'!$A$2:$T$1001,4,)</f>
        <v>Designer</v>
      </c>
    </row>
    <row r="650" spans="1:6" x14ac:dyDescent="0.3">
      <c r="A650" t="s">
        <v>699</v>
      </c>
      <c r="B650">
        <f>VLOOKUP('Employee Details'!A650,'Remote work mental helath'!$A$2:$T$1001,2,)</f>
        <v>41</v>
      </c>
      <c r="C650" t="str">
        <f t="shared" si="10"/>
        <v>40-49</v>
      </c>
      <c r="D650" t="str">
        <f>VLOOKUP(A650,'Remote work mental helath'!$A$2:$T$1001,3,)</f>
        <v>Female</v>
      </c>
      <c r="E650" t="str">
        <f>VLOOKUP(A650,'Remote work mental helath'!$A$2:$T$1001,20,)</f>
        <v>Asia</v>
      </c>
      <c r="F650" t="str">
        <f>VLOOKUP(A650,'Remote work mental helath'!$A$2:$T$1001,4,)</f>
        <v>Marketing</v>
      </c>
    </row>
    <row r="651" spans="1:6" x14ac:dyDescent="0.3">
      <c r="A651" t="s">
        <v>700</v>
      </c>
      <c r="B651">
        <f>VLOOKUP('Employee Details'!A651,'Remote work mental helath'!$A$2:$T$1001,2,)</f>
        <v>58</v>
      </c>
      <c r="C651" t="str">
        <f t="shared" si="10"/>
        <v>50+</v>
      </c>
      <c r="D651" t="str">
        <f>VLOOKUP(A651,'Remote work mental helath'!$A$2:$T$1001,3,)</f>
        <v>Male</v>
      </c>
      <c r="E651" t="str">
        <f>VLOOKUP(A651,'Remote work mental helath'!$A$2:$T$1001,20,)</f>
        <v>Asia</v>
      </c>
      <c r="F651" t="str">
        <f>VLOOKUP(A651,'Remote work mental helath'!$A$2:$T$1001,4,)</f>
        <v>Sales</v>
      </c>
    </row>
    <row r="652" spans="1:6" x14ac:dyDescent="0.3">
      <c r="A652" t="s">
        <v>701</v>
      </c>
      <c r="B652">
        <f>VLOOKUP('Employee Details'!A652,'Remote work mental helath'!$A$2:$T$1001,2,)</f>
        <v>25</v>
      </c>
      <c r="C652" t="str">
        <f t="shared" si="10"/>
        <v>20-29</v>
      </c>
      <c r="D652" t="str">
        <f>VLOOKUP(A652,'Remote work mental helath'!$A$2:$T$1001,3,)</f>
        <v>Female</v>
      </c>
      <c r="E652" t="str">
        <f>VLOOKUP(A652,'Remote work mental helath'!$A$2:$T$1001,20,)</f>
        <v>Africa</v>
      </c>
      <c r="F652" t="str">
        <f>VLOOKUP(A652,'Remote work mental helath'!$A$2:$T$1001,4,)</f>
        <v>Software Engineer</v>
      </c>
    </row>
    <row r="653" spans="1:6" x14ac:dyDescent="0.3">
      <c r="A653" t="s">
        <v>702</v>
      </c>
      <c r="B653">
        <f>VLOOKUP('Employee Details'!A653,'Remote work mental helath'!$A$2:$T$1001,2,)</f>
        <v>26</v>
      </c>
      <c r="C653" t="str">
        <f t="shared" si="10"/>
        <v>20-29</v>
      </c>
      <c r="D653" t="str">
        <f>VLOOKUP(A653,'Remote work mental helath'!$A$2:$T$1001,3,)</f>
        <v>Male</v>
      </c>
      <c r="E653" t="str">
        <f>VLOOKUP(A653,'Remote work mental helath'!$A$2:$T$1001,20,)</f>
        <v>Oceania</v>
      </c>
      <c r="F653" t="str">
        <f>VLOOKUP(A653,'Remote work mental helath'!$A$2:$T$1001,4,)</f>
        <v>HR</v>
      </c>
    </row>
    <row r="654" spans="1:6" x14ac:dyDescent="0.3">
      <c r="A654" t="s">
        <v>703</v>
      </c>
      <c r="B654">
        <f>VLOOKUP('Employee Details'!A654,'Remote work mental helath'!$A$2:$T$1001,2,)</f>
        <v>23</v>
      </c>
      <c r="C654" t="str">
        <f t="shared" si="10"/>
        <v>20-29</v>
      </c>
      <c r="D654" t="str">
        <f>VLOOKUP(A654,'Remote work mental helath'!$A$2:$T$1001,3,)</f>
        <v>Male</v>
      </c>
      <c r="E654" t="str">
        <f>VLOOKUP(A654,'Remote work mental helath'!$A$2:$T$1001,20,)</f>
        <v>North America</v>
      </c>
      <c r="F654" t="str">
        <f>VLOOKUP(A654,'Remote work mental helath'!$A$2:$T$1001,4,)</f>
        <v>Project Manager</v>
      </c>
    </row>
    <row r="655" spans="1:6" x14ac:dyDescent="0.3">
      <c r="A655" t="s">
        <v>704</v>
      </c>
      <c r="B655">
        <f>VLOOKUP('Employee Details'!A655,'Remote work mental helath'!$A$2:$T$1001,2,)</f>
        <v>45</v>
      </c>
      <c r="C655" t="str">
        <f t="shared" si="10"/>
        <v>40-49</v>
      </c>
      <c r="D655" t="str">
        <f>VLOOKUP(A655,'Remote work mental helath'!$A$2:$T$1001,3,)</f>
        <v>Male</v>
      </c>
      <c r="E655" t="str">
        <f>VLOOKUP(A655,'Remote work mental helath'!$A$2:$T$1001,20,)</f>
        <v>Europe</v>
      </c>
      <c r="F655" t="str">
        <f>VLOOKUP(A655,'Remote work mental helath'!$A$2:$T$1001,4,)</f>
        <v>Data Scientist</v>
      </c>
    </row>
    <row r="656" spans="1:6" x14ac:dyDescent="0.3">
      <c r="A656" t="s">
        <v>705</v>
      </c>
      <c r="B656">
        <f>VLOOKUP('Employee Details'!A656,'Remote work mental helath'!$A$2:$T$1001,2,)</f>
        <v>55</v>
      </c>
      <c r="C656" t="str">
        <f t="shared" si="10"/>
        <v>50+</v>
      </c>
      <c r="D656" t="str">
        <f>VLOOKUP(A656,'Remote work mental helath'!$A$2:$T$1001,3,)</f>
        <v>Male</v>
      </c>
      <c r="E656" t="str">
        <f>VLOOKUP(A656,'Remote work mental helath'!$A$2:$T$1001,20,)</f>
        <v>Asia</v>
      </c>
      <c r="F656" t="str">
        <f>VLOOKUP(A656,'Remote work mental helath'!$A$2:$T$1001,4,)</f>
        <v>Software Engineer</v>
      </c>
    </row>
    <row r="657" spans="1:6" x14ac:dyDescent="0.3">
      <c r="A657" t="s">
        <v>706</v>
      </c>
      <c r="B657">
        <f>VLOOKUP('Employee Details'!A657,'Remote work mental helath'!$A$2:$T$1001,2,)</f>
        <v>23</v>
      </c>
      <c r="C657" t="str">
        <f t="shared" si="10"/>
        <v>20-29</v>
      </c>
      <c r="D657" t="str">
        <f>VLOOKUP(A657,'Remote work mental helath'!$A$2:$T$1001,3,)</f>
        <v>Male</v>
      </c>
      <c r="E657" t="str">
        <f>VLOOKUP(A657,'Remote work mental helath'!$A$2:$T$1001,20,)</f>
        <v>North America</v>
      </c>
      <c r="F657" t="str">
        <f>VLOOKUP(A657,'Remote work mental helath'!$A$2:$T$1001,4,)</f>
        <v>Designer</v>
      </c>
    </row>
    <row r="658" spans="1:6" x14ac:dyDescent="0.3">
      <c r="A658" t="s">
        <v>707</v>
      </c>
      <c r="B658">
        <f>VLOOKUP('Employee Details'!A658,'Remote work mental helath'!$A$2:$T$1001,2,)</f>
        <v>27</v>
      </c>
      <c r="C658" t="str">
        <f t="shared" si="10"/>
        <v>20-29</v>
      </c>
      <c r="D658" t="str">
        <f>VLOOKUP(A658,'Remote work mental helath'!$A$2:$T$1001,3,)</f>
        <v>Female</v>
      </c>
      <c r="E658" t="str">
        <f>VLOOKUP(A658,'Remote work mental helath'!$A$2:$T$1001,20,)</f>
        <v>Oceania</v>
      </c>
      <c r="F658" t="str">
        <f>VLOOKUP(A658,'Remote work mental helath'!$A$2:$T$1001,4,)</f>
        <v>Software Engineer</v>
      </c>
    </row>
    <row r="659" spans="1:6" x14ac:dyDescent="0.3">
      <c r="A659" t="s">
        <v>708</v>
      </c>
      <c r="B659">
        <f>VLOOKUP('Employee Details'!A659,'Remote work mental helath'!$A$2:$T$1001,2,)</f>
        <v>33</v>
      </c>
      <c r="C659" t="str">
        <f t="shared" si="10"/>
        <v>30-39</v>
      </c>
      <c r="D659" t="str">
        <f>VLOOKUP(A659,'Remote work mental helath'!$A$2:$T$1001,3,)</f>
        <v>Male</v>
      </c>
      <c r="E659" t="str">
        <f>VLOOKUP(A659,'Remote work mental helath'!$A$2:$T$1001,20,)</f>
        <v>Oceania</v>
      </c>
      <c r="F659" t="str">
        <f>VLOOKUP(A659,'Remote work mental helath'!$A$2:$T$1001,4,)</f>
        <v>Marketing</v>
      </c>
    </row>
    <row r="660" spans="1:6" x14ac:dyDescent="0.3">
      <c r="A660" t="s">
        <v>709</v>
      </c>
      <c r="B660">
        <f>VLOOKUP('Employee Details'!A660,'Remote work mental helath'!$A$2:$T$1001,2,)</f>
        <v>54</v>
      </c>
      <c r="C660" t="str">
        <f t="shared" si="10"/>
        <v>50+</v>
      </c>
      <c r="D660" t="str">
        <f>VLOOKUP(A660,'Remote work mental helath'!$A$2:$T$1001,3,)</f>
        <v>Non-binary</v>
      </c>
      <c r="E660" t="str">
        <f>VLOOKUP(A660,'Remote work mental helath'!$A$2:$T$1001,20,)</f>
        <v>Europe</v>
      </c>
      <c r="F660" t="str">
        <f>VLOOKUP(A660,'Remote work mental helath'!$A$2:$T$1001,4,)</f>
        <v>HR</v>
      </c>
    </row>
    <row r="661" spans="1:6" x14ac:dyDescent="0.3">
      <c r="A661" t="s">
        <v>710</v>
      </c>
      <c r="B661">
        <f>VLOOKUP('Employee Details'!A661,'Remote work mental helath'!$A$2:$T$1001,2,)</f>
        <v>47</v>
      </c>
      <c r="C661" t="str">
        <f t="shared" si="10"/>
        <v>40-49</v>
      </c>
      <c r="D661" t="str">
        <f>VLOOKUP(A661,'Remote work mental helath'!$A$2:$T$1001,3,)</f>
        <v>Non-binary</v>
      </c>
      <c r="E661" t="str">
        <f>VLOOKUP(A661,'Remote work mental helath'!$A$2:$T$1001,20,)</f>
        <v>Europe</v>
      </c>
      <c r="F661" t="str">
        <f>VLOOKUP(A661,'Remote work mental helath'!$A$2:$T$1001,4,)</f>
        <v>Software Engineer</v>
      </c>
    </row>
    <row r="662" spans="1:6" x14ac:dyDescent="0.3">
      <c r="A662" t="s">
        <v>711</v>
      </c>
      <c r="B662">
        <f>VLOOKUP('Employee Details'!A662,'Remote work mental helath'!$A$2:$T$1001,2,)</f>
        <v>48</v>
      </c>
      <c r="C662" t="str">
        <f t="shared" si="10"/>
        <v>40-49</v>
      </c>
      <c r="D662" t="str">
        <f>VLOOKUP(A662,'Remote work mental helath'!$A$2:$T$1001,3,)</f>
        <v>Prefer not to say</v>
      </c>
      <c r="E662" t="str">
        <f>VLOOKUP(A662,'Remote work mental helath'!$A$2:$T$1001,20,)</f>
        <v>Africa</v>
      </c>
      <c r="F662" t="str">
        <f>VLOOKUP(A662,'Remote work mental helath'!$A$2:$T$1001,4,)</f>
        <v>Software Engineer</v>
      </c>
    </row>
    <row r="663" spans="1:6" x14ac:dyDescent="0.3">
      <c r="A663" t="s">
        <v>712</v>
      </c>
      <c r="B663">
        <f>VLOOKUP('Employee Details'!A663,'Remote work mental helath'!$A$2:$T$1001,2,)</f>
        <v>35</v>
      </c>
      <c r="C663" t="str">
        <f t="shared" si="10"/>
        <v>30-39</v>
      </c>
      <c r="D663" t="str">
        <f>VLOOKUP(A663,'Remote work mental helath'!$A$2:$T$1001,3,)</f>
        <v>Female</v>
      </c>
      <c r="E663" t="str">
        <f>VLOOKUP(A663,'Remote work mental helath'!$A$2:$T$1001,20,)</f>
        <v>Asia</v>
      </c>
      <c r="F663" t="str">
        <f>VLOOKUP(A663,'Remote work mental helath'!$A$2:$T$1001,4,)</f>
        <v>Designer</v>
      </c>
    </row>
    <row r="664" spans="1:6" x14ac:dyDescent="0.3">
      <c r="A664" t="s">
        <v>713</v>
      </c>
      <c r="B664">
        <f>VLOOKUP('Employee Details'!A664,'Remote work mental helath'!$A$2:$T$1001,2,)</f>
        <v>43</v>
      </c>
      <c r="C664" t="str">
        <f t="shared" si="10"/>
        <v>40-49</v>
      </c>
      <c r="D664" t="str">
        <f>VLOOKUP(A664,'Remote work mental helath'!$A$2:$T$1001,3,)</f>
        <v>Male</v>
      </c>
      <c r="E664" t="str">
        <f>VLOOKUP(A664,'Remote work mental helath'!$A$2:$T$1001,20,)</f>
        <v>South America</v>
      </c>
      <c r="F664" t="str">
        <f>VLOOKUP(A664,'Remote work mental helath'!$A$2:$T$1001,4,)</f>
        <v>Software Engineer</v>
      </c>
    </row>
    <row r="665" spans="1:6" x14ac:dyDescent="0.3">
      <c r="A665" t="s">
        <v>714</v>
      </c>
      <c r="B665">
        <f>VLOOKUP('Employee Details'!A665,'Remote work mental helath'!$A$2:$T$1001,2,)</f>
        <v>43</v>
      </c>
      <c r="C665" t="str">
        <f t="shared" si="10"/>
        <v>40-49</v>
      </c>
      <c r="D665" t="str">
        <f>VLOOKUP(A665,'Remote work mental helath'!$A$2:$T$1001,3,)</f>
        <v>Female</v>
      </c>
      <c r="E665" t="str">
        <f>VLOOKUP(A665,'Remote work mental helath'!$A$2:$T$1001,20,)</f>
        <v>Africa</v>
      </c>
      <c r="F665" t="str">
        <f>VLOOKUP(A665,'Remote work mental helath'!$A$2:$T$1001,4,)</f>
        <v>Sales</v>
      </c>
    </row>
    <row r="666" spans="1:6" x14ac:dyDescent="0.3">
      <c r="A666" t="s">
        <v>715</v>
      </c>
      <c r="B666">
        <f>VLOOKUP('Employee Details'!A666,'Remote work mental helath'!$A$2:$T$1001,2,)</f>
        <v>46</v>
      </c>
      <c r="C666" t="str">
        <f t="shared" si="10"/>
        <v>40-49</v>
      </c>
      <c r="D666" t="str">
        <f>VLOOKUP(A666,'Remote work mental helath'!$A$2:$T$1001,3,)</f>
        <v>Prefer not to say</v>
      </c>
      <c r="E666" t="str">
        <f>VLOOKUP(A666,'Remote work mental helath'!$A$2:$T$1001,20,)</f>
        <v>South America</v>
      </c>
      <c r="F666" t="str">
        <f>VLOOKUP(A666,'Remote work mental helath'!$A$2:$T$1001,4,)</f>
        <v>Marketing</v>
      </c>
    </row>
    <row r="667" spans="1:6" x14ac:dyDescent="0.3">
      <c r="A667" t="s">
        <v>716</v>
      </c>
      <c r="B667">
        <f>VLOOKUP('Employee Details'!A667,'Remote work mental helath'!$A$2:$T$1001,2,)</f>
        <v>38</v>
      </c>
      <c r="C667" t="str">
        <f t="shared" si="10"/>
        <v>30-39</v>
      </c>
      <c r="D667" t="str">
        <f>VLOOKUP(A667,'Remote work mental helath'!$A$2:$T$1001,3,)</f>
        <v>Non-binary</v>
      </c>
      <c r="E667" t="str">
        <f>VLOOKUP(A667,'Remote work mental helath'!$A$2:$T$1001,20,)</f>
        <v>Oceania</v>
      </c>
      <c r="F667" t="str">
        <f>VLOOKUP(A667,'Remote work mental helath'!$A$2:$T$1001,4,)</f>
        <v>Project Manager</v>
      </c>
    </row>
    <row r="668" spans="1:6" x14ac:dyDescent="0.3">
      <c r="A668" t="s">
        <v>717</v>
      </c>
      <c r="B668">
        <f>VLOOKUP('Employee Details'!A668,'Remote work mental helath'!$A$2:$T$1001,2,)</f>
        <v>22</v>
      </c>
      <c r="C668" t="str">
        <f t="shared" si="10"/>
        <v>20-29</v>
      </c>
      <c r="D668" t="str">
        <f>VLOOKUP(A668,'Remote work mental helath'!$A$2:$T$1001,3,)</f>
        <v>Female</v>
      </c>
      <c r="E668" t="str">
        <f>VLOOKUP(A668,'Remote work mental helath'!$A$2:$T$1001,20,)</f>
        <v>Asia</v>
      </c>
      <c r="F668" t="str">
        <f>VLOOKUP(A668,'Remote work mental helath'!$A$2:$T$1001,4,)</f>
        <v>HR</v>
      </c>
    </row>
    <row r="669" spans="1:6" x14ac:dyDescent="0.3">
      <c r="A669" t="s">
        <v>718</v>
      </c>
      <c r="B669">
        <f>VLOOKUP('Employee Details'!A669,'Remote work mental helath'!$A$2:$T$1001,2,)</f>
        <v>41</v>
      </c>
      <c r="C669" t="str">
        <f t="shared" si="10"/>
        <v>40-49</v>
      </c>
      <c r="D669" t="str">
        <f>VLOOKUP(A669,'Remote work mental helath'!$A$2:$T$1001,3,)</f>
        <v>Non-binary</v>
      </c>
      <c r="E669" t="str">
        <f>VLOOKUP(A669,'Remote work mental helath'!$A$2:$T$1001,20,)</f>
        <v>North America</v>
      </c>
      <c r="F669" t="str">
        <f>VLOOKUP(A669,'Remote work mental helath'!$A$2:$T$1001,4,)</f>
        <v>Data Scientist</v>
      </c>
    </row>
    <row r="670" spans="1:6" x14ac:dyDescent="0.3">
      <c r="A670" t="s">
        <v>719</v>
      </c>
      <c r="B670">
        <f>VLOOKUP('Employee Details'!A670,'Remote work mental helath'!$A$2:$T$1001,2,)</f>
        <v>50</v>
      </c>
      <c r="C670" t="str">
        <f t="shared" si="10"/>
        <v>50+</v>
      </c>
      <c r="D670" t="str">
        <f>VLOOKUP(A670,'Remote work mental helath'!$A$2:$T$1001,3,)</f>
        <v>Male</v>
      </c>
      <c r="E670" t="str">
        <f>VLOOKUP(A670,'Remote work mental helath'!$A$2:$T$1001,20,)</f>
        <v>Oceania</v>
      </c>
      <c r="F670" t="str">
        <f>VLOOKUP(A670,'Remote work mental helath'!$A$2:$T$1001,4,)</f>
        <v>Sales</v>
      </c>
    </row>
    <row r="671" spans="1:6" x14ac:dyDescent="0.3">
      <c r="A671" t="s">
        <v>720</v>
      </c>
      <c r="B671">
        <f>VLOOKUP('Employee Details'!A671,'Remote work mental helath'!$A$2:$T$1001,2,)</f>
        <v>50</v>
      </c>
      <c r="C671" t="str">
        <f t="shared" si="10"/>
        <v>50+</v>
      </c>
      <c r="D671" t="str">
        <f>VLOOKUP(A671,'Remote work mental helath'!$A$2:$T$1001,3,)</f>
        <v>Prefer not to say</v>
      </c>
      <c r="E671" t="str">
        <f>VLOOKUP(A671,'Remote work mental helath'!$A$2:$T$1001,20,)</f>
        <v>Africa</v>
      </c>
      <c r="F671" t="str">
        <f>VLOOKUP(A671,'Remote work mental helath'!$A$2:$T$1001,4,)</f>
        <v>Marketing</v>
      </c>
    </row>
    <row r="672" spans="1:6" x14ac:dyDescent="0.3">
      <c r="A672" t="s">
        <v>721</v>
      </c>
      <c r="B672">
        <f>VLOOKUP('Employee Details'!A672,'Remote work mental helath'!$A$2:$T$1001,2,)</f>
        <v>42</v>
      </c>
      <c r="C672" t="str">
        <f t="shared" si="10"/>
        <v>40-49</v>
      </c>
      <c r="D672" t="str">
        <f>VLOOKUP(A672,'Remote work mental helath'!$A$2:$T$1001,3,)</f>
        <v>Prefer not to say</v>
      </c>
      <c r="E672" t="str">
        <f>VLOOKUP(A672,'Remote work mental helath'!$A$2:$T$1001,20,)</f>
        <v>Europe</v>
      </c>
      <c r="F672" t="str">
        <f>VLOOKUP(A672,'Remote work mental helath'!$A$2:$T$1001,4,)</f>
        <v>Software Engineer</v>
      </c>
    </row>
    <row r="673" spans="1:6" x14ac:dyDescent="0.3">
      <c r="A673" t="s">
        <v>722</v>
      </c>
      <c r="B673">
        <f>VLOOKUP('Employee Details'!A673,'Remote work mental helath'!$A$2:$T$1001,2,)</f>
        <v>22</v>
      </c>
      <c r="C673" t="str">
        <f t="shared" si="10"/>
        <v>20-29</v>
      </c>
      <c r="D673" t="str">
        <f>VLOOKUP(A673,'Remote work mental helath'!$A$2:$T$1001,3,)</f>
        <v>Non-binary</v>
      </c>
      <c r="E673" t="str">
        <f>VLOOKUP(A673,'Remote work mental helath'!$A$2:$T$1001,20,)</f>
        <v>Europe</v>
      </c>
      <c r="F673" t="str">
        <f>VLOOKUP(A673,'Remote work mental helath'!$A$2:$T$1001,4,)</f>
        <v>Designer</v>
      </c>
    </row>
    <row r="674" spans="1:6" x14ac:dyDescent="0.3">
      <c r="A674" t="s">
        <v>723</v>
      </c>
      <c r="B674">
        <f>VLOOKUP('Employee Details'!A674,'Remote work mental helath'!$A$2:$T$1001,2,)</f>
        <v>60</v>
      </c>
      <c r="C674" t="str">
        <f t="shared" si="10"/>
        <v>50+</v>
      </c>
      <c r="D674" t="str">
        <f>VLOOKUP(A674,'Remote work mental helath'!$A$2:$T$1001,3,)</f>
        <v>Female</v>
      </c>
      <c r="E674" t="str">
        <f>VLOOKUP(A674,'Remote work mental helath'!$A$2:$T$1001,20,)</f>
        <v>Asia</v>
      </c>
      <c r="F674" t="str">
        <f>VLOOKUP(A674,'Remote work mental helath'!$A$2:$T$1001,4,)</f>
        <v>Sales</v>
      </c>
    </row>
    <row r="675" spans="1:6" x14ac:dyDescent="0.3">
      <c r="A675" t="s">
        <v>724</v>
      </c>
      <c r="B675">
        <f>VLOOKUP('Employee Details'!A675,'Remote work mental helath'!$A$2:$T$1001,2,)</f>
        <v>58</v>
      </c>
      <c r="C675" t="str">
        <f t="shared" si="10"/>
        <v>50+</v>
      </c>
      <c r="D675" t="str">
        <f>VLOOKUP(A675,'Remote work mental helath'!$A$2:$T$1001,3,)</f>
        <v>Prefer not to say</v>
      </c>
      <c r="E675" t="str">
        <f>VLOOKUP(A675,'Remote work mental helath'!$A$2:$T$1001,20,)</f>
        <v>Asia</v>
      </c>
      <c r="F675" t="str">
        <f>VLOOKUP(A675,'Remote work mental helath'!$A$2:$T$1001,4,)</f>
        <v>Sales</v>
      </c>
    </row>
    <row r="676" spans="1:6" x14ac:dyDescent="0.3">
      <c r="A676" t="s">
        <v>725</v>
      </c>
      <c r="B676">
        <f>VLOOKUP('Employee Details'!A676,'Remote work mental helath'!$A$2:$T$1001,2,)</f>
        <v>32</v>
      </c>
      <c r="C676" t="str">
        <f t="shared" si="10"/>
        <v>30-39</v>
      </c>
      <c r="D676" t="str">
        <f>VLOOKUP(A676,'Remote work mental helath'!$A$2:$T$1001,3,)</f>
        <v>Non-binary</v>
      </c>
      <c r="E676" t="str">
        <f>VLOOKUP(A676,'Remote work mental helath'!$A$2:$T$1001,20,)</f>
        <v>Europe</v>
      </c>
      <c r="F676" t="str">
        <f>VLOOKUP(A676,'Remote work mental helath'!$A$2:$T$1001,4,)</f>
        <v>HR</v>
      </c>
    </row>
    <row r="677" spans="1:6" x14ac:dyDescent="0.3">
      <c r="A677" t="s">
        <v>726</v>
      </c>
      <c r="B677">
        <f>VLOOKUP('Employee Details'!A677,'Remote work mental helath'!$A$2:$T$1001,2,)</f>
        <v>32</v>
      </c>
      <c r="C677" t="str">
        <f t="shared" si="10"/>
        <v>30-39</v>
      </c>
      <c r="D677" t="str">
        <f>VLOOKUP(A677,'Remote work mental helath'!$A$2:$T$1001,3,)</f>
        <v>Male</v>
      </c>
      <c r="E677" t="str">
        <f>VLOOKUP(A677,'Remote work mental helath'!$A$2:$T$1001,20,)</f>
        <v>Oceania</v>
      </c>
      <c r="F677" t="str">
        <f>VLOOKUP(A677,'Remote work mental helath'!$A$2:$T$1001,4,)</f>
        <v>Sales</v>
      </c>
    </row>
    <row r="678" spans="1:6" x14ac:dyDescent="0.3">
      <c r="A678" t="s">
        <v>727</v>
      </c>
      <c r="B678">
        <f>VLOOKUP('Employee Details'!A678,'Remote work mental helath'!$A$2:$T$1001,2,)</f>
        <v>44</v>
      </c>
      <c r="C678" t="str">
        <f t="shared" si="10"/>
        <v>40-49</v>
      </c>
      <c r="D678" t="str">
        <f>VLOOKUP(A678,'Remote work mental helath'!$A$2:$T$1001,3,)</f>
        <v>Female</v>
      </c>
      <c r="E678" t="str">
        <f>VLOOKUP(A678,'Remote work mental helath'!$A$2:$T$1001,20,)</f>
        <v>North America</v>
      </c>
      <c r="F678" t="str">
        <f>VLOOKUP(A678,'Remote work mental helath'!$A$2:$T$1001,4,)</f>
        <v>Sales</v>
      </c>
    </row>
    <row r="679" spans="1:6" x14ac:dyDescent="0.3">
      <c r="A679" t="s">
        <v>728</v>
      </c>
      <c r="B679">
        <f>VLOOKUP('Employee Details'!A679,'Remote work mental helath'!$A$2:$T$1001,2,)</f>
        <v>42</v>
      </c>
      <c r="C679" t="str">
        <f t="shared" si="10"/>
        <v>40-49</v>
      </c>
      <c r="D679" t="str">
        <f>VLOOKUP(A679,'Remote work mental helath'!$A$2:$T$1001,3,)</f>
        <v>Prefer not to say</v>
      </c>
      <c r="E679" t="str">
        <f>VLOOKUP(A679,'Remote work mental helath'!$A$2:$T$1001,20,)</f>
        <v>Africa</v>
      </c>
      <c r="F679" t="str">
        <f>VLOOKUP(A679,'Remote work mental helath'!$A$2:$T$1001,4,)</f>
        <v>Software Engineer</v>
      </c>
    </row>
    <row r="680" spans="1:6" x14ac:dyDescent="0.3">
      <c r="A680" t="s">
        <v>729</v>
      </c>
      <c r="B680">
        <f>VLOOKUP('Employee Details'!A680,'Remote work mental helath'!$A$2:$T$1001,2,)</f>
        <v>25</v>
      </c>
      <c r="C680" t="str">
        <f t="shared" si="10"/>
        <v>20-29</v>
      </c>
      <c r="D680" t="str">
        <f>VLOOKUP(A680,'Remote work mental helath'!$A$2:$T$1001,3,)</f>
        <v>Prefer not to say</v>
      </c>
      <c r="E680" t="str">
        <f>VLOOKUP(A680,'Remote work mental helath'!$A$2:$T$1001,20,)</f>
        <v>South America</v>
      </c>
      <c r="F680" t="str">
        <f>VLOOKUP(A680,'Remote work mental helath'!$A$2:$T$1001,4,)</f>
        <v>HR</v>
      </c>
    </row>
    <row r="681" spans="1:6" x14ac:dyDescent="0.3">
      <c r="A681" t="s">
        <v>730</v>
      </c>
      <c r="B681">
        <f>VLOOKUP('Employee Details'!A681,'Remote work mental helath'!$A$2:$T$1001,2,)</f>
        <v>43</v>
      </c>
      <c r="C681" t="str">
        <f t="shared" si="10"/>
        <v>40-49</v>
      </c>
      <c r="D681" t="str">
        <f>VLOOKUP(A681,'Remote work mental helath'!$A$2:$T$1001,3,)</f>
        <v>Male</v>
      </c>
      <c r="E681" t="str">
        <f>VLOOKUP(A681,'Remote work mental helath'!$A$2:$T$1001,20,)</f>
        <v>Europe</v>
      </c>
      <c r="F681" t="str">
        <f>VLOOKUP(A681,'Remote work mental helath'!$A$2:$T$1001,4,)</f>
        <v>Data Scientist</v>
      </c>
    </row>
    <row r="682" spans="1:6" x14ac:dyDescent="0.3">
      <c r="A682" t="s">
        <v>731</v>
      </c>
      <c r="B682">
        <f>VLOOKUP('Employee Details'!A682,'Remote work mental helath'!$A$2:$T$1001,2,)</f>
        <v>39</v>
      </c>
      <c r="C682" t="str">
        <f t="shared" si="10"/>
        <v>30-39</v>
      </c>
      <c r="D682" t="str">
        <f>VLOOKUP(A682,'Remote work mental helath'!$A$2:$T$1001,3,)</f>
        <v>Male</v>
      </c>
      <c r="E682" t="str">
        <f>VLOOKUP(A682,'Remote work mental helath'!$A$2:$T$1001,20,)</f>
        <v>Oceania</v>
      </c>
      <c r="F682" t="str">
        <f>VLOOKUP(A682,'Remote work mental helath'!$A$2:$T$1001,4,)</f>
        <v>Project Manager</v>
      </c>
    </row>
    <row r="683" spans="1:6" x14ac:dyDescent="0.3">
      <c r="A683" t="s">
        <v>732</v>
      </c>
      <c r="B683">
        <f>VLOOKUP('Employee Details'!A683,'Remote work mental helath'!$A$2:$T$1001,2,)</f>
        <v>53</v>
      </c>
      <c r="C683" t="str">
        <f t="shared" si="10"/>
        <v>50+</v>
      </c>
      <c r="D683" t="str">
        <f>VLOOKUP(A683,'Remote work mental helath'!$A$2:$T$1001,3,)</f>
        <v>Prefer not to say</v>
      </c>
      <c r="E683" t="str">
        <f>VLOOKUP(A683,'Remote work mental helath'!$A$2:$T$1001,20,)</f>
        <v>Oceania</v>
      </c>
      <c r="F683" t="str">
        <f>VLOOKUP(A683,'Remote work mental helath'!$A$2:$T$1001,4,)</f>
        <v>Data Scientist</v>
      </c>
    </row>
    <row r="684" spans="1:6" x14ac:dyDescent="0.3">
      <c r="A684" t="s">
        <v>733</v>
      </c>
      <c r="B684">
        <f>VLOOKUP('Employee Details'!A684,'Remote work mental helath'!$A$2:$T$1001,2,)</f>
        <v>30</v>
      </c>
      <c r="C684" t="str">
        <f t="shared" si="10"/>
        <v>30-39</v>
      </c>
      <c r="D684" t="str">
        <f>VLOOKUP(A684,'Remote work mental helath'!$A$2:$T$1001,3,)</f>
        <v>Prefer not to say</v>
      </c>
      <c r="E684" t="str">
        <f>VLOOKUP(A684,'Remote work mental helath'!$A$2:$T$1001,20,)</f>
        <v>North America</v>
      </c>
      <c r="F684" t="str">
        <f>VLOOKUP(A684,'Remote work mental helath'!$A$2:$T$1001,4,)</f>
        <v>Sales</v>
      </c>
    </row>
    <row r="685" spans="1:6" x14ac:dyDescent="0.3">
      <c r="A685" t="s">
        <v>734</v>
      </c>
      <c r="B685">
        <f>VLOOKUP('Employee Details'!A685,'Remote work mental helath'!$A$2:$T$1001,2,)</f>
        <v>40</v>
      </c>
      <c r="C685" t="str">
        <f t="shared" si="10"/>
        <v>40-49</v>
      </c>
      <c r="D685" t="str">
        <f>VLOOKUP(A685,'Remote work mental helath'!$A$2:$T$1001,3,)</f>
        <v>Non-binary</v>
      </c>
      <c r="E685" t="str">
        <f>VLOOKUP(A685,'Remote work mental helath'!$A$2:$T$1001,20,)</f>
        <v>Africa</v>
      </c>
      <c r="F685" t="str">
        <f>VLOOKUP(A685,'Remote work mental helath'!$A$2:$T$1001,4,)</f>
        <v>Sales</v>
      </c>
    </row>
    <row r="686" spans="1:6" x14ac:dyDescent="0.3">
      <c r="A686" t="s">
        <v>735</v>
      </c>
      <c r="B686">
        <f>VLOOKUP('Employee Details'!A686,'Remote work mental helath'!$A$2:$T$1001,2,)</f>
        <v>53</v>
      </c>
      <c r="C686" t="str">
        <f t="shared" si="10"/>
        <v>50+</v>
      </c>
      <c r="D686" t="str">
        <f>VLOOKUP(A686,'Remote work mental helath'!$A$2:$T$1001,3,)</f>
        <v>Prefer not to say</v>
      </c>
      <c r="E686" t="str">
        <f>VLOOKUP(A686,'Remote work mental helath'!$A$2:$T$1001,20,)</f>
        <v>Africa</v>
      </c>
      <c r="F686" t="str">
        <f>VLOOKUP(A686,'Remote work mental helath'!$A$2:$T$1001,4,)</f>
        <v>Data Scientist</v>
      </c>
    </row>
    <row r="687" spans="1:6" x14ac:dyDescent="0.3">
      <c r="A687" t="s">
        <v>736</v>
      </c>
      <c r="B687">
        <f>VLOOKUP('Employee Details'!A687,'Remote work mental helath'!$A$2:$T$1001,2,)</f>
        <v>59</v>
      </c>
      <c r="C687" t="str">
        <f t="shared" si="10"/>
        <v>50+</v>
      </c>
      <c r="D687" t="str">
        <f>VLOOKUP(A687,'Remote work mental helath'!$A$2:$T$1001,3,)</f>
        <v>Male</v>
      </c>
      <c r="E687" t="str">
        <f>VLOOKUP(A687,'Remote work mental helath'!$A$2:$T$1001,20,)</f>
        <v>Africa</v>
      </c>
      <c r="F687" t="str">
        <f>VLOOKUP(A687,'Remote work mental helath'!$A$2:$T$1001,4,)</f>
        <v>Sales</v>
      </c>
    </row>
    <row r="688" spans="1:6" x14ac:dyDescent="0.3">
      <c r="A688" t="s">
        <v>737</v>
      </c>
      <c r="B688">
        <f>VLOOKUP('Employee Details'!A688,'Remote work mental helath'!$A$2:$T$1001,2,)</f>
        <v>39</v>
      </c>
      <c r="C688" t="str">
        <f t="shared" si="10"/>
        <v>30-39</v>
      </c>
      <c r="D688" t="str">
        <f>VLOOKUP(A688,'Remote work mental helath'!$A$2:$T$1001,3,)</f>
        <v>Prefer not to say</v>
      </c>
      <c r="E688" t="str">
        <f>VLOOKUP(A688,'Remote work mental helath'!$A$2:$T$1001,20,)</f>
        <v>Asia</v>
      </c>
      <c r="F688" t="str">
        <f>VLOOKUP(A688,'Remote work mental helath'!$A$2:$T$1001,4,)</f>
        <v>Data Scientist</v>
      </c>
    </row>
    <row r="689" spans="1:6" x14ac:dyDescent="0.3">
      <c r="A689" t="s">
        <v>738</v>
      </c>
      <c r="B689">
        <f>VLOOKUP('Employee Details'!A689,'Remote work mental helath'!$A$2:$T$1001,2,)</f>
        <v>57</v>
      </c>
      <c r="C689" t="str">
        <f t="shared" si="10"/>
        <v>50+</v>
      </c>
      <c r="D689" t="str">
        <f>VLOOKUP(A689,'Remote work mental helath'!$A$2:$T$1001,3,)</f>
        <v>Non-binary</v>
      </c>
      <c r="E689" t="str">
        <f>VLOOKUP(A689,'Remote work mental helath'!$A$2:$T$1001,20,)</f>
        <v>Africa</v>
      </c>
      <c r="F689" t="str">
        <f>VLOOKUP(A689,'Remote work mental helath'!$A$2:$T$1001,4,)</f>
        <v>Data Scientist</v>
      </c>
    </row>
    <row r="690" spans="1:6" x14ac:dyDescent="0.3">
      <c r="A690" t="s">
        <v>739</v>
      </c>
      <c r="B690">
        <f>VLOOKUP('Employee Details'!A690,'Remote work mental helath'!$A$2:$T$1001,2,)</f>
        <v>57</v>
      </c>
      <c r="C690" t="str">
        <f t="shared" si="10"/>
        <v>50+</v>
      </c>
      <c r="D690" t="str">
        <f>VLOOKUP(A690,'Remote work mental helath'!$A$2:$T$1001,3,)</f>
        <v>Male</v>
      </c>
      <c r="E690" t="str">
        <f>VLOOKUP(A690,'Remote work mental helath'!$A$2:$T$1001,20,)</f>
        <v>South America</v>
      </c>
      <c r="F690" t="str">
        <f>VLOOKUP(A690,'Remote work mental helath'!$A$2:$T$1001,4,)</f>
        <v>Marketing</v>
      </c>
    </row>
    <row r="691" spans="1:6" x14ac:dyDescent="0.3">
      <c r="A691" t="s">
        <v>740</v>
      </c>
      <c r="B691">
        <f>VLOOKUP('Employee Details'!A691,'Remote work mental helath'!$A$2:$T$1001,2,)</f>
        <v>45</v>
      </c>
      <c r="C691" t="str">
        <f t="shared" si="10"/>
        <v>40-49</v>
      </c>
      <c r="D691" t="str">
        <f>VLOOKUP(A691,'Remote work mental helath'!$A$2:$T$1001,3,)</f>
        <v>Prefer not to say</v>
      </c>
      <c r="E691" t="str">
        <f>VLOOKUP(A691,'Remote work mental helath'!$A$2:$T$1001,20,)</f>
        <v>Asia</v>
      </c>
      <c r="F691" t="str">
        <f>VLOOKUP(A691,'Remote work mental helath'!$A$2:$T$1001,4,)</f>
        <v>Software Engineer</v>
      </c>
    </row>
    <row r="692" spans="1:6" x14ac:dyDescent="0.3">
      <c r="A692" t="s">
        <v>741</v>
      </c>
      <c r="B692">
        <f>VLOOKUP('Employee Details'!A692,'Remote work mental helath'!$A$2:$T$1001,2,)</f>
        <v>31</v>
      </c>
      <c r="C692" t="str">
        <f t="shared" si="10"/>
        <v>30-39</v>
      </c>
      <c r="D692" t="str">
        <f>VLOOKUP(A692,'Remote work mental helath'!$A$2:$T$1001,3,)</f>
        <v>Prefer not to say</v>
      </c>
      <c r="E692" t="str">
        <f>VLOOKUP(A692,'Remote work mental helath'!$A$2:$T$1001,20,)</f>
        <v>South America</v>
      </c>
      <c r="F692" t="str">
        <f>VLOOKUP(A692,'Remote work mental helath'!$A$2:$T$1001,4,)</f>
        <v>Marketing</v>
      </c>
    </row>
    <row r="693" spans="1:6" x14ac:dyDescent="0.3">
      <c r="A693" t="s">
        <v>742</v>
      </c>
      <c r="B693">
        <f>VLOOKUP('Employee Details'!A693,'Remote work mental helath'!$A$2:$T$1001,2,)</f>
        <v>44</v>
      </c>
      <c r="C693" t="str">
        <f t="shared" si="10"/>
        <v>40-49</v>
      </c>
      <c r="D693" t="str">
        <f>VLOOKUP(A693,'Remote work mental helath'!$A$2:$T$1001,3,)</f>
        <v>Female</v>
      </c>
      <c r="E693" t="str">
        <f>VLOOKUP(A693,'Remote work mental helath'!$A$2:$T$1001,20,)</f>
        <v>Oceania</v>
      </c>
      <c r="F693" t="str">
        <f>VLOOKUP(A693,'Remote work mental helath'!$A$2:$T$1001,4,)</f>
        <v>Designer</v>
      </c>
    </row>
    <row r="694" spans="1:6" x14ac:dyDescent="0.3">
      <c r="A694" t="s">
        <v>743</v>
      </c>
      <c r="B694">
        <f>VLOOKUP('Employee Details'!A694,'Remote work mental helath'!$A$2:$T$1001,2,)</f>
        <v>47</v>
      </c>
      <c r="C694" t="str">
        <f t="shared" si="10"/>
        <v>40-49</v>
      </c>
      <c r="D694" t="str">
        <f>VLOOKUP(A694,'Remote work mental helath'!$A$2:$T$1001,3,)</f>
        <v>Non-binary</v>
      </c>
      <c r="E694" t="str">
        <f>VLOOKUP(A694,'Remote work mental helath'!$A$2:$T$1001,20,)</f>
        <v>Oceania</v>
      </c>
      <c r="F694" t="str">
        <f>VLOOKUP(A694,'Remote work mental helath'!$A$2:$T$1001,4,)</f>
        <v>HR</v>
      </c>
    </row>
    <row r="695" spans="1:6" x14ac:dyDescent="0.3">
      <c r="A695" t="s">
        <v>744</v>
      </c>
      <c r="B695">
        <f>VLOOKUP('Employee Details'!A695,'Remote work mental helath'!$A$2:$T$1001,2,)</f>
        <v>54</v>
      </c>
      <c r="C695" t="str">
        <f t="shared" si="10"/>
        <v>50+</v>
      </c>
      <c r="D695" t="str">
        <f>VLOOKUP(A695,'Remote work mental helath'!$A$2:$T$1001,3,)</f>
        <v>Non-binary</v>
      </c>
      <c r="E695" t="str">
        <f>VLOOKUP(A695,'Remote work mental helath'!$A$2:$T$1001,20,)</f>
        <v>Europe</v>
      </c>
      <c r="F695" t="str">
        <f>VLOOKUP(A695,'Remote work mental helath'!$A$2:$T$1001,4,)</f>
        <v>HR</v>
      </c>
    </row>
    <row r="696" spans="1:6" x14ac:dyDescent="0.3">
      <c r="A696" t="s">
        <v>745</v>
      </c>
      <c r="B696">
        <f>VLOOKUP('Employee Details'!A696,'Remote work mental helath'!$A$2:$T$1001,2,)</f>
        <v>48</v>
      </c>
      <c r="C696" t="str">
        <f t="shared" si="10"/>
        <v>40-49</v>
      </c>
      <c r="D696" t="str">
        <f>VLOOKUP(A696,'Remote work mental helath'!$A$2:$T$1001,3,)</f>
        <v>Male</v>
      </c>
      <c r="E696" t="str">
        <f>VLOOKUP(A696,'Remote work mental helath'!$A$2:$T$1001,20,)</f>
        <v>Oceania</v>
      </c>
      <c r="F696" t="str">
        <f>VLOOKUP(A696,'Remote work mental helath'!$A$2:$T$1001,4,)</f>
        <v>Software Engineer</v>
      </c>
    </row>
    <row r="697" spans="1:6" x14ac:dyDescent="0.3">
      <c r="A697" t="s">
        <v>746</v>
      </c>
      <c r="B697">
        <f>VLOOKUP('Employee Details'!A697,'Remote work mental helath'!$A$2:$T$1001,2,)</f>
        <v>58</v>
      </c>
      <c r="C697" t="str">
        <f t="shared" si="10"/>
        <v>50+</v>
      </c>
      <c r="D697" t="str">
        <f>VLOOKUP(A697,'Remote work mental helath'!$A$2:$T$1001,3,)</f>
        <v>Male</v>
      </c>
      <c r="E697" t="str">
        <f>VLOOKUP(A697,'Remote work mental helath'!$A$2:$T$1001,20,)</f>
        <v>North America</v>
      </c>
      <c r="F697" t="str">
        <f>VLOOKUP(A697,'Remote work mental helath'!$A$2:$T$1001,4,)</f>
        <v>Marketing</v>
      </c>
    </row>
    <row r="698" spans="1:6" x14ac:dyDescent="0.3">
      <c r="A698" t="s">
        <v>747</v>
      </c>
      <c r="B698">
        <f>VLOOKUP('Employee Details'!A698,'Remote work mental helath'!$A$2:$T$1001,2,)</f>
        <v>29</v>
      </c>
      <c r="C698" t="str">
        <f t="shared" si="10"/>
        <v>20-29</v>
      </c>
      <c r="D698" t="str">
        <f>VLOOKUP(A698,'Remote work mental helath'!$A$2:$T$1001,3,)</f>
        <v>Male</v>
      </c>
      <c r="E698" t="str">
        <f>VLOOKUP(A698,'Remote work mental helath'!$A$2:$T$1001,20,)</f>
        <v>Europe</v>
      </c>
      <c r="F698" t="str">
        <f>VLOOKUP(A698,'Remote work mental helath'!$A$2:$T$1001,4,)</f>
        <v>HR</v>
      </c>
    </row>
    <row r="699" spans="1:6" x14ac:dyDescent="0.3">
      <c r="A699" t="s">
        <v>748</v>
      </c>
      <c r="B699">
        <f>VLOOKUP('Employee Details'!A699,'Remote work mental helath'!$A$2:$T$1001,2,)</f>
        <v>43</v>
      </c>
      <c r="C699" t="str">
        <f t="shared" si="10"/>
        <v>40-49</v>
      </c>
      <c r="D699" t="str">
        <f>VLOOKUP(A699,'Remote work mental helath'!$A$2:$T$1001,3,)</f>
        <v>Female</v>
      </c>
      <c r="E699" t="str">
        <f>VLOOKUP(A699,'Remote work mental helath'!$A$2:$T$1001,20,)</f>
        <v>Africa</v>
      </c>
      <c r="F699" t="str">
        <f>VLOOKUP(A699,'Remote work mental helath'!$A$2:$T$1001,4,)</f>
        <v>Project Manager</v>
      </c>
    </row>
    <row r="700" spans="1:6" x14ac:dyDescent="0.3">
      <c r="A700" t="s">
        <v>749</v>
      </c>
      <c r="B700">
        <f>VLOOKUP('Employee Details'!A700,'Remote work mental helath'!$A$2:$T$1001,2,)</f>
        <v>53</v>
      </c>
      <c r="C700" t="str">
        <f t="shared" si="10"/>
        <v>50+</v>
      </c>
      <c r="D700" t="str">
        <f>VLOOKUP(A700,'Remote work mental helath'!$A$2:$T$1001,3,)</f>
        <v>Male</v>
      </c>
      <c r="E700" t="str">
        <f>VLOOKUP(A700,'Remote work mental helath'!$A$2:$T$1001,20,)</f>
        <v>Africa</v>
      </c>
      <c r="F700" t="str">
        <f>VLOOKUP(A700,'Remote work mental helath'!$A$2:$T$1001,4,)</f>
        <v>Designer</v>
      </c>
    </row>
    <row r="701" spans="1:6" x14ac:dyDescent="0.3">
      <c r="A701" t="s">
        <v>750</v>
      </c>
      <c r="B701">
        <f>VLOOKUP('Employee Details'!A701,'Remote work mental helath'!$A$2:$T$1001,2,)</f>
        <v>43</v>
      </c>
      <c r="C701" t="str">
        <f t="shared" si="10"/>
        <v>40-49</v>
      </c>
      <c r="D701" t="str">
        <f>VLOOKUP(A701,'Remote work mental helath'!$A$2:$T$1001,3,)</f>
        <v>Prefer not to say</v>
      </c>
      <c r="E701" t="str">
        <f>VLOOKUP(A701,'Remote work mental helath'!$A$2:$T$1001,20,)</f>
        <v>Oceania</v>
      </c>
      <c r="F701" t="str">
        <f>VLOOKUP(A701,'Remote work mental helath'!$A$2:$T$1001,4,)</f>
        <v>Data Scientist</v>
      </c>
    </row>
    <row r="702" spans="1:6" x14ac:dyDescent="0.3">
      <c r="A702" t="s">
        <v>751</v>
      </c>
      <c r="B702">
        <f>VLOOKUP('Employee Details'!A702,'Remote work mental helath'!$A$2:$T$1001,2,)</f>
        <v>47</v>
      </c>
      <c r="C702" t="str">
        <f t="shared" si="10"/>
        <v>40-49</v>
      </c>
      <c r="D702" t="str">
        <f>VLOOKUP(A702,'Remote work mental helath'!$A$2:$T$1001,3,)</f>
        <v>Non-binary</v>
      </c>
      <c r="E702" t="str">
        <f>VLOOKUP(A702,'Remote work mental helath'!$A$2:$T$1001,20,)</f>
        <v>South America</v>
      </c>
      <c r="F702" t="str">
        <f>VLOOKUP(A702,'Remote work mental helath'!$A$2:$T$1001,4,)</f>
        <v>Designer</v>
      </c>
    </row>
    <row r="703" spans="1:6" x14ac:dyDescent="0.3">
      <c r="A703" t="s">
        <v>752</v>
      </c>
      <c r="B703">
        <f>VLOOKUP('Employee Details'!A703,'Remote work mental helath'!$A$2:$T$1001,2,)</f>
        <v>26</v>
      </c>
      <c r="C703" t="str">
        <f t="shared" si="10"/>
        <v>20-29</v>
      </c>
      <c r="D703" t="str">
        <f>VLOOKUP(A703,'Remote work mental helath'!$A$2:$T$1001,3,)</f>
        <v>Non-binary</v>
      </c>
      <c r="E703" t="str">
        <f>VLOOKUP(A703,'Remote work mental helath'!$A$2:$T$1001,20,)</f>
        <v>North America</v>
      </c>
      <c r="F703" t="str">
        <f>VLOOKUP(A703,'Remote work mental helath'!$A$2:$T$1001,4,)</f>
        <v>Designer</v>
      </c>
    </row>
    <row r="704" spans="1:6" x14ac:dyDescent="0.3">
      <c r="A704" t="s">
        <v>753</v>
      </c>
      <c r="B704">
        <f>VLOOKUP('Employee Details'!A704,'Remote work mental helath'!$A$2:$T$1001,2,)</f>
        <v>57</v>
      </c>
      <c r="C704" t="str">
        <f t="shared" si="10"/>
        <v>50+</v>
      </c>
      <c r="D704" t="str">
        <f>VLOOKUP(A704,'Remote work mental helath'!$A$2:$T$1001,3,)</f>
        <v>Non-binary</v>
      </c>
      <c r="E704" t="str">
        <f>VLOOKUP(A704,'Remote work mental helath'!$A$2:$T$1001,20,)</f>
        <v>North America</v>
      </c>
      <c r="F704" t="str">
        <f>VLOOKUP(A704,'Remote work mental helath'!$A$2:$T$1001,4,)</f>
        <v>HR</v>
      </c>
    </row>
    <row r="705" spans="1:6" x14ac:dyDescent="0.3">
      <c r="A705" t="s">
        <v>754</v>
      </c>
      <c r="B705">
        <f>VLOOKUP('Employee Details'!A705,'Remote work mental helath'!$A$2:$T$1001,2,)</f>
        <v>36</v>
      </c>
      <c r="C705" t="str">
        <f t="shared" si="10"/>
        <v>30-39</v>
      </c>
      <c r="D705" t="str">
        <f>VLOOKUP(A705,'Remote work mental helath'!$A$2:$T$1001,3,)</f>
        <v>Male</v>
      </c>
      <c r="E705" t="str">
        <f>VLOOKUP(A705,'Remote work mental helath'!$A$2:$T$1001,20,)</f>
        <v>South America</v>
      </c>
      <c r="F705" t="str">
        <f>VLOOKUP(A705,'Remote work mental helath'!$A$2:$T$1001,4,)</f>
        <v>Project Manager</v>
      </c>
    </row>
    <row r="706" spans="1:6" x14ac:dyDescent="0.3">
      <c r="A706" t="s">
        <v>755</v>
      </c>
      <c r="B706">
        <f>VLOOKUP('Employee Details'!A706,'Remote work mental helath'!$A$2:$T$1001,2,)</f>
        <v>26</v>
      </c>
      <c r="C706" t="str">
        <f t="shared" si="10"/>
        <v>20-29</v>
      </c>
      <c r="D706" t="str">
        <f>VLOOKUP(A706,'Remote work mental helath'!$A$2:$T$1001,3,)</f>
        <v>Male</v>
      </c>
      <c r="E706" t="str">
        <f>VLOOKUP(A706,'Remote work mental helath'!$A$2:$T$1001,20,)</f>
        <v>Oceania</v>
      </c>
      <c r="F706" t="str">
        <f>VLOOKUP(A706,'Remote work mental helath'!$A$2:$T$1001,4,)</f>
        <v>Marketing</v>
      </c>
    </row>
    <row r="707" spans="1:6" x14ac:dyDescent="0.3">
      <c r="A707" t="s">
        <v>756</v>
      </c>
      <c r="B707">
        <f>VLOOKUP('Employee Details'!A707,'Remote work mental helath'!$A$2:$T$1001,2,)</f>
        <v>47</v>
      </c>
      <c r="C707" t="str">
        <f t="shared" ref="C707:C770" si="11">IF(B707&lt;30,"20-29",IF(B707&lt;40,"30-39",IF(B707&lt;50,"40-49","50+")))</f>
        <v>40-49</v>
      </c>
      <c r="D707" t="str">
        <f>VLOOKUP(A707,'Remote work mental helath'!$A$2:$T$1001,3,)</f>
        <v>Female</v>
      </c>
      <c r="E707" t="str">
        <f>VLOOKUP(A707,'Remote work mental helath'!$A$2:$T$1001,20,)</f>
        <v>Africa</v>
      </c>
      <c r="F707" t="str">
        <f>VLOOKUP(A707,'Remote work mental helath'!$A$2:$T$1001,4,)</f>
        <v>Designer</v>
      </c>
    </row>
    <row r="708" spans="1:6" x14ac:dyDescent="0.3">
      <c r="A708" t="s">
        <v>757</v>
      </c>
      <c r="B708">
        <f>VLOOKUP('Employee Details'!A708,'Remote work mental helath'!$A$2:$T$1001,2,)</f>
        <v>59</v>
      </c>
      <c r="C708" t="str">
        <f t="shared" si="11"/>
        <v>50+</v>
      </c>
      <c r="D708" t="str">
        <f>VLOOKUP(A708,'Remote work mental helath'!$A$2:$T$1001,3,)</f>
        <v>Female</v>
      </c>
      <c r="E708" t="str">
        <f>VLOOKUP(A708,'Remote work mental helath'!$A$2:$T$1001,20,)</f>
        <v>Africa</v>
      </c>
      <c r="F708" t="str">
        <f>VLOOKUP(A708,'Remote work mental helath'!$A$2:$T$1001,4,)</f>
        <v>Software Engineer</v>
      </c>
    </row>
    <row r="709" spans="1:6" x14ac:dyDescent="0.3">
      <c r="A709" t="s">
        <v>758</v>
      </c>
      <c r="B709">
        <f>VLOOKUP('Employee Details'!A709,'Remote work mental helath'!$A$2:$T$1001,2,)</f>
        <v>59</v>
      </c>
      <c r="C709" t="str">
        <f t="shared" si="11"/>
        <v>50+</v>
      </c>
      <c r="D709" t="str">
        <f>VLOOKUP(A709,'Remote work mental helath'!$A$2:$T$1001,3,)</f>
        <v>Male</v>
      </c>
      <c r="E709" t="str">
        <f>VLOOKUP(A709,'Remote work mental helath'!$A$2:$T$1001,20,)</f>
        <v>Asia</v>
      </c>
      <c r="F709" t="str">
        <f>VLOOKUP(A709,'Remote work mental helath'!$A$2:$T$1001,4,)</f>
        <v>Project Manager</v>
      </c>
    </row>
    <row r="710" spans="1:6" x14ac:dyDescent="0.3">
      <c r="A710" t="s">
        <v>759</v>
      </c>
      <c r="B710">
        <f>VLOOKUP('Employee Details'!A710,'Remote work mental helath'!$A$2:$T$1001,2,)</f>
        <v>40</v>
      </c>
      <c r="C710" t="str">
        <f t="shared" si="11"/>
        <v>40-49</v>
      </c>
      <c r="D710" t="str">
        <f>VLOOKUP(A710,'Remote work mental helath'!$A$2:$T$1001,3,)</f>
        <v>Prefer not to say</v>
      </c>
      <c r="E710" t="str">
        <f>VLOOKUP(A710,'Remote work mental helath'!$A$2:$T$1001,20,)</f>
        <v>North America</v>
      </c>
      <c r="F710" t="str">
        <f>VLOOKUP(A710,'Remote work mental helath'!$A$2:$T$1001,4,)</f>
        <v>Designer</v>
      </c>
    </row>
    <row r="711" spans="1:6" x14ac:dyDescent="0.3">
      <c r="A711" t="s">
        <v>760</v>
      </c>
      <c r="B711">
        <f>VLOOKUP('Employee Details'!A711,'Remote work mental helath'!$A$2:$T$1001,2,)</f>
        <v>31</v>
      </c>
      <c r="C711" t="str">
        <f t="shared" si="11"/>
        <v>30-39</v>
      </c>
      <c r="D711" t="str">
        <f>VLOOKUP(A711,'Remote work mental helath'!$A$2:$T$1001,3,)</f>
        <v>Female</v>
      </c>
      <c r="E711" t="str">
        <f>VLOOKUP(A711,'Remote work mental helath'!$A$2:$T$1001,20,)</f>
        <v>Asia</v>
      </c>
      <c r="F711" t="str">
        <f>VLOOKUP(A711,'Remote work mental helath'!$A$2:$T$1001,4,)</f>
        <v>Project Manager</v>
      </c>
    </row>
    <row r="712" spans="1:6" x14ac:dyDescent="0.3">
      <c r="A712" t="s">
        <v>761</v>
      </c>
      <c r="B712">
        <f>VLOOKUP('Employee Details'!A712,'Remote work mental helath'!$A$2:$T$1001,2,)</f>
        <v>37</v>
      </c>
      <c r="C712" t="str">
        <f t="shared" si="11"/>
        <v>30-39</v>
      </c>
      <c r="D712" t="str">
        <f>VLOOKUP(A712,'Remote work mental helath'!$A$2:$T$1001,3,)</f>
        <v>Prefer not to say</v>
      </c>
      <c r="E712" t="str">
        <f>VLOOKUP(A712,'Remote work mental helath'!$A$2:$T$1001,20,)</f>
        <v>Oceania</v>
      </c>
      <c r="F712" t="str">
        <f>VLOOKUP(A712,'Remote work mental helath'!$A$2:$T$1001,4,)</f>
        <v>HR</v>
      </c>
    </row>
    <row r="713" spans="1:6" x14ac:dyDescent="0.3">
      <c r="A713" t="s">
        <v>762</v>
      </c>
      <c r="B713">
        <f>VLOOKUP('Employee Details'!A713,'Remote work mental helath'!$A$2:$T$1001,2,)</f>
        <v>54</v>
      </c>
      <c r="C713" t="str">
        <f t="shared" si="11"/>
        <v>50+</v>
      </c>
      <c r="D713" t="str">
        <f>VLOOKUP(A713,'Remote work mental helath'!$A$2:$T$1001,3,)</f>
        <v>Prefer not to say</v>
      </c>
      <c r="E713" t="str">
        <f>VLOOKUP(A713,'Remote work mental helath'!$A$2:$T$1001,20,)</f>
        <v>Europe</v>
      </c>
      <c r="F713" t="str">
        <f>VLOOKUP(A713,'Remote work mental helath'!$A$2:$T$1001,4,)</f>
        <v>Software Engineer</v>
      </c>
    </row>
    <row r="714" spans="1:6" x14ac:dyDescent="0.3">
      <c r="A714" t="s">
        <v>763</v>
      </c>
      <c r="B714">
        <f>VLOOKUP('Employee Details'!A714,'Remote work mental helath'!$A$2:$T$1001,2,)</f>
        <v>43</v>
      </c>
      <c r="C714" t="str">
        <f t="shared" si="11"/>
        <v>40-49</v>
      </c>
      <c r="D714" t="str">
        <f>VLOOKUP(A714,'Remote work mental helath'!$A$2:$T$1001,3,)</f>
        <v>Male</v>
      </c>
      <c r="E714" t="str">
        <f>VLOOKUP(A714,'Remote work mental helath'!$A$2:$T$1001,20,)</f>
        <v>Asia</v>
      </c>
      <c r="F714" t="str">
        <f>VLOOKUP(A714,'Remote work mental helath'!$A$2:$T$1001,4,)</f>
        <v>Designer</v>
      </c>
    </row>
    <row r="715" spans="1:6" x14ac:dyDescent="0.3">
      <c r="A715" t="s">
        <v>764</v>
      </c>
      <c r="B715">
        <f>VLOOKUP('Employee Details'!A715,'Remote work mental helath'!$A$2:$T$1001,2,)</f>
        <v>24</v>
      </c>
      <c r="C715" t="str">
        <f t="shared" si="11"/>
        <v>20-29</v>
      </c>
      <c r="D715" t="str">
        <f>VLOOKUP(A715,'Remote work mental helath'!$A$2:$T$1001,3,)</f>
        <v>Female</v>
      </c>
      <c r="E715" t="str">
        <f>VLOOKUP(A715,'Remote work mental helath'!$A$2:$T$1001,20,)</f>
        <v>Asia</v>
      </c>
      <c r="F715" t="str">
        <f>VLOOKUP(A715,'Remote work mental helath'!$A$2:$T$1001,4,)</f>
        <v>Sales</v>
      </c>
    </row>
    <row r="716" spans="1:6" x14ac:dyDescent="0.3">
      <c r="A716" t="s">
        <v>765</v>
      </c>
      <c r="B716">
        <f>VLOOKUP('Employee Details'!A716,'Remote work mental helath'!$A$2:$T$1001,2,)</f>
        <v>29</v>
      </c>
      <c r="C716" t="str">
        <f t="shared" si="11"/>
        <v>20-29</v>
      </c>
      <c r="D716" t="str">
        <f>VLOOKUP(A716,'Remote work mental helath'!$A$2:$T$1001,3,)</f>
        <v>Male</v>
      </c>
      <c r="E716" t="str">
        <f>VLOOKUP(A716,'Remote work mental helath'!$A$2:$T$1001,20,)</f>
        <v>North America</v>
      </c>
      <c r="F716" t="str">
        <f>VLOOKUP(A716,'Remote work mental helath'!$A$2:$T$1001,4,)</f>
        <v>Software Engineer</v>
      </c>
    </row>
    <row r="717" spans="1:6" x14ac:dyDescent="0.3">
      <c r="A717" t="s">
        <v>766</v>
      </c>
      <c r="B717">
        <f>VLOOKUP('Employee Details'!A717,'Remote work mental helath'!$A$2:$T$1001,2,)</f>
        <v>41</v>
      </c>
      <c r="C717" t="str">
        <f t="shared" si="11"/>
        <v>40-49</v>
      </c>
      <c r="D717" t="str">
        <f>VLOOKUP(A717,'Remote work mental helath'!$A$2:$T$1001,3,)</f>
        <v>Prefer not to say</v>
      </c>
      <c r="E717" t="str">
        <f>VLOOKUP(A717,'Remote work mental helath'!$A$2:$T$1001,20,)</f>
        <v>North America</v>
      </c>
      <c r="F717" t="str">
        <f>VLOOKUP(A717,'Remote work mental helath'!$A$2:$T$1001,4,)</f>
        <v>Designer</v>
      </c>
    </row>
    <row r="718" spans="1:6" x14ac:dyDescent="0.3">
      <c r="A718" t="s">
        <v>767</v>
      </c>
      <c r="B718">
        <f>VLOOKUP('Employee Details'!A718,'Remote work mental helath'!$A$2:$T$1001,2,)</f>
        <v>51</v>
      </c>
      <c r="C718" t="str">
        <f t="shared" si="11"/>
        <v>50+</v>
      </c>
      <c r="D718" t="str">
        <f>VLOOKUP(A718,'Remote work mental helath'!$A$2:$T$1001,3,)</f>
        <v>Male</v>
      </c>
      <c r="E718" t="str">
        <f>VLOOKUP(A718,'Remote work mental helath'!$A$2:$T$1001,20,)</f>
        <v>Asia</v>
      </c>
      <c r="F718" t="str">
        <f>VLOOKUP(A718,'Remote work mental helath'!$A$2:$T$1001,4,)</f>
        <v>Software Engineer</v>
      </c>
    </row>
    <row r="719" spans="1:6" x14ac:dyDescent="0.3">
      <c r="A719" t="s">
        <v>768</v>
      </c>
      <c r="B719">
        <f>VLOOKUP('Employee Details'!A719,'Remote work mental helath'!$A$2:$T$1001,2,)</f>
        <v>38</v>
      </c>
      <c r="C719" t="str">
        <f t="shared" si="11"/>
        <v>30-39</v>
      </c>
      <c r="D719" t="str">
        <f>VLOOKUP(A719,'Remote work mental helath'!$A$2:$T$1001,3,)</f>
        <v>Non-binary</v>
      </c>
      <c r="E719" t="str">
        <f>VLOOKUP(A719,'Remote work mental helath'!$A$2:$T$1001,20,)</f>
        <v>South America</v>
      </c>
      <c r="F719" t="str">
        <f>VLOOKUP(A719,'Remote work mental helath'!$A$2:$T$1001,4,)</f>
        <v>Software Engineer</v>
      </c>
    </row>
    <row r="720" spans="1:6" x14ac:dyDescent="0.3">
      <c r="A720" t="s">
        <v>769</v>
      </c>
      <c r="B720">
        <f>VLOOKUP('Employee Details'!A720,'Remote work mental helath'!$A$2:$T$1001,2,)</f>
        <v>56</v>
      </c>
      <c r="C720" t="str">
        <f t="shared" si="11"/>
        <v>50+</v>
      </c>
      <c r="D720" t="str">
        <f>VLOOKUP(A720,'Remote work mental helath'!$A$2:$T$1001,3,)</f>
        <v>Male</v>
      </c>
      <c r="E720" t="str">
        <f>VLOOKUP(A720,'Remote work mental helath'!$A$2:$T$1001,20,)</f>
        <v>Africa</v>
      </c>
      <c r="F720" t="str">
        <f>VLOOKUP(A720,'Remote work mental helath'!$A$2:$T$1001,4,)</f>
        <v>Data Scientist</v>
      </c>
    </row>
    <row r="721" spans="1:6" x14ac:dyDescent="0.3">
      <c r="A721" t="s">
        <v>770</v>
      </c>
      <c r="B721">
        <f>VLOOKUP('Employee Details'!A721,'Remote work mental helath'!$A$2:$T$1001,2,)</f>
        <v>41</v>
      </c>
      <c r="C721" t="str">
        <f t="shared" si="11"/>
        <v>40-49</v>
      </c>
      <c r="D721" t="str">
        <f>VLOOKUP(A721,'Remote work mental helath'!$A$2:$T$1001,3,)</f>
        <v>Non-binary</v>
      </c>
      <c r="E721" t="str">
        <f>VLOOKUP(A721,'Remote work mental helath'!$A$2:$T$1001,20,)</f>
        <v>Asia</v>
      </c>
      <c r="F721" t="str">
        <f>VLOOKUP(A721,'Remote work mental helath'!$A$2:$T$1001,4,)</f>
        <v>Designer</v>
      </c>
    </row>
    <row r="722" spans="1:6" x14ac:dyDescent="0.3">
      <c r="A722" t="s">
        <v>771</v>
      </c>
      <c r="B722">
        <f>VLOOKUP('Employee Details'!A722,'Remote work mental helath'!$A$2:$T$1001,2,)</f>
        <v>28</v>
      </c>
      <c r="C722" t="str">
        <f t="shared" si="11"/>
        <v>20-29</v>
      </c>
      <c r="D722" t="str">
        <f>VLOOKUP(A722,'Remote work mental helath'!$A$2:$T$1001,3,)</f>
        <v>Male</v>
      </c>
      <c r="E722" t="str">
        <f>VLOOKUP(A722,'Remote work mental helath'!$A$2:$T$1001,20,)</f>
        <v>Europe</v>
      </c>
      <c r="F722" t="str">
        <f>VLOOKUP(A722,'Remote work mental helath'!$A$2:$T$1001,4,)</f>
        <v>Designer</v>
      </c>
    </row>
    <row r="723" spans="1:6" x14ac:dyDescent="0.3">
      <c r="A723" t="s">
        <v>772</v>
      </c>
      <c r="B723">
        <f>VLOOKUP('Employee Details'!A723,'Remote work mental helath'!$A$2:$T$1001,2,)</f>
        <v>49</v>
      </c>
      <c r="C723" t="str">
        <f t="shared" si="11"/>
        <v>40-49</v>
      </c>
      <c r="D723" t="str">
        <f>VLOOKUP(A723,'Remote work mental helath'!$A$2:$T$1001,3,)</f>
        <v>Prefer not to say</v>
      </c>
      <c r="E723" t="str">
        <f>VLOOKUP(A723,'Remote work mental helath'!$A$2:$T$1001,20,)</f>
        <v>Europe</v>
      </c>
      <c r="F723" t="str">
        <f>VLOOKUP(A723,'Remote work mental helath'!$A$2:$T$1001,4,)</f>
        <v>HR</v>
      </c>
    </row>
    <row r="724" spans="1:6" x14ac:dyDescent="0.3">
      <c r="A724" t="s">
        <v>773</v>
      </c>
      <c r="B724">
        <f>VLOOKUP('Employee Details'!A724,'Remote work mental helath'!$A$2:$T$1001,2,)</f>
        <v>49</v>
      </c>
      <c r="C724" t="str">
        <f t="shared" si="11"/>
        <v>40-49</v>
      </c>
      <c r="D724" t="str">
        <f>VLOOKUP(A724,'Remote work mental helath'!$A$2:$T$1001,3,)</f>
        <v>Male</v>
      </c>
      <c r="E724" t="str">
        <f>VLOOKUP(A724,'Remote work mental helath'!$A$2:$T$1001,20,)</f>
        <v>Europe</v>
      </c>
      <c r="F724" t="str">
        <f>VLOOKUP(A724,'Remote work mental helath'!$A$2:$T$1001,4,)</f>
        <v>Marketing</v>
      </c>
    </row>
    <row r="725" spans="1:6" x14ac:dyDescent="0.3">
      <c r="A725" t="s">
        <v>774</v>
      </c>
      <c r="B725">
        <f>VLOOKUP('Employee Details'!A725,'Remote work mental helath'!$A$2:$T$1001,2,)</f>
        <v>55</v>
      </c>
      <c r="C725" t="str">
        <f t="shared" si="11"/>
        <v>50+</v>
      </c>
      <c r="D725" t="str">
        <f>VLOOKUP(A725,'Remote work mental helath'!$A$2:$T$1001,3,)</f>
        <v>Non-binary</v>
      </c>
      <c r="E725" t="str">
        <f>VLOOKUP(A725,'Remote work mental helath'!$A$2:$T$1001,20,)</f>
        <v>Europe</v>
      </c>
      <c r="F725" t="str">
        <f>VLOOKUP(A725,'Remote work mental helath'!$A$2:$T$1001,4,)</f>
        <v>Software Engineer</v>
      </c>
    </row>
    <row r="726" spans="1:6" x14ac:dyDescent="0.3">
      <c r="A726" t="s">
        <v>775</v>
      </c>
      <c r="B726">
        <f>VLOOKUP('Employee Details'!A726,'Remote work mental helath'!$A$2:$T$1001,2,)</f>
        <v>60</v>
      </c>
      <c r="C726" t="str">
        <f t="shared" si="11"/>
        <v>50+</v>
      </c>
      <c r="D726" t="str">
        <f>VLOOKUP(A726,'Remote work mental helath'!$A$2:$T$1001,3,)</f>
        <v>Prefer not to say</v>
      </c>
      <c r="E726" t="str">
        <f>VLOOKUP(A726,'Remote work mental helath'!$A$2:$T$1001,20,)</f>
        <v>South America</v>
      </c>
      <c r="F726" t="str">
        <f>VLOOKUP(A726,'Remote work mental helath'!$A$2:$T$1001,4,)</f>
        <v>Software Engineer</v>
      </c>
    </row>
    <row r="727" spans="1:6" x14ac:dyDescent="0.3">
      <c r="A727" t="s">
        <v>776</v>
      </c>
      <c r="B727">
        <f>VLOOKUP('Employee Details'!A727,'Remote work mental helath'!$A$2:$T$1001,2,)</f>
        <v>45</v>
      </c>
      <c r="C727" t="str">
        <f t="shared" si="11"/>
        <v>40-49</v>
      </c>
      <c r="D727" t="str">
        <f>VLOOKUP(A727,'Remote work mental helath'!$A$2:$T$1001,3,)</f>
        <v>Female</v>
      </c>
      <c r="E727" t="str">
        <f>VLOOKUP(A727,'Remote work mental helath'!$A$2:$T$1001,20,)</f>
        <v>Oceania</v>
      </c>
      <c r="F727" t="str">
        <f>VLOOKUP(A727,'Remote work mental helath'!$A$2:$T$1001,4,)</f>
        <v>Sales</v>
      </c>
    </row>
    <row r="728" spans="1:6" x14ac:dyDescent="0.3">
      <c r="A728" t="s">
        <v>777</v>
      </c>
      <c r="B728">
        <f>VLOOKUP('Employee Details'!A728,'Remote work mental helath'!$A$2:$T$1001,2,)</f>
        <v>41</v>
      </c>
      <c r="C728" t="str">
        <f t="shared" si="11"/>
        <v>40-49</v>
      </c>
      <c r="D728" t="str">
        <f>VLOOKUP(A728,'Remote work mental helath'!$A$2:$T$1001,3,)</f>
        <v>Male</v>
      </c>
      <c r="E728" t="str">
        <f>VLOOKUP(A728,'Remote work mental helath'!$A$2:$T$1001,20,)</f>
        <v>Europe</v>
      </c>
      <c r="F728" t="str">
        <f>VLOOKUP(A728,'Remote work mental helath'!$A$2:$T$1001,4,)</f>
        <v>Sales</v>
      </c>
    </row>
    <row r="729" spans="1:6" x14ac:dyDescent="0.3">
      <c r="A729" t="s">
        <v>778</v>
      </c>
      <c r="B729">
        <f>VLOOKUP('Employee Details'!A729,'Remote work mental helath'!$A$2:$T$1001,2,)</f>
        <v>52</v>
      </c>
      <c r="C729" t="str">
        <f t="shared" si="11"/>
        <v>50+</v>
      </c>
      <c r="D729" t="str">
        <f>VLOOKUP(A729,'Remote work mental helath'!$A$2:$T$1001,3,)</f>
        <v>Female</v>
      </c>
      <c r="E729" t="str">
        <f>VLOOKUP(A729,'Remote work mental helath'!$A$2:$T$1001,20,)</f>
        <v>Asia</v>
      </c>
      <c r="F729" t="str">
        <f>VLOOKUP(A729,'Remote work mental helath'!$A$2:$T$1001,4,)</f>
        <v>Data Scientist</v>
      </c>
    </row>
    <row r="730" spans="1:6" x14ac:dyDescent="0.3">
      <c r="A730" t="s">
        <v>779</v>
      </c>
      <c r="B730">
        <f>VLOOKUP('Employee Details'!A730,'Remote work mental helath'!$A$2:$T$1001,2,)</f>
        <v>60</v>
      </c>
      <c r="C730" t="str">
        <f t="shared" si="11"/>
        <v>50+</v>
      </c>
      <c r="D730" t="str">
        <f>VLOOKUP(A730,'Remote work mental helath'!$A$2:$T$1001,3,)</f>
        <v>Prefer not to say</v>
      </c>
      <c r="E730" t="str">
        <f>VLOOKUP(A730,'Remote work mental helath'!$A$2:$T$1001,20,)</f>
        <v>Asia</v>
      </c>
      <c r="F730" t="str">
        <f>VLOOKUP(A730,'Remote work mental helath'!$A$2:$T$1001,4,)</f>
        <v>Designer</v>
      </c>
    </row>
    <row r="731" spans="1:6" x14ac:dyDescent="0.3">
      <c r="A731" t="s">
        <v>780</v>
      </c>
      <c r="B731">
        <f>VLOOKUP('Employee Details'!A731,'Remote work mental helath'!$A$2:$T$1001,2,)</f>
        <v>53</v>
      </c>
      <c r="C731" t="str">
        <f t="shared" si="11"/>
        <v>50+</v>
      </c>
      <c r="D731" t="str">
        <f>VLOOKUP(A731,'Remote work mental helath'!$A$2:$T$1001,3,)</f>
        <v>Non-binary</v>
      </c>
      <c r="E731" t="str">
        <f>VLOOKUP(A731,'Remote work mental helath'!$A$2:$T$1001,20,)</f>
        <v>Europe</v>
      </c>
      <c r="F731" t="str">
        <f>VLOOKUP(A731,'Remote work mental helath'!$A$2:$T$1001,4,)</f>
        <v>Project Manager</v>
      </c>
    </row>
    <row r="732" spans="1:6" x14ac:dyDescent="0.3">
      <c r="A732" t="s">
        <v>781</v>
      </c>
      <c r="B732">
        <f>VLOOKUP('Employee Details'!A732,'Remote work mental helath'!$A$2:$T$1001,2,)</f>
        <v>42</v>
      </c>
      <c r="C732" t="str">
        <f t="shared" si="11"/>
        <v>40-49</v>
      </c>
      <c r="D732" t="str">
        <f>VLOOKUP(A732,'Remote work mental helath'!$A$2:$T$1001,3,)</f>
        <v>Prefer not to say</v>
      </c>
      <c r="E732" t="str">
        <f>VLOOKUP(A732,'Remote work mental helath'!$A$2:$T$1001,20,)</f>
        <v>Asia</v>
      </c>
      <c r="F732" t="str">
        <f>VLOOKUP(A732,'Remote work mental helath'!$A$2:$T$1001,4,)</f>
        <v>Designer</v>
      </c>
    </row>
    <row r="733" spans="1:6" x14ac:dyDescent="0.3">
      <c r="A733" t="s">
        <v>782</v>
      </c>
      <c r="B733">
        <f>VLOOKUP('Employee Details'!A733,'Remote work mental helath'!$A$2:$T$1001,2,)</f>
        <v>43</v>
      </c>
      <c r="C733" t="str">
        <f t="shared" si="11"/>
        <v>40-49</v>
      </c>
      <c r="D733" t="str">
        <f>VLOOKUP(A733,'Remote work mental helath'!$A$2:$T$1001,3,)</f>
        <v>Prefer not to say</v>
      </c>
      <c r="E733" t="str">
        <f>VLOOKUP(A733,'Remote work mental helath'!$A$2:$T$1001,20,)</f>
        <v>Oceania</v>
      </c>
      <c r="F733" t="str">
        <f>VLOOKUP(A733,'Remote work mental helath'!$A$2:$T$1001,4,)</f>
        <v>Data Scientist</v>
      </c>
    </row>
    <row r="734" spans="1:6" x14ac:dyDescent="0.3">
      <c r="A734" t="s">
        <v>783</v>
      </c>
      <c r="B734">
        <f>VLOOKUP('Employee Details'!A734,'Remote work mental helath'!$A$2:$T$1001,2,)</f>
        <v>43</v>
      </c>
      <c r="C734" t="str">
        <f t="shared" si="11"/>
        <v>40-49</v>
      </c>
      <c r="D734" t="str">
        <f>VLOOKUP(A734,'Remote work mental helath'!$A$2:$T$1001,3,)</f>
        <v>Male</v>
      </c>
      <c r="E734" t="str">
        <f>VLOOKUP(A734,'Remote work mental helath'!$A$2:$T$1001,20,)</f>
        <v>Europe</v>
      </c>
      <c r="F734" t="str">
        <f>VLOOKUP(A734,'Remote work mental helath'!$A$2:$T$1001,4,)</f>
        <v>Designer</v>
      </c>
    </row>
    <row r="735" spans="1:6" x14ac:dyDescent="0.3">
      <c r="A735" t="s">
        <v>784</v>
      </c>
      <c r="B735">
        <f>VLOOKUP('Employee Details'!A735,'Remote work mental helath'!$A$2:$T$1001,2,)</f>
        <v>40</v>
      </c>
      <c r="C735" t="str">
        <f t="shared" si="11"/>
        <v>40-49</v>
      </c>
      <c r="D735" t="str">
        <f>VLOOKUP(A735,'Remote work mental helath'!$A$2:$T$1001,3,)</f>
        <v>Female</v>
      </c>
      <c r="E735" t="str">
        <f>VLOOKUP(A735,'Remote work mental helath'!$A$2:$T$1001,20,)</f>
        <v>Asia</v>
      </c>
      <c r="F735" t="str">
        <f>VLOOKUP(A735,'Remote work mental helath'!$A$2:$T$1001,4,)</f>
        <v>Software Engineer</v>
      </c>
    </row>
    <row r="736" spans="1:6" x14ac:dyDescent="0.3">
      <c r="A736" t="s">
        <v>785</v>
      </c>
      <c r="B736">
        <f>VLOOKUP('Employee Details'!A736,'Remote work mental helath'!$A$2:$T$1001,2,)</f>
        <v>49</v>
      </c>
      <c r="C736" t="str">
        <f t="shared" si="11"/>
        <v>40-49</v>
      </c>
      <c r="D736" t="str">
        <f>VLOOKUP(A736,'Remote work mental helath'!$A$2:$T$1001,3,)</f>
        <v>Male</v>
      </c>
      <c r="E736" t="str">
        <f>VLOOKUP(A736,'Remote work mental helath'!$A$2:$T$1001,20,)</f>
        <v>Asia</v>
      </c>
      <c r="F736" t="str">
        <f>VLOOKUP(A736,'Remote work mental helath'!$A$2:$T$1001,4,)</f>
        <v>Designer</v>
      </c>
    </row>
    <row r="737" spans="1:6" x14ac:dyDescent="0.3">
      <c r="A737" t="s">
        <v>786</v>
      </c>
      <c r="B737">
        <f>VLOOKUP('Employee Details'!A737,'Remote work mental helath'!$A$2:$T$1001,2,)</f>
        <v>24</v>
      </c>
      <c r="C737" t="str">
        <f t="shared" si="11"/>
        <v>20-29</v>
      </c>
      <c r="D737" t="str">
        <f>VLOOKUP(A737,'Remote work mental helath'!$A$2:$T$1001,3,)</f>
        <v>Male</v>
      </c>
      <c r="E737" t="str">
        <f>VLOOKUP(A737,'Remote work mental helath'!$A$2:$T$1001,20,)</f>
        <v>Oceania</v>
      </c>
      <c r="F737" t="str">
        <f>VLOOKUP(A737,'Remote work mental helath'!$A$2:$T$1001,4,)</f>
        <v>Marketing</v>
      </c>
    </row>
    <row r="738" spans="1:6" x14ac:dyDescent="0.3">
      <c r="A738" t="s">
        <v>787</v>
      </c>
      <c r="B738">
        <f>VLOOKUP('Employee Details'!A738,'Remote work mental helath'!$A$2:$T$1001,2,)</f>
        <v>30</v>
      </c>
      <c r="C738" t="str">
        <f t="shared" si="11"/>
        <v>30-39</v>
      </c>
      <c r="D738" t="str">
        <f>VLOOKUP(A738,'Remote work mental helath'!$A$2:$T$1001,3,)</f>
        <v>Prefer not to say</v>
      </c>
      <c r="E738" t="str">
        <f>VLOOKUP(A738,'Remote work mental helath'!$A$2:$T$1001,20,)</f>
        <v>South America</v>
      </c>
      <c r="F738" t="str">
        <f>VLOOKUP(A738,'Remote work mental helath'!$A$2:$T$1001,4,)</f>
        <v>Software Engineer</v>
      </c>
    </row>
    <row r="739" spans="1:6" x14ac:dyDescent="0.3">
      <c r="A739" t="s">
        <v>788</v>
      </c>
      <c r="B739">
        <f>VLOOKUP('Employee Details'!A739,'Remote work mental helath'!$A$2:$T$1001,2,)</f>
        <v>55</v>
      </c>
      <c r="C739" t="str">
        <f t="shared" si="11"/>
        <v>50+</v>
      </c>
      <c r="D739" t="str">
        <f>VLOOKUP(A739,'Remote work mental helath'!$A$2:$T$1001,3,)</f>
        <v>Prefer not to say</v>
      </c>
      <c r="E739" t="str">
        <f>VLOOKUP(A739,'Remote work mental helath'!$A$2:$T$1001,20,)</f>
        <v>Africa</v>
      </c>
      <c r="F739" t="str">
        <f>VLOOKUP(A739,'Remote work mental helath'!$A$2:$T$1001,4,)</f>
        <v>HR</v>
      </c>
    </row>
    <row r="740" spans="1:6" x14ac:dyDescent="0.3">
      <c r="A740" t="s">
        <v>789</v>
      </c>
      <c r="B740">
        <f>VLOOKUP('Employee Details'!A740,'Remote work mental helath'!$A$2:$T$1001,2,)</f>
        <v>28</v>
      </c>
      <c r="C740" t="str">
        <f t="shared" si="11"/>
        <v>20-29</v>
      </c>
      <c r="D740" t="str">
        <f>VLOOKUP(A740,'Remote work mental helath'!$A$2:$T$1001,3,)</f>
        <v>Prefer not to say</v>
      </c>
      <c r="E740" t="str">
        <f>VLOOKUP(A740,'Remote work mental helath'!$A$2:$T$1001,20,)</f>
        <v>Africa</v>
      </c>
      <c r="F740" t="str">
        <f>VLOOKUP(A740,'Remote work mental helath'!$A$2:$T$1001,4,)</f>
        <v>Project Manager</v>
      </c>
    </row>
    <row r="741" spans="1:6" x14ac:dyDescent="0.3">
      <c r="A741" t="s">
        <v>790</v>
      </c>
      <c r="B741">
        <f>VLOOKUP('Employee Details'!A741,'Remote work mental helath'!$A$2:$T$1001,2,)</f>
        <v>42</v>
      </c>
      <c r="C741" t="str">
        <f t="shared" si="11"/>
        <v>40-49</v>
      </c>
      <c r="D741" t="str">
        <f>VLOOKUP(A741,'Remote work mental helath'!$A$2:$T$1001,3,)</f>
        <v>Prefer not to say</v>
      </c>
      <c r="E741" t="str">
        <f>VLOOKUP(A741,'Remote work mental helath'!$A$2:$T$1001,20,)</f>
        <v>Asia</v>
      </c>
      <c r="F741" t="str">
        <f>VLOOKUP(A741,'Remote work mental helath'!$A$2:$T$1001,4,)</f>
        <v>Sales</v>
      </c>
    </row>
    <row r="742" spans="1:6" x14ac:dyDescent="0.3">
      <c r="A742" t="s">
        <v>791</v>
      </c>
      <c r="B742">
        <f>VLOOKUP('Employee Details'!A742,'Remote work mental helath'!$A$2:$T$1001,2,)</f>
        <v>60</v>
      </c>
      <c r="C742" t="str">
        <f t="shared" si="11"/>
        <v>50+</v>
      </c>
      <c r="D742" t="str">
        <f>VLOOKUP(A742,'Remote work mental helath'!$A$2:$T$1001,3,)</f>
        <v>Non-binary</v>
      </c>
      <c r="E742" t="str">
        <f>VLOOKUP(A742,'Remote work mental helath'!$A$2:$T$1001,20,)</f>
        <v>South America</v>
      </c>
      <c r="F742" t="str">
        <f>VLOOKUP(A742,'Remote work mental helath'!$A$2:$T$1001,4,)</f>
        <v>Designer</v>
      </c>
    </row>
    <row r="743" spans="1:6" x14ac:dyDescent="0.3">
      <c r="A743" t="s">
        <v>792</v>
      </c>
      <c r="B743">
        <f>VLOOKUP('Employee Details'!A743,'Remote work mental helath'!$A$2:$T$1001,2,)</f>
        <v>42</v>
      </c>
      <c r="C743" t="str">
        <f t="shared" si="11"/>
        <v>40-49</v>
      </c>
      <c r="D743" t="str">
        <f>VLOOKUP(A743,'Remote work mental helath'!$A$2:$T$1001,3,)</f>
        <v>Female</v>
      </c>
      <c r="E743" t="str">
        <f>VLOOKUP(A743,'Remote work mental helath'!$A$2:$T$1001,20,)</f>
        <v>Africa</v>
      </c>
      <c r="F743" t="str">
        <f>VLOOKUP(A743,'Remote work mental helath'!$A$2:$T$1001,4,)</f>
        <v>Marketing</v>
      </c>
    </row>
    <row r="744" spans="1:6" x14ac:dyDescent="0.3">
      <c r="A744" t="s">
        <v>793</v>
      </c>
      <c r="B744">
        <f>VLOOKUP('Employee Details'!A744,'Remote work mental helath'!$A$2:$T$1001,2,)</f>
        <v>55</v>
      </c>
      <c r="C744" t="str">
        <f t="shared" si="11"/>
        <v>50+</v>
      </c>
      <c r="D744" t="str">
        <f>VLOOKUP(A744,'Remote work mental helath'!$A$2:$T$1001,3,)</f>
        <v>Male</v>
      </c>
      <c r="E744" t="str">
        <f>VLOOKUP(A744,'Remote work mental helath'!$A$2:$T$1001,20,)</f>
        <v>Asia</v>
      </c>
      <c r="F744" t="str">
        <f>VLOOKUP(A744,'Remote work mental helath'!$A$2:$T$1001,4,)</f>
        <v>Marketing</v>
      </c>
    </row>
    <row r="745" spans="1:6" x14ac:dyDescent="0.3">
      <c r="A745" t="s">
        <v>794</v>
      </c>
      <c r="B745">
        <f>VLOOKUP('Employee Details'!A745,'Remote work mental helath'!$A$2:$T$1001,2,)</f>
        <v>53</v>
      </c>
      <c r="C745" t="str">
        <f t="shared" si="11"/>
        <v>50+</v>
      </c>
      <c r="D745" t="str">
        <f>VLOOKUP(A745,'Remote work mental helath'!$A$2:$T$1001,3,)</f>
        <v>Non-binary</v>
      </c>
      <c r="E745" t="str">
        <f>VLOOKUP(A745,'Remote work mental helath'!$A$2:$T$1001,20,)</f>
        <v>North America</v>
      </c>
      <c r="F745" t="str">
        <f>VLOOKUP(A745,'Remote work mental helath'!$A$2:$T$1001,4,)</f>
        <v>Software Engineer</v>
      </c>
    </row>
    <row r="746" spans="1:6" x14ac:dyDescent="0.3">
      <c r="A746" t="s">
        <v>795</v>
      </c>
      <c r="B746">
        <f>VLOOKUP('Employee Details'!A746,'Remote work mental helath'!$A$2:$T$1001,2,)</f>
        <v>46</v>
      </c>
      <c r="C746" t="str">
        <f t="shared" si="11"/>
        <v>40-49</v>
      </c>
      <c r="D746" t="str">
        <f>VLOOKUP(A746,'Remote work mental helath'!$A$2:$T$1001,3,)</f>
        <v>Male</v>
      </c>
      <c r="E746" t="str">
        <f>VLOOKUP(A746,'Remote work mental helath'!$A$2:$T$1001,20,)</f>
        <v>North America</v>
      </c>
      <c r="F746" t="str">
        <f>VLOOKUP(A746,'Remote work mental helath'!$A$2:$T$1001,4,)</f>
        <v>HR</v>
      </c>
    </row>
    <row r="747" spans="1:6" x14ac:dyDescent="0.3">
      <c r="A747" t="s">
        <v>796</v>
      </c>
      <c r="B747">
        <f>VLOOKUP('Employee Details'!A747,'Remote work mental helath'!$A$2:$T$1001,2,)</f>
        <v>26</v>
      </c>
      <c r="C747" t="str">
        <f t="shared" si="11"/>
        <v>20-29</v>
      </c>
      <c r="D747" t="str">
        <f>VLOOKUP(A747,'Remote work mental helath'!$A$2:$T$1001,3,)</f>
        <v>Non-binary</v>
      </c>
      <c r="E747" t="str">
        <f>VLOOKUP(A747,'Remote work mental helath'!$A$2:$T$1001,20,)</f>
        <v>South America</v>
      </c>
      <c r="F747" t="str">
        <f>VLOOKUP(A747,'Remote work mental helath'!$A$2:$T$1001,4,)</f>
        <v>Designer</v>
      </c>
    </row>
    <row r="748" spans="1:6" x14ac:dyDescent="0.3">
      <c r="A748" t="s">
        <v>797</v>
      </c>
      <c r="B748">
        <f>VLOOKUP('Employee Details'!A748,'Remote work mental helath'!$A$2:$T$1001,2,)</f>
        <v>53</v>
      </c>
      <c r="C748" t="str">
        <f t="shared" si="11"/>
        <v>50+</v>
      </c>
      <c r="D748" t="str">
        <f>VLOOKUP(A748,'Remote work mental helath'!$A$2:$T$1001,3,)</f>
        <v>Male</v>
      </c>
      <c r="E748" t="str">
        <f>VLOOKUP(A748,'Remote work mental helath'!$A$2:$T$1001,20,)</f>
        <v>Europe</v>
      </c>
      <c r="F748" t="str">
        <f>VLOOKUP(A748,'Remote work mental helath'!$A$2:$T$1001,4,)</f>
        <v>HR</v>
      </c>
    </row>
    <row r="749" spans="1:6" x14ac:dyDescent="0.3">
      <c r="A749" t="s">
        <v>798</v>
      </c>
      <c r="B749">
        <f>VLOOKUP('Employee Details'!A749,'Remote work mental helath'!$A$2:$T$1001,2,)</f>
        <v>29</v>
      </c>
      <c r="C749" t="str">
        <f t="shared" si="11"/>
        <v>20-29</v>
      </c>
      <c r="D749" t="str">
        <f>VLOOKUP(A749,'Remote work mental helath'!$A$2:$T$1001,3,)</f>
        <v>Male</v>
      </c>
      <c r="E749" t="str">
        <f>VLOOKUP(A749,'Remote work mental helath'!$A$2:$T$1001,20,)</f>
        <v>Asia</v>
      </c>
      <c r="F749" t="str">
        <f>VLOOKUP(A749,'Remote work mental helath'!$A$2:$T$1001,4,)</f>
        <v>HR</v>
      </c>
    </row>
    <row r="750" spans="1:6" x14ac:dyDescent="0.3">
      <c r="A750" t="s">
        <v>799</v>
      </c>
      <c r="B750">
        <f>VLOOKUP('Employee Details'!A750,'Remote work mental helath'!$A$2:$T$1001,2,)</f>
        <v>43</v>
      </c>
      <c r="C750" t="str">
        <f t="shared" si="11"/>
        <v>40-49</v>
      </c>
      <c r="D750" t="str">
        <f>VLOOKUP(A750,'Remote work mental helath'!$A$2:$T$1001,3,)</f>
        <v>Female</v>
      </c>
      <c r="E750" t="str">
        <f>VLOOKUP(A750,'Remote work mental helath'!$A$2:$T$1001,20,)</f>
        <v>North America</v>
      </c>
      <c r="F750" t="str">
        <f>VLOOKUP(A750,'Remote work mental helath'!$A$2:$T$1001,4,)</f>
        <v>Project Manager</v>
      </c>
    </row>
    <row r="751" spans="1:6" x14ac:dyDescent="0.3">
      <c r="A751" t="s">
        <v>800</v>
      </c>
      <c r="B751">
        <f>VLOOKUP('Employee Details'!A751,'Remote work mental helath'!$A$2:$T$1001,2,)</f>
        <v>22</v>
      </c>
      <c r="C751" t="str">
        <f t="shared" si="11"/>
        <v>20-29</v>
      </c>
      <c r="D751" t="str">
        <f>VLOOKUP(A751,'Remote work mental helath'!$A$2:$T$1001,3,)</f>
        <v>Male</v>
      </c>
      <c r="E751" t="str">
        <f>VLOOKUP(A751,'Remote work mental helath'!$A$2:$T$1001,20,)</f>
        <v>South America</v>
      </c>
      <c r="F751" t="str">
        <f>VLOOKUP(A751,'Remote work mental helath'!$A$2:$T$1001,4,)</f>
        <v>Sales</v>
      </c>
    </row>
    <row r="752" spans="1:6" x14ac:dyDescent="0.3">
      <c r="A752" t="s">
        <v>801</v>
      </c>
      <c r="B752">
        <f>VLOOKUP('Employee Details'!A752,'Remote work mental helath'!$A$2:$T$1001,2,)</f>
        <v>51</v>
      </c>
      <c r="C752" t="str">
        <f t="shared" si="11"/>
        <v>50+</v>
      </c>
      <c r="D752" t="str">
        <f>VLOOKUP(A752,'Remote work mental helath'!$A$2:$T$1001,3,)</f>
        <v>Non-binary</v>
      </c>
      <c r="E752" t="str">
        <f>VLOOKUP(A752,'Remote work mental helath'!$A$2:$T$1001,20,)</f>
        <v>South America</v>
      </c>
      <c r="F752" t="str">
        <f>VLOOKUP(A752,'Remote work mental helath'!$A$2:$T$1001,4,)</f>
        <v>Data Scientist</v>
      </c>
    </row>
    <row r="753" spans="1:6" x14ac:dyDescent="0.3">
      <c r="A753" t="s">
        <v>802</v>
      </c>
      <c r="B753">
        <f>VLOOKUP('Employee Details'!A753,'Remote work mental helath'!$A$2:$T$1001,2,)</f>
        <v>33</v>
      </c>
      <c r="C753" t="str">
        <f t="shared" si="11"/>
        <v>30-39</v>
      </c>
      <c r="D753" t="str">
        <f>VLOOKUP(A753,'Remote work mental helath'!$A$2:$T$1001,3,)</f>
        <v>Prefer not to say</v>
      </c>
      <c r="E753" t="str">
        <f>VLOOKUP(A753,'Remote work mental helath'!$A$2:$T$1001,20,)</f>
        <v>Asia</v>
      </c>
      <c r="F753" t="str">
        <f>VLOOKUP(A753,'Remote work mental helath'!$A$2:$T$1001,4,)</f>
        <v>Designer</v>
      </c>
    </row>
    <row r="754" spans="1:6" x14ac:dyDescent="0.3">
      <c r="A754" t="s">
        <v>803</v>
      </c>
      <c r="B754">
        <f>VLOOKUP('Employee Details'!A754,'Remote work mental helath'!$A$2:$T$1001,2,)</f>
        <v>43</v>
      </c>
      <c r="C754" t="str">
        <f t="shared" si="11"/>
        <v>40-49</v>
      </c>
      <c r="D754" t="str">
        <f>VLOOKUP(A754,'Remote work mental helath'!$A$2:$T$1001,3,)</f>
        <v>Female</v>
      </c>
      <c r="E754" t="str">
        <f>VLOOKUP(A754,'Remote work mental helath'!$A$2:$T$1001,20,)</f>
        <v>South America</v>
      </c>
      <c r="F754" t="str">
        <f>VLOOKUP(A754,'Remote work mental helath'!$A$2:$T$1001,4,)</f>
        <v>Data Scientist</v>
      </c>
    </row>
    <row r="755" spans="1:6" x14ac:dyDescent="0.3">
      <c r="A755" t="s">
        <v>804</v>
      </c>
      <c r="B755">
        <f>VLOOKUP('Employee Details'!A755,'Remote work mental helath'!$A$2:$T$1001,2,)</f>
        <v>56</v>
      </c>
      <c r="C755" t="str">
        <f t="shared" si="11"/>
        <v>50+</v>
      </c>
      <c r="D755" t="str">
        <f>VLOOKUP(A755,'Remote work mental helath'!$A$2:$T$1001,3,)</f>
        <v>Female</v>
      </c>
      <c r="E755" t="str">
        <f>VLOOKUP(A755,'Remote work mental helath'!$A$2:$T$1001,20,)</f>
        <v>Oceania</v>
      </c>
      <c r="F755" t="str">
        <f>VLOOKUP(A755,'Remote work mental helath'!$A$2:$T$1001,4,)</f>
        <v>Data Scientist</v>
      </c>
    </row>
    <row r="756" spans="1:6" x14ac:dyDescent="0.3">
      <c r="A756" t="s">
        <v>805</v>
      </c>
      <c r="B756">
        <f>VLOOKUP('Employee Details'!A756,'Remote work mental helath'!$A$2:$T$1001,2,)</f>
        <v>59</v>
      </c>
      <c r="C756" t="str">
        <f t="shared" si="11"/>
        <v>50+</v>
      </c>
      <c r="D756" t="str">
        <f>VLOOKUP(A756,'Remote work mental helath'!$A$2:$T$1001,3,)</f>
        <v>Prefer not to say</v>
      </c>
      <c r="E756" t="str">
        <f>VLOOKUP(A756,'Remote work mental helath'!$A$2:$T$1001,20,)</f>
        <v>North America</v>
      </c>
      <c r="F756" t="str">
        <f>VLOOKUP(A756,'Remote work mental helath'!$A$2:$T$1001,4,)</f>
        <v>Designer</v>
      </c>
    </row>
    <row r="757" spans="1:6" x14ac:dyDescent="0.3">
      <c r="A757" t="s">
        <v>806</v>
      </c>
      <c r="B757">
        <f>VLOOKUP('Employee Details'!A757,'Remote work mental helath'!$A$2:$T$1001,2,)</f>
        <v>47</v>
      </c>
      <c r="C757" t="str">
        <f t="shared" si="11"/>
        <v>40-49</v>
      </c>
      <c r="D757" t="str">
        <f>VLOOKUP(A757,'Remote work mental helath'!$A$2:$T$1001,3,)</f>
        <v>Male</v>
      </c>
      <c r="E757" t="str">
        <f>VLOOKUP(A757,'Remote work mental helath'!$A$2:$T$1001,20,)</f>
        <v>South America</v>
      </c>
      <c r="F757" t="str">
        <f>VLOOKUP(A757,'Remote work mental helath'!$A$2:$T$1001,4,)</f>
        <v>Marketing</v>
      </c>
    </row>
    <row r="758" spans="1:6" x14ac:dyDescent="0.3">
      <c r="A758" t="s">
        <v>807</v>
      </c>
      <c r="B758">
        <f>VLOOKUP('Employee Details'!A758,'Remote work mental helath'!$A$2:$T$1001,2,)</f>
        <v>49</v>
      </c>
      <c r="C758" t="str">
        <f t="shared" si="11"/>
        <v>40-49</v>
      </c>
      <c r="D758" t="str">
        <f>VLOOKUP(A758,'Remote work mental helath'!$A$2:$T$1001,3,)</f>
        <v>Male</v>
      </c>
      <c r="E758" t="str">
        <f>VLOOKUP(A758,'Remote work mental helath'!$A$2:$T$1001,20,)</f>
        <v>South America</v>
      </c>
      <c r="F758" t="str">
        <f>VLOOKUP(A758,'Remote work mental helath'!$A$2:$T$1001,4,)</f>
        <v>Software Engineer</v>
      </c>
    </row>
    <row r="759" spans="1:6" x14ac:dyDescent="0.3">
      <c r="A759" t="s">
        <v>808</v>
      </c>
      <c r="B759">
        <f>VLOOKUP('Employee Details'!A759,'Remote work mental helath'!$A$2:$T$1001,2,)</f>
        <v>35</v>
      </c>
      <c r="C759" t="str">
        <f t="shared" si="11"/>
        <v>30-39</v>
      </c>
      <c r="D759" t="str">
        <f>VLOOKUP(A759,'Remote work mental helath'!$A$2:$T$1001,3,)</f>
        <v>Non-binary</v>
      </c>
      <c r="E759" t="str">
        <f>VLOOKUP(A759,'Remote work mental helath'!$A$2:$T$1001,20,)</f>
        <v>South America</v>
      </c>
      <c r="F759" t="str">
        <f>VLOOKUP(A759,'Remote work mental helath'!$A$2:$T$1001,4,)</f>
        <v>Designer</v>
      </c>
    </row>
    <row r="760" spans="1:6" x14ac:dyDescent="0.3">
      <c r="A760" t="s">
        <v>809</v>
      </c>
      <c r="B760">
        <f>VLOOKUP('Employee Details'!A760,'Remote work mental helath'!$A$2:$T$1001,2,)</f>
        <v>58</v>
      </c>
      <c r="C760" t="str">
        <f t="shared" si="11"/>
        <v>50+</v>
      </c>
      <c r="D760" t="str">
        <f>VLOOKUP(A760,'Remote work mental helath'!$A$2:$T$1001,3,)</f>
        <v>Non-binary</v>
      </c>
      <c r="E760" t="str">
        <f>VLOOKUP(A760,'Remote work mental helath'!$A$2:$T$1001,20,)</f>
        <v>South America</v>
      </c>
      <c r="F760" t="str">
        <f>VLOOKUP(A760,'Remote work mental helath'!$A$2:$T$1001,4,)</f>
        <v>Software Engineer</v>
      </c>
    </row>
    <row r="761" spans="1:6" x14ac:dyDescent="0.3">
      <c r="A761" t="s">
        <v>810</v>
      </c>
      <c r="B761">
        <f>VLOOKUP('Employee Details'!A761,'Remote work mental helath'!$A$2:$T$1001,2,)</f>
        <v>36</v>
      </c>
      <c r="C761" t="str">
        <f t="shared" si="11"/>
        <v>30-39</v>
      </c>
      <c r="D761" t="str">
        <f>VLOOKUP(A761,'Remote work mental helath'!$A$2:$T$1001,3,)</f>
        <v>Male</v>
      </c>
      <c r="E761" t="str">
        <f>VLOOKUP(A761,'Remote work mental helath'!$A$2:$T$1001,20,)</f>
        <v>Africa</v>
      </c>
      <c r="F761" t="str">
        <f>VLOOKUP(A761,'Remote work mental helath'!$A$2:$T$1001,4,)</f>
        <v>HR</v>
      </c>
    </row>
    <row r="762" spans="1:6" x14ac:dyDescent="0.3">
      <c r="A762" t="s">
        <v>811</v>
      </c>
      <c r="B762">
        <f>VLOOKUP('Employee Details'!A762,'Remote work mental helath'!$A$2:$T$1001,2,)</f>
        <v>22</v>
      </c>
      <c r="C762" t="str">
        <f t="shared" si="11"/>
        <v>20-29</v>
      </c>
      <c r="D762" t="str">
        <f>VLOOKUP(A762,'Remote work mental helath'!$A$2:$T$1001,3,)</f>
        <v>Female</v>
      </c>
      <c r="E762" t="str">
        <f>VLOOKUP(A762,'Remote work mental helath'!$A$2:$T$1001,20,)</f>
        <v>Europe</v>
      </c>
      <c r="F762" t="str">
        <f>VLOOKUP(A762,'Remote work mental helath'!$A$2:$T$1001,4,)</f>
        <v>Data Scientist</v>
      </c>
    </row>
    <row r="763" spans="1:6" x14ac:dyDescent="0.3">
      <c r="A763" t="s">
        <v>812</v>
      </c>
      <c r="B763">
        <f>VLOOKUP('Employee Details'!A763,'Remote work mental helath'!$A$2:$T$1001,2,)</f>
        <v>33</v>
      </c>
      <c r="C763" t="str">
        <f t="shared" si="11"/>
        <v>30-39</v>
      </c>
      <c r="D763" t="str">
        <f>VLOOKUP(A763,'Remote work mental helath'!$A$2:$T$1001,3,)</f>
        <v>Male</v>
      </c>
      <c r="E763" t="str">
        <f>VLOOKUP(A763,'Remote work mental helath'!$A$2:$T$1001,20,)</f>
        <v>Africa</v>
      </c>
      <c r="F763" t="str">
        <f>VLOOKUP(A763,'Remote work mental helath'!$A$2:$T$1001,4,)</f>
        <v>Project Manager</v>
      </c>
    </row>
    <row r="764" spans="1:6" x14ac:dyDescent="0.3">
      <c r="A764" t="s">
        <v>813</v>
      </c>
      <c r="B764">
        <f>VLOOKUP('Employee Details'!A764,'Remote work mental helath'!$A$2:$T$1001,2,)</f>
        <v>56</v>
      </c>
      <c r="C764" t="str">
        <f t="shared" si="11"/>
        <v>50+</v>
      </c>
      <c r="D764" t="str">
        <f>VLOOKUP(A764,'Remote work mental helath'!$A$2:$T$1001,3,)</f>
        <v>Male</v>
      </c>
      <c r="E764" t="str">
        <f>VLOOKUP(A764,'Remote work mental helath'!$A$2:$T$1001,20,)</f>
        <v>South America</v>
      </c>
      <c r="F764" t="str">
        <f>VLOOKUP(A764,'Remote work mental helath'!$A$2:$T$1001,4,)</f>
        <v>Marketing</v>
      </c>
    </row>
    <row r="765" spans="1:6" x14ac:dyDescent="0.3">
      <c r="A765" t="s">
        <v>814</v>
      </c>
      <c r="B765">
        <f>VLOOKUP('Employee Details'!A765,'Remote work mental helath'!$A$2:$T$1001,2,)</f>
        <v>29</v>
      </c>
      <c r="C765" t="str">
        <f t="shared" si="11"/>
        <v>20-29</v>
      </c>
      <c r="D765" t="str">
        <f>VLOOKUP(A765,'Remote work mental helath'!$A$2:$T$1001,3,)</f>
        <v>Non-binary</v>
      </c>
      <c r="E765" t="str">
        <f>VLOOKUP(A765,'Remote work mental helath'!$A$2:$T$1001,20,)</f>
        <v>North America</v>
      </c>
      <c r="F765" t="str">
        <f>VLOOKUP(A765,'Remote work mental helath'!$A$2:$T$1001,4,)</f>
        <v>Software Engineer</v>
      </c>
    </row>
    <row r="766" spans="1:6" x14ac:dyDescent="0.3">
      <c r="A766" t="s">
        <v>815</v>
      </c>
      <c r="B766">
        <f>VLOOKUP('Employee Details'!A766,'Remote work mental helath'!$A$2:$T$1001,2,)</f>
        <v>39</v>
      </c>
      <c r="C766" t="str">
        <f t="shared" si="11"/>
        <v>30-39</v>
      </c>
      <c r="D766" t="str">
        <f>VLOOKUP(A766,'Remote work mental helath'!$A$2:$T$1001,3,)</f>
        <v>Male</v>
      </c>
      <c r="E766" t="str">
        <f>VLOOKUP(A766,'Remote work mental helath'!$A$2:$T$1001,20,)</f>
        <v>North America</v>
      </c>
      <c r="F766" t="str">
        <f>VLOOKUP(A766,'Remote work mental helath'!$A$2:$T$1001,4,)</f>
        <v>Software Engineer</v>
      </c>
    </row>
    <row r="767" spans="1:6" x14ac:dyDescent="0.3">
      <c r="A767" t="s">
        <v>816</v>
      </c>
      <c r="B767">
        <f>VLOOKUP('Employee Details'!A767,'Remote work mental helath'!$A$2:$T$1001,2,)</f>
        <v>33</v>
      </c>
      <c r="C767" t="str">
        <f t="shared" si="11"/>
        <v>30-39</v>
      </c>
      <c r="D767" t="str">
        <f>VLOOKUP(A767,'Remote work mental helath'!$A$2:$T$1001,3,)</f>
        <v>Male</v>
      </c>
      <c r="E767" t="str">
        <f>VLOOKUP(A767,'Remote work mental helath'!$A$2:$T$1001,20,)</f>
        <v>Europe</v>
      </c>
      <c r="F767" t="str">
        <f>VLOOKUP(A767,'Remote work mental helath'!$A$2:$T$1001,4,)</f>
        <v>Designer</v>
      </c>
    </row>
    <row r="768" spans="1:6" x14ac:dyDescent="0.3">
      <c r="A768" t="s">
        <v>817</v>
      </c>
      <c r="B768">
        <f>VLOOKUP('Employee Details'!A768,'Remote work mental helath'!$A$2:$T$1001,2,)</f>
        <v>41</v>
      </c>
      <c r="C768" t="str">
        <f t="shared" si="11"/>
        <v>40-49</v>
      </c>
      <c r="D768" t="str">
        <f>VLOOKUP(A768,'Remote work mental helath'!$A$2:$T$1001,3,)</f>
        <v>Non-binary</v>
      </c>
      <c r="E768" t="str">
        <f>VLOOKUP(A768,'Remote work mental helath'!$A$2:$T$1001,20,)</f>
        <v>Europe</v>
      </c>
      <c r="F768" t="str">
        <f>VLOOKUP(A768,'Remote work mental helath'!$A$2:$T$1001,4,)</f>
        <v>Marketing</v>
      </c>
    </row>
    <row r="769" spans="1:6" x14ac:dyDescent="0.3">
      <c r="A769" t="s">
        <v>818</v>
      </c>
      <c r="B769">
        <f>VLOOKUP('Employee Details'!A769,'Remote work mental helath'!$A$2:$T$1001,2,)</f>
        <v>40</v>
      </c>
      <c r="C769" t="str">
        <f t="shared" si="11"/>
        <v>40-49</v>
      </c>
      <c r="D769" t="str">
        <f>VLOOKUP(A769,'Remote work mental helath'!$A$2:$T$1001,3,)</f>
        <v>Female</v>
      </c>
      <c r="E769" t="str">
        <f>VLOOKUP(A769,'Remote work mental helath'!$A$2:$T$1001,20,)</f>
        <v>Europe</v>
      </c>
      <c r="F769" t="str">
        <f>VLOOKUP(A769,'Remote work mental helath'!$A$2:$T$1001,4,)</f>
        <v>Marketing</v>
      </c>
    </row>
    <row r="770" spans="1:6" x14ac:dyDescent="0.3">
      <c r="A770" t="s">
        <v>819</v>
      </c>
      <c r="B770">
        <f>VLOOKUP('Employee Details'!A770,'Remote work mental helath'!$A$2:$T$1001,2,)</f>
        <v>36</v>
      </c>
      <c r="C770" t="str">
        <f t="shared" si="11"/>
        <v>30-39</v>
      </c>
      <c r="D770" t="str">
        <f>VLOOKUP(A770,'Remote work mental helath'!$A$2:$T$1001,3,)</f>
        <v>Male</v>
      </c>
      <c r="E770" t="str">
        <f>VLOOKUP(A770,'Remote work mental helath'!$A$2:$T$1001,20,)</f>
        <v>South America</v>
      </c>
      <c r="F770" t="str">
        <f>VLOOKUP(A770,'Remote work mental helath'!$A$2:$T$1001,4,)</f>
        <v>Software Engineer</v>
      </c>
    </row>
    <row r="771" spans="1:6" x14ac:dyDescent="0.3">
      <c r="A771" t="s">
        <v>820</v>
      </c>
      <c r="B771">
        <f>VLOOKUP('Employee Details'!A771,'Remote work mental helath'!$A$2:$T$1001,2,)</f>
        <v>40</v>
      </c>
      <c r="C771" t="str">
        <f t="shared" ref="C771:C834" si="12">IF(B771&lt;30,"20-29",IF(B771&lt;40,"30-39",IF(B771&lt;50,"40-49","50+")))</f>
        <v>40-49</v>
      </c>
      <c r="D771" t="str">
        <f>VLOOKUP(A771,'Remote work mental helath'!$A$2:$T$1001,3,)</f>
        <v>Non-binary</v>
      </c>
      <c r="E771" t="str">
        <f>VLOOKUP(A771,'Remote work mental helath'!$A$2:$T$1001,20,)</f>
        <v>Oceania</v>
      </c>
      <c r="F771" t="str">
        <f>VLOOKUP(A771,'Remote work mental helath'!$A$2:$T$1001,4,)</f>
        <v>Project Manager</v>
      </c>
    </row>
    <row r="772" spans="1:6" x14ac:dyDescent="0.3">
      <c r="A772" t="s">
        <v>821</v>
      </c>
      <c r="B772">
        <f>VLOOKUP('Employee Details'!A772,'Remote work mental helath'!$A$2:$T$1001,2,)</f>
        <v>33</v>
      </c>
      <c r="C772" t="str">
        <f t="shared" si="12"/>
        <v>30-39</v>
      </c>
      <c r="D772" t="str">
        <f>VLOOKUP(A772,'Remote work mental helath'!$A$2:$T$1001,3,)</f>
        <v>Female</v>
      </c>
      <c r="E772" t="str">
        <f>VLOOKUP(A772,'Remote work mental helath'!$A$2:$T$1001,20,)</f>
        <v>North America</v>
      </c>
      <c r="F772" t="str">
        <f>VLOOKUP(A772,'Remote work mental helath'!$A$2:$T$1001,4,)</f>
        <v>Marketing</v>
      </c>
    </row>
    <row r="773" spans="1:6" x14ac:dyDescent="0.3">
      <c r="A773" t="s">
        <v>822</v>
      </c>
      <c r="B773">
        <f>VLOOKUP('Employee Details'!A773,'Remote work mental helath'!$A$2:$T$1001,2,)</f>
        <v>30</v>
      </c>
      <c r="C773" t="str">
        <f t="shared" si="12"/>
        <v>30-39</v>
      </c>
      <c r="D773" t="str">
        <f>VLOOKUP(A773,'Remote work mental helath'!$A$2:$T$1001,3,)</f>
        <v>Prefer not to say</v>
      </c>
      <c r="E773" t="str">
        <f>VLOOKUP(A773,'Remote work mental helath'!$A$2:$T$1001,20,)</f>
        <v>Asia</v>
      </c>
      <c r="F773" t="str">
        <f>VLOOKUP(A773,'Remote work mental helath'!$A$2:$T$1001,4,)</f>
        <v>Designer</v>
      </c>
    </row>
    <row r="774" spans="1:6" x14ac:dyDescent="0.3">
      <c r="A774" t="s">
        <v>823</v>
      </c>
      <c r="B774">
        <f>VLOOKUP('Employee Details'!A774,'Remote work mental helath'!$A$2:$T$1001,2,)</f>
        <v>40</v>
      </c>
      <c r="C774" t="str">
        <f t="shared" si="12"/>
        <v>40-49</v>
      </c>
      <c r="D774" t="str">
        <f>VLOOKUP(A774,'Remote work mental helath'!$A$2:$T$1001,3,)</f>
        <v>Non-binary</v>
      </c>
      <c r="E774" t="str">
        <f>VLOOKUP(A774,'Remote work mental helath'!$A$2:$T$1001,20,)</f>
        <v>Europe</v>
      </c>
      <c r="F774" t="str">
        <f>VLOOKUP(A774,'Remote work mental helath'!$A$2:$T$1001,4,)</f>
        <v>Marketing</v>
      </c>
    </row>
    <row r="775" spans="1:6" x14ac:dyDescent="0.3">
      <c r="A775" t="s">
        <v>824</v>
      </c>
      <c r="B775">
        <f>VLOOKUP('Employee Details'!A775,'Remote work mental helath'!$A$2:$T$1001,2,)</f>
        <v>58</v>
      </c>
      <c r="C775" t="str">
        <f t="shared" si="12"/>
        <v>50+</v>
      </c>
      <c r="D775" t="str">
        <f>VLOOKUP(A775,'Remote work mental helath'!$A$2:$T$1001,3,)</f>
        <v>Female</v>
      </c>
      <c r="E775" t="str">
        <f>VLOOKUP(A775,'Remote work mental helath'!$A$2:$T$1001,20,)</f>
        <v>South America</v>
      </c>
      <c r="F775" t="str">
        <f>VLOOKUP(A775,'Remote work mental helath'!$A$2:$T$1001,4,)</f>
        <v>Project Manager</v>
      </c>
    </row>
    <row r="776" spans="1:6" x14ac:dyDescent="0.3">
      <c r="A776" t="s">
        <v>825</v>
      </c>
      <c r="B776">
        <f>VLOOKUP('Employee Details'!A776,'Remote work mental helath'!$A$2:$T$1001,2,)</f>
        <v>45</v>
      </c>
      <c r="C776" t="str">
        <f t="shared" si="12"/>
        <v>40-49</v>
      </c>
      <c r="D776" t="str">
        <f>VLOOKUP(A776,'Remote work mental helath'!$A$2:$T$1001,3,)</f>
        <v>Female</v>
      </c>
      <c r="E776" t="str">
        <f>VLOOKUP(A776,'Remote work mental helath'!$A$2:$T$1001,20,)</f>
        <v>North America</v>
      </c>
      <c r="F776" t="str">
        <f>VLOOKUP(A776,'Remote work mental helath'!$A$2:$T$1001,4,)</f>
        <v>Project Manager</v>
      </c>
    </row>
    <row r="777" spans="1:6" x14ac:dyDescent="0.3">
      <c r="A777" t="s">
        <v>826</v>
      </c>
      <c r="B777">
        <f>VLOOKUP('Employee Details'!A777,'Remote work mental helath'!$A$2:$T$1001,2,)</f>
        <v>40</v>
      </c>
      <c r="C777" t="str">
        <f t="shared" si="12"/>
        <v>40-49</v>
      </c>
      <c r="D777" t="str">
        <f>VLOOKUP(A777,'Remote work mental helath'!$A$2:$T$1001,3,)</f>
        <v>Female</v>
      </c>
      <c r="E777" t="str">
        <f>VLOOKUP(A777,'Remote work mental helath'!$A$2:$T$1001,20,)</f>
        <v>North America</v>
      </c>
      <c r="F777" t="str">
        <f>VLOOKUP(A777,'Remote work mental helath'!$A$2:$T$1001,4,)</f>
        <v>Sales</v>
      </c>
    </row>
    <row r="778" spans="1:6" x14ac:dyDescent="0.3">
      <c r="A778" t="s">
        <v>827</v>
      </c>
      <c r="B778">
        <f>VLOOKUP('Employee Details'!A778,'Remote work mental helath'!$A$2:$T$1001,2,)</f>
        <v>38</v>
      </c>
      <c r="C778" t="str">
        <f t="shared" si="12"/>
        <v>30-39</v>
      </c>
      <c r="D778" t="str">
        <f>VLOOKUP(A778,'Remote work mental helath'!$A$2:$T$1001,3,)</f>
        <v>Male</v>
      </c>
      <c r="E778" t="str">
        <f>VLOOKUP(A778,'Remote work mental helath'!$A$2:$T$1001,20,)</f>
        <v>North America</v>
      </c>
      <c r="F778" t="str">
        <f>VLOOKUP(A778,'Remote work mental helath'!$A$2:$T$1001,4,)</f>
        <v>Designer</v>
      </c>
    </row>
    <row r="779" spans="1:6" x14ac:dyDescent="0.3">
      <c r="A779" t="s">
        <v>828</v>
      </c>
      <c r="B779">
        <f>VLOOKUP('Employee Details'!A779,'Remote work mental helath'!$A$2:$T$1001,2,)</f>
        <v>55</v>
      </c>
      <c r="C779" t="str">
        <f t="shared" si="12"/>
        <v>50+</v>
      </c>
      <c r="D779" t="str">
        <f>VLOOKUP(A779,'Remote work mental helath'!$A$2:$T$1001,3,)</f>
        <v>Female</v>
      </c>
      <c r="E779" t="str">
        <f>VLOOKUP(A779,'Remote work mental helath'!$A$2:$T$1001,20,)</f>
        <v>Asia</v>
      </c>
      <c r="F779" t="str">
        <f>VLOOKUP(A779,'Remote work mental helath'!$A$2:$T$1001,4,)</f>
        <v>Marketing</v>
      </c>
    </row>
    <row r="780" spans="1:6" x14ac:dyDescent="0.3">
      <c r="A780" t="s">
        <v>829</v>
      </c>
      <c r="B780">
        <f>VLOOKUP('Employee Details'!A780,'Remote work mental helath'!$A$2:$T$1001,2,)</f>
        <v>29</v>
      </c>
      <c r="C780" t="str">
        <f t="shared" si="12"/>
        <v>20-29</v>
      </c>
      <c r="D780" t="str">
        <f>VLOOKUP(A780,'Remote work mental helath'!$A$2:$T$1001,3,)</f>
        <v>Male</v>
      </c>
      <c r="E780" t="str">
        <f>VLOOKUP(A780,'Remote work mental helath'!$A$2:$T$1001,20,)</f>
        <v>Africa</v>
      </c>
      <c r="F780" t="str">
        <f>VLOOKUP(A780,'Remote work mental helath'!$A$2:$T$1001,4,)</f>
        <v>Project Manager</v>
      </c>
    </row>
    <row r="781" spans="1:6" x14ac:dyDescent="0.3">
      <c r="A781" t="s">
        <v>830</v>
      </c>
      <c r="B781">
        <f>VLOOKUP('Employee Details'!A781,'Remote work mental helath'!$A$2:$T$1001,2,)</f>
        <v>31</v>
      </c>
      <c r="C781" t="str">
        <f t="shared" si="12"/>
        <v>30-39</v>
      </c>
      <c r="D781" t="str">
        <f>VLOOKUP(A781,'Remote work mental helath'!$A$2:$T$1001,3,)</f>
        <v>Male</v>
      </c>
      <c r="E781" t="str">
        <f>VLOOKUP(A781,'Remote work mental helath'!$A$2:$T$1001,20,)</f>
        <v>Asia</v>
      </c>
      <c r="F781" t="str">
        <f>VLOOKUP(A781,'Remote work mental helath'!$A$2:$T$1001,4,)</f>
        <v>Designer</v>
      </c>
    </row>
    <row r="782" spans="1:6" x14ac:dyDescent="0.3">
      <c r="A782" t="s">
        <v>831</v>
      </c>
      <c r="B782">
        <f>VLOOKUP('Employee Details'!A782,'Remote work mental helath'!$A$2:$T$1001,2,)</f>
        <v>60</v>
      </c>
      <c r="C782" t="str">
        <f t="shared" si="12"/>
        <v>50+</v>
      </c>
      <c r="D782" t="str">
        <f>VLOOKUP(A782,'Remote work mental helath'!$A$2:$T$1001,3,)</f>
        <v>Non-binary</v>
      </c>
      <c r="E782" t="str">
        <f>VLOOKUP(A782,'Remote work mental helath'!$A$2:$T$1001,20,)</f>
        <v>North America</v>
      </c>
      <c r="F782" t="str">
        <f>VLOOKUP(A782,'Remote work mental helath'!$A$2:$T$1001,4,)</f>
        <v>Designer</v>
      </c>
    </row>
    <row r="783" spans="1:6" x14ac:dyDescent="0.3">
      <c r="A783" t="s">
        <v>832</v>
      </c>
      <c r="B783">
        <f>VLOOKUP('Employee Details'!A783,'Remote work mental helath'!$A$2:$T$1001,2,)</f>
        <v>40</v>
      </c>
      <c r="C783" t="str">
        <f t="shared" si="12"/>
        <v>40-49</v>
      </c>
      <c r="D783" t="str">
        <f>VLOOKUP(A783,'Remote work mental helath'!$A$2:$T$1001,3,)</f>
        <v>Non-binary</v>
      </c>
      <c r="E783" t="str">
        <f>VLOOKUP(A783,'Remote work mental helath'!$A$2:$T$1001,20,)</f>
        <v>Oceania</v>
      </c>
      <c r="F783" t="str">
        <f>VLOOKUP(A783,'Remote work mental helath'!$A$2:$T$1001,4,)</f>
        <v>HR</v>
      </c>
    </row>
    <row r="784" spans="1:6" x14ac:dyDescent="0.3">
      <c r="A784" t="s">
        <v>833</v>
      </c>
      <c r="B784">
        <f>VLOOKUP('Employee Details'!A784,'Remote work mental helath'!$A$2:$T$1001,2,)</f>
        <v>24</v>
      </c>
      <c r="C784" t="str">
        <f t="shared" si="12"/>
        <v>20-29</v>
      </c>
      <c r="D784" t="str">
        <f>VLOOKUP(A784,'Remote work mental helath'!$A$2:$T$1001,3,)</f>
        <v>Non-binary</v>
      </c>
      <c r="E784" t="str">
        <f>VLOOKUP(A784,'Remote work mental helath'!$A$2:$T$1001,20,)</f>
        <v>Africa</v>
      </c>
      <c r="F784" t="str">
        <f>VLOOKUP(A784,'Remote work mental helath'!$A$2:$T$1001,4,)</f>
        <v>Data Scientist</v>
      </c>
    </row>
    <row r="785" spans="1:6" x14ac:dyDescent="0.3">
      <c r="A785" t="s">
        <v>834</v>
      </c>
      <c r="B785">
        <f>VLOOKUP('Employee Details'!A785,'Remote work mental helath'!$A$2:$T$1001,2,)</f>
        <v>30</v>
      </c>
      <c r="C785" t="str">
        <f t="shared" si="12"/>
        <v>30-39</v>
      </c>
      <c r="D785" t="str">
        <f>VLOOKUP(A785,'Remote work mental helath'!$A$2:$T$1001,3,)</f>
        <v>Non-binary</v>
      </c>
      <c r="E785" t="str">
        <f>VLOOKUP(A785,'Remote work mental helath'!$A$2:$T$1001,20,)</f>
        <v>Africa</v>
      </c>
      <c r="F785" t="str">
        <f>VLOOKUP(A785,'Remote work mental helath'!$A$2:$T$1001,4,)</f>
        <v>Project Manager</v>
      </c>
    </row>
    <row r="786" spans="1:6" x14ac:dyDescent="0.3">
      <c r="A786" t="s">
        <v>835</v>
      </c>
      <c r="B786">
        <f>VLOOKUP('Employee Details'!A786,'Remote work mental helath'!$A$2:$T$1001,2,)</f>
        <v>28</v>
      </c>
      <c r="C786" t="str">
        <f t="shared" si="12"/>
        <v>20-29</v>
      </c>
      <c r="D786" t="str">
        <f>VLOOKUP(A786,'Remote work mental helath'!$A$2:$T$1001,3,)</f>
        <v>Prefer not to say</v>
      </c>
      <c r="E786" t="str">
        <f>VLOOKUP(A786,'Remote work mental helath'!$A$2:$T$1001,20,)</f>
        <v>Europe</v>
      </c>
      <c r="F786" t="str">
        <f>VLOOKUP(A786,'Remote work mental helath'!$A$2:$T$1001,4,)</f>
        <v>Software Engineer</v>
      </c>
    </row>
    <row r="787" spans="1:6" x14ac:dyDescent="0.3">
      <c r="A787" t="s">
        <v>836</v>
      </c>
      <c r="B787">
        <f>VLOOKUP('Employee Details'!A787,'Remote work mental helath'!$A$2:$T$1001,2,)</f>
        <v>46</v>
      </c>
      <c r="C787" t="str">
        <f t="shared" si="12"/>
        <v>40-49</v>
      </c>
      <c r="D787" t="str">
        <f>VLOOKUP(A787,'Remote work mental helath'!$A$2:$T$1001,3,)</f>
        <v>Prefer not to say</v>
      </c>
      <c r="E787" t="str">
        <f>VLOOKUP(A787,'Remote work mental helath'!$A$2:$T$1001,20,)</f>
        <v>South America</v>
      </c>
      <c r="F787" t="str">
        <f>VLOOKUP(A787,'Remote work mental helath'!$A$2:$T$1001,4,)</f>
        <v>HR</v>
      </c>
    </row>
    <row r="788" spans="1:6" x14ac:dyDescent="0.3">
      <c r="A788" t="s">
        <v>837</v>
      </c>
      <c r="B788">
        <f>VLOOKUP('Employee Details'!A788,'Remote work mental helath'!$A$2:$T$1001,2,)</f>
        <v>22</v>
      </c>
      <c r="C788" t="str">
        <f t="shared" si="12"/>
        <v>20-29</v>
      </c>
      <c r="D788" t="str">
        <f>VLOOKUP(A788,'Remote work mental helath'!$A$2:$T$1001,3,)</f>
        <v>Prefer not to say</v>
      </c>
      <c r="E788" t="str">
        <f>VLOOKUP(A788,'Remote work mental helath'!$A$2:$T$1001,20,)</f>
        <v>Asia</v>
      </c>
      <c r="F788" t="str">
        <f>VLOOKUP(A788,'Remote work mental helath'!$A$2:$T$1001,4,)</f>
        <v>HR</v>
      </c>
    </row>
    <row r="789" spans="1:6" x14ac:dyDescent="0.3">
      <c r="A789" t="s">
        <v>838</v>
      </c>
      <c r="B789">
        <f>VLOOKUP('Employee Details'!A789,'Remote work mental helath'!$A$2:$T$1001,2,)</f>
        <v>22</v>
      </c>
      <c r="C789" t="str">
        <f t="shared" si="12"/>
        <v>20-29</v>
      </c>
      <c r="D789" t="str">
        <f>VLOOKUP(A789,'Remote work mental helath'!$A$2:$T$1001,3,)</f>
        <v>Non-binary</v>
      </c>
      <c r="E789" t="str">
        <f>VLOOKUP(A789,'Remote work mental helath'!$A$2:$T$1001,20,)</f>
        <v>Africa</v>
      </c>
      <c r="F789" t="str">
        <f>VLOOKUP(A789,'Remote work mental helath'!$A$2:$T$1001,4,)</f>
        <v>Marketing</v>
      </c>
    </row>
    <row r="790" spans="1:6" x14ac:dyDescent="0.3">
      <c r="A790" t="s">
        <v>839</v>
      </c>
      <c r="B790">
        <f>VLOOKUP('Employee Details'!A790,'Remote work mental helath'!$A$2:$T$1001,2,)</f>
        <v>25</v>
      </c>
      <c r="C790" t="str">
        <f t="shared" si="12"/>
        <v>20-29</v>
      </c>
      <c r="D790" t="str">
        <f>VLOOKUP(A790,'Remote work mental helath'!$A$2:$T$1001,3,)</f>
        <v>Non-binary</v>
      </c>
      <c r="E790" t="str">
        <f>VLOOKUP(A790,'Remote work mental helath'!$A$2:$T$1001,20,)</f>
        <v>South America</v>
      </c>
      <c r="F790" t="str">
        <f>VLOOKUP(A790,'Remote work mental helath'!$A$2:$T$1001,4,)</f>
        <v>Designer</v>
      </c>
    </row>
    <row r="791" spans="1:6" x14ac:dyDescent="0.3">
      <c r="A791" t="s">
        <v>840</v>
      </c>
      <c r="B791">
        <f>VLOOKUP('Employee Details'!A791,'Remote work mental helath'!$A$2:$T$1001,2,)</f>
        <v>26</v>
      </c>
      <c r="C791" t="str">
        <f t="shared" si="12"/>
        <v>20-29</v>
      </c>
      <c r="D791" t="str">
        <f>VLOOKUP(A791,'Remote work mental helath'!$A$2:$T$1001,3,)</f>
        <v>Prefer not to say</v>
      </c>
      <c r="E791" t="str">
        <f>VLOOKUP(A791,'Remote work mental helath'!$A$2:$T$1001,20,)</f>
        <v>Asia</v>
      </c>
      <c r="F791" t="str">
        <f>VLOOKUP(A791,'Remote work mental helath'!$A$2:$T$1001,4,)</f>
        <v>Data Scientist</v>
      </c>
    </row>
    <row r="792" spans="1:6" x14ac:dyDescent="0.3">
      <c r="A792" t="s">
        <v>841</v>
      </c>
      <c r="B792">
        <f>VLOOKUP('Employee Details'!A792,'Remote work mental helath'!$A$2:$T$1001,2,)</f>
        <v>46</v>
      </c>
      <c r="C792" t="str">
        <f t="shared" si="12"/>
        <v>40-49</v>
      </c>
      <c r="D792" t="str">
        <f>VLOOKUP(A792,'Remote work mental helath'!$A$2:$T$1001,3,)</f>
        <v>Non-binary</v>
      </c>
      <c r="E792" t="str">
        <f>VLOOKUP(A792,'Remote work mental helath'!$A$2:$T$1001,20,)</f>
        <v>North America</v>
      </c>
      <c r="F792" t="str">
        <f>VLOOKUP(A792,'Remote work mental helath'!$A$2:$T$1001,4,)</f>
        <v>Data Scientist</v>
      </c>
    </row>
    <row r="793" spans="1:6" x14ac:dyDescent="0.3">
      <c r="A793" t="s">
        <v>842</v>
      </c>
      <c r="B793">
        <f>VLOOKUP('Employee Details'!A793,'Remote work mental helath'!$A$2:$T$1001,2,)</f>
        <v>46</v>
      </c>
      <c r="C793" t="str">
        <f t="shared" si="12"/>
        <v>40-49</v>
      </c>
      <c r="D793" t="str">
        <f>VLOOKUP(A793,'Remote work mental helath'!$A$2:$T$1001,3,)</f>
        <v>Non-binary</v>
      </c>
      <c r="E793" t="str">
        <f>VLOOKUP(A793,'Remote work mental helath'!$A$2:$T$1001,20,)</f>
        <v>Africa</v>
      </c>
      <c r="F793" t="str">
        <f>VLOOKUP(A793,'Remote work mental helath'!$A$2:$T$1001,4,)</f>
        <v>Marketing</v>
      </c>
    </row>
    <row r="794" spans="1:6" x14ac:dyDescent="0.3">
      <c r="A794" t="s">
        <v>843</v>
      </c>
      <c r="B794">
        <f>VLOOKUP('Employee Details'!A794,'Remote work mental helath'!$A$2:$T$1001,2,)</f>
        <v>60</v>
      </c>
      <c r="C794" t="str">
        <f t="shared" si="12"/>
        <v>50+</v>
      </c>
      <c r="D794" t="str">
        <f>VLOOKUP(A794,'Remote work mental helath'!$A$2:$T$1001,3,)</f>
        <v>Prefer not to say</v>
      </c>
      <c r="E794" t="str">
        <f>VLOOKUP(A794,'Remote work mental helath'!$A$2:$T$1001,20,)</f>
        <v>Oceania</v>
      </c>
      <c r="F794" t="str">
        <f>VLOOKUP(A794,'Remote work mental helath'!$A$2:$T$1001,4,)</f>
        <v>Data Scientist</v>
      </c>
    </row>
    <row r="795" spans="1:6" x14ac:dyDescent="0.3">
      <c r="A795" t="s">
        <v>844</v>
      </c>
      <c r="B795">
        <f>VLOOKUP('Employee Details'!A795,'Remote work mental helath'!$A$2:$T$1001,2,)</f>
        <v>55</v>
      </c>
      <c r="C795" t="str">
        <f t="shared" si="12"/>
        <v>50+</v>
      </c>
      <c r="D795" t="str">
        <f>VLOOKUP(A795,'Remote work mental helath'!$A$2:$T$1001,3,)</f>
        <v>Male</v>
      </c>
      <c r="E795" t="str">
        <f>VLOOKUP(A795,'Remote work mental helath'!$A$2:$T$1001,20,)</f>
        <v>Asia</v>
      </c>
      <c r="F795" t="str">
        <f>VLOOKUP(A795,'Remote work mental helath'!$A$2:$T$1001,4,)</f>
        <v>Marketing</v>
      </c>
    </row>
    <row r="796" spans="1:6" x14ac:dyDescent="0.3">
      <c r="A796" t="s">
        <v>845</v>
      </c>
      <c r="B796">
        <f>VLOOKUP('Employee Details'!A796,'Remote work mental helath'!$A$2:$T$1001,2,)</f>
        <v>25</v>
      </c>
      <c r="C796" t="str">
        <f t="shared" si="12"/>
        <v>20-29</v>
      </c>
      <c r="D796" t="str">
        <f>VLOOKUP(A796,'Remote work mental helath'!$A$2:$T$1001,3,)</f>
        <v>Prefer not to say</v>
      </c>
      <c r="E796" t="str">
        <f>VLOOKUP(A796,'Remote work mental helath'!$A$2:$T$1001,20,)</f>
        <v>Europe</v>
      </c>
      <c r="F796" t="str">
        <f>VLOOKUP(A796,'Remote work mental helath'!$A$2:$T$1001,4,)</f>
        <v>Sales</v>
      </c>
    </row>
    <row r="797" spans="1:6" x14ac:dyDescent="0.3">
      <c r="A797" t="s">
        <v>846</v>
      </c>
      <c r="B797">
        <f>VLOOKUP('Employee Details'!A797,'Remote work mental helath'!$A$2:$T$1001,2,)</f>
        <v>42</v>
      </c>
      <c r="C797" t="str">
        <f t="shared" si="12"/>
        <v>40-49</v>
      </c>
      <c r="D797" t="str">
        <f>VLOOKUP(A797,'Remote work mental helath'!$A$2:$T$1001,3,)</f>
        <v>Female</v>
      </c>
      <c r="E797" t="str">
        <f>VLOOKUP(A797,'Remote work mental helath'!$A$2:$T$1001,20,)</f>
        <v>Africa</v>
      </c>
      <c r="F797" t="str">
        <f>VLOOKUP(A797,'Remote work mental helath'!$A$2:$T$1001,4,)</f>
        <v>Software Engineer</v>
      </c>
    </row>
    <row r="798" spans="1:6" x14ac:dyDescent="0.3">
      <c r="A798" t="s">
        <v>847</v>
      </c>
      <c r="B798">
        <f>VLOOKUP('Employee Details'!A798,'Remote work mental helath'!$A$2:$T$1001,2,)</f>
        <v>30</v>
      </c>
      <c r="C798" t="str">
        <f t="shared" si="12"/>
        <v>30-39</v>
      </c>
      <c r="D798" t="str">
        <f>VLOOKUP(A798,'Remote work mental helath'!$A$2:$T$1001,3,)</f>
        <v>Non-binary</v>
      </c>
      <c r="E798" t="str">
        <f>VLOOKUP(A798,'Remote work mental helath'!$A$2:$T$1001,20,)</f>
        <v>Europe</v>
      </c>
      <c r="F798" t="str">
        <f>VLOOKUP(A798,'Remote work mental helath'!$A$2:$T$1001,4,)</f>
        <v>Software Engineer</v>
      </c>
    </row>
    <row r="799" spans="1:6" x14ac:dyDescent="0.3">
      <c r="A799" t="s">
        <v>848</v>
      </c>
      <c r="B799">
        <f>VLOOKUP('Employee Details'!A799,'Remote work mental helath'!$A$2:$T$1001,2,)</f>
        <v>58</v>
      </c>
      <c r="C799" t="str">
        <f t="shared" si="12"/>
        <v>50+</v>
      </c>
      <c r="D799" t="str">
        <f>VLOOKUP(A799,'Remote work mental helath'!$A$2:$T$1001,3,)</f>
        <v>Male</v>
      </c>
      <c r="E799" t="str">
        <f>VLOOKUP(A799,'Remote work mental helath'!$A$2:$T$1001,20,)</f>
        <v>Africa</v>
      </c>
      <c r="F799" t="str">
        <f>VLOOKUP(A799,'Remote work mental helath'!$A$2:$T$1001,4,)</f>
        <v>Data Scientist</v>
      </c>
    </row>
    <row r="800" spans="1:6" x14ac:dyDescent="0.3">
      <c r="A800" t="s">
        <v>849</v>
      </c>
      <c r="B800">
        <f>VLOOKUP('Employee Details'!A800,'Remote work mental helath'!$A$2:$T$1001,2,)</f>
        <v>46</v>
      </c>
      <c r="C800" t="str">
        <f t="shared" si="12"/>
        <v>40-49</v>
      </c>
      <c r="D800" t="str">
        <f>VLOOKUP(A800,'Remote work mental helath'!$A$2:$T$1001,3,)</f>
        <v>Male</v>
      </c>
      <c r="E800" t="str">
        <f>VLOOKUP(A800,'Remote work mental helath'!$A$2:$T$1001,20,)</f>
        <v>Europe</v>
      </c>
      <c r="F800" t="str">
        <f>VLOOKUP(A800,'Remote work mental helath'!$A$2:$T$1001,4,)</f>
        <v>Data Scientist</v>
      </c>
    </row>
    <row r="801" spans="1:6" x14ac:dyDescent="0.3">
      <c r="A801" t="s">
        <v>850</v>
      </c>
      <c r="B801">
        <f>VLOOKUP('Employee Details'!A801,'Remote work mental helath'!$A$2:$T$1001,2,)</f>
        <v>36</v>
      </c>
      <c r="C801" t="str">
        <f t="shared" si="12"/>
        <v>30-39</v>
      </c>
      <c r="D801" t="str">
        <f>VLOOKUP(A801,'Remote work mental helath'!$A$2:$T$1001,3,)</f>
        <v>Female</v>
      </c>
      <c r="E801" t="str">
        <f>VLOOKUP(A801,'Remote work mental helath'!$A$2:$T$1001,20,)</f>
        <v>Africa</v>
      </c>
      <c r="F801" t="str">
        <f>VLOOKUP(A801,'Remote work mental helath'!$A$2:$T$1001,4,)</f>
        <v>Marketing</v>
      </c>
    </row>
    <row r="802" spans="1:6" x14ac:dyDescent="0.3">
      <c r="A802" t="s">
        <v>851</v>
      </c>
      <c r="B802">
        <f>VLOOKUP('Employee Details'!A802,'Remote work mental helath'!$A$2:$T$1001,2,)</f>
        <v>46</v>
      </c>
      <c r="C802" t="str">
        <f t="shared" si="12"/>
        <v>40-49</v>
      </c>
      <c r="D802" t="str">
        <f>VLOOKUP(A802,'Remote work mental helath'!$A$2:$T$1001,3,)</f>
        <v>Female</v>
      </c>
      <c r="E802" t="str">
        <f>VLOOKUP(A802,'Remote work mental helath'!$A$2:$T$1001,20,)</f>
        <v>Europe</v>
      </c>
      <c r="F802" t="str">
        <f>VLOOKUP(A802,'Remote work mental helath'!$A$2:$T$1001,4,)</f>
        <v>Marketing</v>
      </c>
    </row>
    <row r="803" spans="1:6" x14ac:dyDescent="0.3">
      <c r="A803" t="s">
        <v>852</v>
      </c>
      <c r="B803">
        <f>VLOOKUP('Employee Details'!A803,'Remote work mental helath'!$A$2:$T$1001,2,)</f>
        <v>24</v>
      </c>
      <c r="C803" t="str">
        <f t="shared" si="12"/>
        <v>20-29</v>
      </c>
      <c r="D803" t="str">
        <f>VLOOKUP(A803,'Remote work mental helath'!$A$2:$T$1001,3,)</f>
        <v>Male</v>
      </c>
      <c r="E803" t="str">
        <f>VLOOKUP(A803,'Remote work mental helath'!$A$2:$T$1001,20,)</f>
        <v>Africa</v>
      </c>
      <c r="F803" t="str">
        <f>VLOOKUP(A803,'Remote work mental helath'!$A$2:$T$1001,4,)</f>
        <v>Data Scientist</v>
      </c>
    </row>
    <row r="804" spans="1:6" x14ac:dyDescent="0.3">
      <c r="A804" t="s">
        <v>853</v>
      </c>
      <c r="B804">
        <f>VLOOKUP('Employee Details'!A804,'Remote work mental helath'!$A$2:$T$1001,2,)</f>
        <v>27</v>
      </c>
      <c r="C804" t="str">
        <f t="shared" si="12"/>
        <v>20-29</v>
      </c>
      <c r="D804" t="str">
        <f>VLOOKUP(A804,'Remote work mental helath'!$A$2:$T$1001,3,)</f>
        <v>Male</v>
      </c>
      <c r="E804" t="str">
        <f>VLOOKUP(A804,'Remote work mental helath'!$A$2:$T$1001,20,)</f>
        <v>Oceania</v>
      </c>
      <c r="F804" t="str">
        <f>VLOOKUP(A804,'Remote work mental helath'!$A$2:$T$1001,4,)</f>
        <v>Sales</v>
      </c>
    </row>
    <row r="805" spans="1:6" x14ac:dyDescent="0.3">
      <c r="A805" t="s">
        <v>854</v>
      </c>
      <c r="B805">
        <f>VLOOKUP('Employee Details'!A805,'Remote work mental helath'!$A$2:$T$1001,2,)</f>
        <v>39</v>
      </c>
      <c r="C805" t="str">
        <f t="shared" si="12"/>
        <v>30-39</v>
      </c>
      <c r="D805" t="str">
        <f>VLOOKUP(A805,'Remote work mental helath'!$A$2:$T$1001,3,)</f>
        <v>Prefer not to say</v>
      </c>
      <c r="E805" t="str">
        <f>VLOOKUP(A805,'Remote work mental helath'!$A$2:$T$1001,20,)</f>
        <v>Oceania</v>
      </c>
      <c r="F805" t="str">
        <f>VLOOKUP(A805,'Remote work mental helath'!$A$2:$T$1001,4,)</f>
        <v>Data Scientist</v>
      </c>
    </row>
    <row r="806" spans="1:6" x14ac:dyDescent="0.3">
      <c r="A806" t="s">
        <v>855</v>
      </c>
      <c r="B806">
        <f>VLOOKUP('Employee Details'!A806,'Remote work mental helath'!$A$2:$T$1001,2,)</f>
        <v>40</v>
      </c>
      <c r="C806" t="str">
        <f t="shared" si="12"/>
        <v>40-49</v>
      </c>
      <c r="D806" t="str">
        <f>VLOOKUP(A806,'Remote work mental helath'!$A$2:$T$1001,3,)</f>
        <v>Non-binary</v>
      </c>
      <c r="E806" t="str">
        <f>VLOOKUP(A806,'Remote work mental helath'!$A$2:$T$1001,20,)</f>
        <v>Asia</v>
      </c>
      <c r="F806" t="str">
        <f>VLOOKUP(A806,'Remote work mental helath'!$A$2:$T$1001,4,)</f>
        <v>Data Scientist</v>
      </c>
    </row>
    <row r="807" spans="1:6" x14ac:dyDescent="0.3">
      <c r="A807" t="s">
        <v>856</v>
      </c>
      <c r="B807">
        <f>VLOOKUP('Employee Details'!A807,'Remote work mental helath'!$A$2:$T$1001,2,)</f>
        <v>46</v>
      </c>
      <c r="C807" t="str">
        <f t="shared" si="12"/>
        <v>40-49</v>
      </c>
      <c r="D807" t="str">
        <f>VLOOKUP(A807,'Remote work mental helath'!$A$2:$T$1001,3,)</f>
        <v>Male</v>
      </c>
      <c r="E807" t="str">
        <f>VLOOKUP(A807,'Remote work mental helath'!$A$2:$T$1001,20,)</f>
        <v>Asia</v>
      </c>
      <c r="F807" t="str">
        <f>VLOOKUP(A807,'Remote work mental helath'!$A$2:$T$1001,4,)</f>
        <v>Project Manager</v>
      </c>
    </row>
    <row r="808" spans="1:6" x14ac:dyDescent="0.3">
      <c r="A808" t="s">
        <v>857</v>
      </c>
      <c r="B808">
        <f>VLOOKUP('Employee Details'!A808,'Remote work mental helath'!$A$2:$T$1001,2,)</f>
        <v>45</v>
      </c>
      <c r="C808" t="str">
        <f t="shared" si="12"/>
        <v>40-49</v>
      </c>
      <c r="D808" t="str">
        <f>VLOOKUP(A808,'Remote work mental helath'!$A$2:$T$1001,3,)</f>
        <v>Prefer not to say</v>
      </c>
      <c r="E808" t="str">
        <f>VLOOKUP(A808,'Remote work mental helath'!$A$2:$T$1001,20,)</f>
        <v>Asia</v>
      </c>
      <c r="F808" t="str">
        <f>VLOOKUP(A808,'Remote work mental helath'!$A$2:$T$1001,4,)</f>
        <v>Software Engineer</v>
      </c>
    </row>
    <row r="809" spans="1:6" x14ac:dyDescent="0.3">
      <c r="A809" t="s">
        <v>858</v>
      </c>
      <c r="B809">
        <f>VLOOKUP('Employee Details'!A809,'Remote work mental helath'!$A$2:$T$1001,2,)</f>
        <v>58</v>
      </c>
      <c r="C809" t="str">
        <f t="shared" si="12"/>
        <v>50+</v>
      </c>
      <c r="D809" t="str">
        <f>VLOOKUP(A809,'Remote work mental helath'!$A$2:$T$1001,3,)</f>
        <v>Prefer not to say</v>
      </c>
      <c r="E809" t="str">
        <f>VLOOKUP(A809,'Remote work mental helath'!$A$2:$T$1001,20,)</f>
        <v>Europe</v>
      </c>
      <c r="F809" t="str">
        <f>VLOOKUP(A809,'Remote work mental helath'!$A$2:$T$1001,4,)</f>
        <v>Designer</v>
      </c>
    </row>
    <row r="810" spans="1:6" x14ac:dyDescent="0.3">
      <c r="A810" t="s">
        <v>859</v>
      </c>
      <c r="B810">
        <f>VLOOKUP('Employee Details'!A810,'Remote work mental helath'!$A$2:$T$1001,2,)</f>
        <v>33</v>
      </c>
      <c r="C810" t="str">
        <f t="shared" si="12"/>
        <v>30-39</v>
      </c>
      <c r="D810" t="str">
        <f>VLOOKUP(A810,'Remote work mental helath'!$A$2:$T$1001,3,)</f>
        <v>Female</v>
      </c>
      <c r="E810" t="str">
        <f>VLOOKUP(A810,'Remote work mental helath'!$A$2:$T$1001,20,)</f>
        <v>Asia</v>
      </c>
      <c r="F810" t="str">
        <f>VLOOKUP(A810,'Remote work mental helath'!$A$2:$T$1001,4,)</f>
        <v>Software Engineer</v>
      </c>
    </row>
    <row r="811" spans="1:6" x14ac:dyDescent="0.3">
      <c r="A811" t="s">
        <v>860</v>
      </c>
      <c r="B811">
        <f>VLOOKUP('Employee Details'!A811,'Remote work mental helath'!$A$2:$T$1001,2,)</f>
        <v>41</v>
      </c>
      <c r="C811" t="str">
        <f t="shared" si="12"/>
        <v>40-49</v>
      </c>
      <c r="D811" t="str">
        <f>VLOOKUP(A811,'Remote work mental helath'!$A$2:$T$1001,3,)</f>
        <v>Prefer not to say</v>
      </c>
      <c r="E811" t="str">
        <f>VLOOKUP(A811,'Remote work mental helath'!$A$2:$T$1001,20,)</f>
        <v>Oceania</v>
      </c>
      <c r="F811" t="str">
        <f>VLOOKUP(A811,'Remote work mental helath'!$A$2:$T$1001,4,)</f>
        <v>HR</v>
      </c>
    </row>
    <row r="812" spans="1:6" x14ac:dyDescent="0.3">
      <c r="A812" t="s">
        <v>861</v>
      </c>
      <c r="B812">
        <f>VLOOKUP('Employee Details'!A812,'Remote work mental helath'!$A$2:$T$1001,2,)</f>
        <v>42</v>
      </c>
      <c r="C812" t="str">
        <f t="shared" si="12"/>
        <v>40-49</v>
      </c>
      <c r="D812" t="str">
        <f>VLOOKUP(A812,'Remote work mental helath'!$A$2:$T$1001,3,)</f>
        <v>Non-binary</v>
      </c>
      <c r="E812" t="str">
        <f>VLOOKUP(A812,'Remote work mental helath'!$A$2:$T$1001,20,)</f>
        <v>Europe</v>
      </c>
      <c r="F812" t="str">
        <f>VLOOKUP(A812,'Remote work mental helath'!$A$2:$T$1001,4,)</f>
        <v>Designer</v>
      </c>
    </row>
    <row r="813" spans="1:6" x14ac:dyDescent="0.3">
      <c r="A813" t="s">
        <v>862</v>
      </c>
      <c r="B813">
        <f>VLOOKUP('Employee Details'!A813,'Remote work mental helath'!$A$2:$T$1001,2,)</f>
        <v>34</v>
      </c>
      <c r="C813" t="str">
        <f t="shared" si="12"/>
        <v>30-39</v>
      </c>
      <c r="D813" t="str">
        <f>VLOOKUP(A813,'Remote work mental helath'!$A$2:$T$1001,3,)</f>
        <v>Non-binary</v>
      </c>
      <c r="E813" t="str">
        <f>VLOOKUP(A813,'Remote work mental helath'!$A$2:$T$1001,20,)</f>
        <v>South America</v>
      </c>
      <c r="F813" t="str">
        <f>VLOOKUP(A813,'Remote work mental helath'!$A$2:$T$1001,4,)</f>
        <v>Software Engineer</v>
      </c>
    </row>
    <row r="814" spans="1:6" x14ac:dyDescent="0.3">
      <c r="A814" t="s">
        <v>863</v>
      </c>
      <c r="B814">
        <f>VLOOKUP('Employee Details'!A814,'Remote work mental helath'!$A$2:$T$1001,2,)</f>
        <v>25</v>
      </c>
      <c r="C814" t="str">
        <f t="shared" si="12"/>
        <v>20-29</v>
      </c>
      <c r="D814" t="str">
        <f>VLOOKUP(A814,'Remote work mental helath'!$A$2:$T$1001,3,)</f>
        <v>Non-binary</v>
      </c>
      <c r="E814" t="str">
        <f>VLOOKUP(A814,'Remote work mental helath'!$A$2:$T$1001,20,)</f>
        <v>Asia</v>
      </c>
      <c r="F814" t="str">
        <f>VLOOKUP(A814,'Remote work mental helath'!$A$2:$T$1001,4,)</f>
        <v>Project Manager</v>
      </c>
    </row>
    <row r="815" spans="1:6" x14ac:dyDescent="0.3">
      <c r="A815" t="s">
        <v>864</v>
      </c>
      <c r="B815">
        <f>VLOOKUP('Employee Details'!A815,'Remote work mental helath'!$A$2:$T$1001,2,)</f>
        <v>46</v>
      </c>
      <c r="C815" t="str">
        <f t="shared" si="12"/>
        <v>40-49</v>
      </c>
      <c r="D815" t="str">
        <f>VLOOKUP(A815,'Remote work mental helath'!$A$2:$T$1001,3,)</f>
        <v>Female</v>
      </c>
      <c r="E815" t="str">
        <f>VLOOKUP(A815,'Remote work mental helath'!$A$2:$T$1001,20,)</f>
        <v>Asia</v>
      </c>
      <c r="F815" t="str">
        <f>VLOOKUP(A815,'Remote work mental helath'!$A$2:$T$1001,4,)</f>
        <v>Software Engineer</v>
      </c>
    </row>
    <row r="816" spans="1:6" x14ac:dyDescent="0.3">
      <c r="A816" t="s">
        <v>865</v>
      </c>
      <c r="B816">
        <f>VLOOKUP('Employee Details'!A816,'Remote work mental helath'!$A$2:$T$1001,2,)</f>
        <v>58</v>
      </c>
      <c r="C816" t="str">
        <f t="shared" si="12"/>
        <v>50+</v>
      </c>
      <c r="D816" t="str">
        <f>VLOOKUP(A816,'Remote work mental helath'!$A$2:$T$1001,3,)</f>
        <v>Female</v>
      </c>
      <c r="E816" t="str">
        <f>VLOOKUP(A816,'Remote work mental helath'!$A$2:$T$1001,20,)</f>
        <v>Europe</v>
      </c>
      <c r="F816" t="str">
        <f>VLOOKUP(A816,'Remote work mental helath'!$A$2:$T$1001,4,)</f>
        <v>Software Engineer</v>
      </c>
    </row>
    <row r="817" spans="1:6" x14ac:dyDescent="0.3">
      <c r="A817" t="s">
        <v>866</v>
      </c>
      <c r="B817">
        <f>VLOOKUP('Employee Details'!A817,'Remote work mental helath'!$A$2:$T$1001,2,)</f>
        <v>39</v>
      </c>
      <c r="C817" t="str">
        <f t="shared" si="12"/>
        <v>30-39</v>
      </c>
      <c r="D817" t="str">
        <f>VLOOKUP(A817,'Remote work mental helath'!$A$2:$T$1001,3,)</f>
        <v>Prefer not to say</v>
      </c>
      <c r="E817" t="str">
        <f>VLOOKUP(A817,'Remote work mental helath'!$A$2:$T$1001,20,)</f>
        <v>North America</v>
      </c>
      <c r="F817" t="str">
        <f>VLOOKUP(A817,'Remote work mental helath'!$A$2:$T$1001,4,)</f>
        <v>Software Engineer</v>
      </c>
    </row>
    <row r="818" spans="1:6" x14ac:dyDescent="0.3">
      <c r="A818" t="s">
        <v>867</v>
      </c>
      <c r="B818">
        <f>VLOOKUP('Employee Details'!A818,'Remote work mental helath'!$A$2:$T$1001,2,)</f>
        <v>35</v>
      </c>
      <c r="C818" t="str">
        <f t="shared" si="12"/>
        <v>30-39</v>
      </c>
      <c r="D818" t="str">
        <f>VLOOKUP(A818,'Remote work mental helath'!$A$2:$T$1001,3,)</f>
        <v>Non-binary</v>
      </c>
      <c r="E818" t="str">
        <f>VLOOKUP(A818,'Remote work mental helath'!$A$2:$T$1001,20,)</f>
        <v>Africa</v>
      </c>
      <c r="F818" t="str">
        <f>VLOOKUP(A818,'Remote work mental helath'!$A$2:$T$1001,4,)</f>
        <v>Sales</v>
      </c>
    </row>
    <row r="819" spans="1:6" x14ac:dyDescent="0.3">
      <c r="A819" t="s">
        <v>868</v>
      </c>
      <c r="B819">
        <f>VLOOKUP('Employee Details'!A819,'Remote work mental helath'!$A$2:$T$1001,2,)</f>
        <v>28</v>
      </c>
      <c r="C819" t="str">
        <f t="shared" si="12"/>
        <v>20-29</v>
      </c>
      <c r="D819" t="str">
        <f>VLOOKUP(A819,'Remote work mental helath'!$A$2:$T$1001,3,)</f>
        <v>Non-binary</v>
      </c>
      <c r="E819" t="str">
        <f>VLOOKUP(A819,'Remote work mental helath'!$A$2:$T$1001,20,)</f>
        <v>South America</v>
      </c>
      <c r="F819" t="str">
        <f>VLOOKUP(A819,'Remote work mental helath'!$A$2:$T$1001,4,)</f>
        <v>Software Engineer</v>
      </c>
    </row>
    <row r="820" spans="1:6" x14ac:dyDescent="0.3">
      <c r="A820" t="s">
        <v>869</v>
      </c>
      <c r="B820">
        <f>VLOOKUP('Employee Details'!A820,'Remote work mental helath'!$A$2:$T$1001,2,)</f>
        <v>35</v>
      </c>
      <c r="C820" t="str">
        <f t="shared" si="12"/>
        <v>30-39</v>
      </c>
      <c r="D820" t="str">
        <f>VLOOKUP(A820,'Remote work mental helath'!$A$2:$T$1001,3,)</f>
        <v>Male</v>
      </c>
      <c r="E820" t="str">
        <f>VLOOKUP(A820,'Remote work mental helath'!$A$2:$T$1001,20,)</f>
        <v>Africa</v>
      </c>
      <c r="F820" t="str">
        <f>VLOOKUP(A820,'Remote work mental helath'!$A$2:$T$1001,4,)</f>
        <v>Marketing</v>
      </c>
    </row>
    <row r="821" spans="1:6" x14ac:dyDescent="0.3">
      <c r="A821" t="s">
        <v>870</v>
      </c>
      <c r="B821">
        <f>VLOOKUP('Employee Details'!A821,'Remote work mental helath'!$A$2:$T$1001,2,)</f>
        <v>59</v>
      </c>
      <c r="C821" t="str">
        <f t="shared" si="12"/>
        <v>50+</v>
      </c>
      <c r="D821" t="str">
        <f>VLOOKUP(A821,'Remote work mental helath'!$A$2:$T$1001,3,)</f>
        <v>Male</v>
      </c>
      <c r="E821" t="str">
        <f>VLOOKUP(A821,'Remote work mental helath'!$A$2:$T$1001,20,)</f>
        <v>Asia</v>
      </c>
      <c r="F821" t="str">
        <f>VLOOKUP(A821,'Remote work mental helath'!$A$2:$T$1001,4,)</f>
        <v>Sales</v>
      </c>
    </row>
    <row r="822" spans="1:6" x14ac:dyDescent="0.3">
      <c r="A822" t="s">
        <v>871</v>
      </c>
      <c r="B822">
        <f>VLOOKUP('Employee Details'!A822,'Remote work mental helath'!$A$2:$T$1001,2,)</f>
        <v>52</v>
      </c>
      <c r="C822" t="str">
        <f t="shared" si="12"/>
        <v>50+</v>
      </c>
      <c r="D822" t="str">
        <f>VLOOKUP(A822,'Remote work mental helath'!$A$2:$T$1001,3,)</f>
        <v>Prefer not to say</v>
      </c>
      <c r="E822" t="str">
        <f>VLOOKUP(A822,'Remote work mental helath'!$A$2:$T$1001,20,)</f>
        <v>Asia</v>
      </c>
      <c r="F822" t="str">
        <f>VLOOKUP(A822,'Remote work mental helath'!$A$2:$T$1001,4,)</f>
        <v>Sales</v>
      </c>
    </row>
    <row r="823" spans="1:6" x14ac:dyDescent="0.3">
      <c r="A823" t="s">
        <v>872</v>
      </c>
      <c r="B823">
        <f>VLOOKUP('Employee Details'!A823,'Remote work mental helath'!$A$2:$T$1001,2,)</f>
        <v>52</v>
      </c>
      <c r="C823" t="str">
        <f t="shared" si="12"/>
        <v>50+</v>
      </c>
      <c r="D823" t="str">
        <f>VLOOKUP(A823,'Remote work mental helath'!$A$2:$T$1001,3,)</f>
        <v>Male</v>
      </c>
      <c r="E823" t="str">
        <f>VLOOKUP(A823,'Remote work mental helath'!$A$2:$T$1001,20,)</f>
        <v>Asia</v>
      </c>
      <c r="F823" t="str">
        <f>VLOOKUP(A823,'Remote work mental helath'!$A$2:$T$1001,4,)</f>
        <v>Marketing</v>
      </c>
    </row>
    <row r="824" spans="1:6" x14ac:dyDescent="0.3">
      <c r="A824" t="s">
        <v>873</v>
      </c>
      <c r="B824">
        <f>VLOOKUP('Employee Details'!A824,'Remote work mental helath'!$A$2:$T$1001,2,)</f>
        <v>51</v>
      </c>
      <c r="C824" t="str">
        <f t="shared" si="12"/>
        <v>50+</v>
      </c>
      <c r="D824" t="str">
        <f>VLOOKUP(A824,'Remote work mental helath'!$A$2:$T$1001,3,)</f>
        <v>Non-binary</v>
      </c>
      <c r="E824" t="str">
        <f>VLOOKUP(A824,'Remote work mental helath'!$A$2:$T$1001,20,)</f>
        <v>Asia</v>
      </c>
      <c r="F824" t="str">
        <f>VLOOKUP(A824,'Remote work mental helath'!$A$2:$T$1001,4,)</f>
        <v>HR</v>
      </c>
    </row>
    <row r="825" spans="1:6" x14ac:dyDescent="0.3">
      <c r="A825" t="s">
        <v>874</v>
      </c>
      <c r="B825">
        <f>VLOOKUP('Employee Details'!A825,'Remote work mental helath'!$A$2:$T$1001,2,)</f>
        <v>42</v>
      </c>
      <c r="C825" t="str">
        <f t="shared" si="12"/>
        <v>40-49</v>
      </c>
      <c r="D825" t="str">
        <f>VLOOKUP(A825,'Remote work mental helath'!$A$2:$T$1001,3,)</f>
        <v>Female</v>
      </c>
      <c r="E825" t="str">
        <f>VLOOKUP(A825,'Remote work mental helath'!$A$2:$T$1001,20,)</f>
        <v>Oceania</v>
      </c>
      <c r="F825" t="str">
        <f>VLOOKUP(A825,'Remote work mental helath'!$A$2:$T$1001,4,)</f>
        <v>Designer</v>
      </c>
    </row>
    <row r="826" spans="1:6" x14ac:dyDescent="0.3">
      <c r="A826" t="s">
        <v>875</v>
      </c>
      <c r="B826">
        <f>VLOOKUP('Employee Details'!A826,'Remote work mental helath'!$A$2:$T$1001,2,)</f>
        <v>48</v>
      </c>
      <c r="C826" t="str">
        <f t="shared" si="12"/>
        <v>40-49</v>
      </c>
      <c r="D826" t="str">
        <f>VLOOKUP(A826,'Remote work mental helath'!$A$2:$T$1001,3,)</f>
        <v>Prefer not to say</v>
      </c>
      <c r="E826" t="str">
        <f>VLOOKUP(A826,'Remote work mental helath'!$A$2:$T$1001,20,)</f>
        <v>Europe</v>
      </c>
      <c r="F826" t="str">
        <f>VLOOKUP(A826,'Remote work mental helath'!$A$2:$T$1001,4,)</f>
        <v>Sales</v>
      </c>
    </row>
    <row r="827" spans="1:6" x14ac:dyDescent="0.3">
      <c r="A827" t="s">
        <v>876</v>
      </c>
      <c r="B827">
        <f>VLOOKUP('Employee Details'!A827,'Remote work mental helath'!$A$2:$T$1001,2,)</f>
        <v>24</v>
      </c>
      <c r="C827" t="str">
        <f t="shared" si="12"/>
        <v>20-29</v>
      </c>
      <c r="D827" t="str">
        <f>VLOOKUP(A827,'Remote work mental helath'!$A$2:$T$1001,3,)</f>
        <v>Female</v>
      </c>
      <c r="E827" t="str">
        <f>VLOOKUP(A827,'Remote work mental helath'!$A$2:$T$1001,20,)</f>
        <v>South America</v>
      </c>
      <c r="F827" t="str">
        <f>VLOOKUP(A827,'Remote work mental helath'!$A$2:$T$1001,4,)</f>
        <v>Designer</v>
      </c>
    </row>
    <row r="828" spans="1:6" x14ac:dyDescent="0.3">
      <c r="A828" t="s">
        <v>877</v>
      </c>
      <c r="B828">
        <f>VLOOKUP('Employee Details'!A828,'Remote work mental helath'!$A$2:$T$1001,2,)</f>
        <v>45</v>
      </c>
      <c r="C828" t="str">
        <f t="shared" si="12"/>
        <v>40-49</v>
      </c>
      <c r="D828" t="str">
        <f>VLOOKUP(A828,'Remote work mental helath'!$A$2:$T$1001,3,)</f>
        <v>Prefer not to say</v>
      </c>
      <c r="E828" t="str">
        <f>VLOOKUP(A828,'Remote work mental helath'!$A$2:$T$1001,20,)</f>
        <v>Oceania</v>
      </c>
      <c r="F828" t="str">
        <f>VLOOKUP(A828,'Remote work mental helath'!$A$2:$T$1001,4,)</f>
        <v>Marketing</v>
      </c>
    </row>
    <row r="829" spans="1:6" x14ac:dyDescent="0.3">
      <c r="A829" t="s">
        <v>878</v>
      </c>
      <c r="B829">
        <f>VLOOKUP('Employee Details'!A829,'Remote work mental helath'!$A$2:$T$1001,2,)</f>
        <v>32</v>
      </c>
      <c r="C829" t="str">
        <f t="shared" si="12"/>
        <v>30-39</v>
      </c>
      <c r="D829" t="str">
        <f>VLOOKUP(A829,'Remote work mental helath'!$A$2:$T$1001,3,)</f>
        <v>Female</v>
      </c>
      <c r="E829" t="str">
        <f>VLOOKUP(A829,'Remote work mental helath'!$A$2:$T$1001,20,)</f>
        <v>South America</v>
      </c>
      <c r="F829" t="str">
        <f>VLOOKUP(A829,'Remote work mental helath'!$A$2:$T$1001,4,)</f>
        <v>Sales</v>
      </c>
    </row>
    <row r="830" spans="1:6" x14ac:dyDescent="0.3">
      <c r="A830" t="s">
        <v>879</v>
      </c>
      <c r="B830">
        <f>VLOOKUP('Employee Details'!A830,'Remote work mental helath'!$A$2:$T$1001,2,)</f>
        <v>50</v>
      </c>
      <c r="C830" t="str">
        <f t="shared" si="12"/>
        <v>50+</v>
      </c>
      <c r="D830" t="str">
        <f>VLOOKUP(A830,'Remote work mental helath'!$A$2:$T$1001,3,)</f>
        <v>Prefer not to say</v>
      </c>
      <c r="E830" t="str">
        <f>VLOOKUP(A830,'Remote work mental helath'!$A$2:$T$1001,20,)</f>
        <v>South America</v>
      </c>
      <c r="F830" t="str">
        <f>VLOOKUP(A830,'Remote work mental helath'!$A$2:$T$1001,4,)</f>
        <v>Marketing</v>
      </c>
    </row>
    <row r="831" spans="1:6" x14ac:dyDescent="0.3">
      <c r="A831" t="s">
        <v>880</v>
      </c>
      <c r="B831">
        <f>VLOOKUP('Employee Details'!A831,'Remote work mental helath'!$A$2:$T$1001,2,)</f>
        <v>46</v>
      </c>
      <c r="C831" t="str">
        <f t="shared" si="12"/>
        <v>40-49</v>
      </c>
      <c r="D831" t="str">
        <f>VLOOKUP(A831,'Remote work mental helath'!$A$2:$T$1001,3,)</f>
        <v>Non-binary</v>
      </c>
      <c r="E831" t="str">
        <f>VLOOKUP(A831,'Remote work mental helath'!$A$2:$T$1001,20,)</f>
        <v>Oceania</v>
      </c>
      <c r="F831" t="str">
        <f>VLOOKUP(A831,'Remote work mental helath'!$A$2:$T$1001,4,)</f>
        <v>Marketing</v>
      </c>
    </row>
    <row r="832" spans="1:6" x14ac:dyDescent="0.3">
      <c r="A832" t="s">
        <v>881</v>
      </c>
      <c r="B832">
        <f>VLOOKUP('Employee Details'!A832,'Remote work mental helath'!$A$2:$T$1001,2,)</f>
        <v>43</v>
      </c>
      <c r="C832" t="str">
        <f t="shared" si="12"/>
        <v>40-49</v>
      </c>
      <c r="D832" t="str">
        <f>VLOOKUP(A832,'Remote work mental helath'!$A$2:$T$1001,3,)</f>
        <v>Prefer not to say</v>
      </c>
      <c r="E832" t="str">
        <f>VLOOKUP(A832,'Remote work mental helath'!$A$2:$T$1001,20,)</f>
        <v>Europe</v>
      </c>
      <c r="F832" t="str">
        <f>VLOOKUP(A832,'Remote work mental helath'!$A$2:$T$1001,4,)</f>
        <v>HR</v>
      </c>
    </row>
    <row r="833" spans="1:6" x14ac:dyDescent="0.3">
      <c r="A833" t="s">
        <v>882</v>
      </c>
      <c r="B833">
        <f>VLOOKUP('Employee Details'!A833,'Remote work mental helath'!$A$2:$T$1001,2,)</f>
        <v>30</v>
      </c>
      <c r="C833" t="str">
        <f t="shared" si="12"/>
        <v>30-39</v>
      </c>
      <c r="D833" t="str">
        <f>VLOOKUP(A833,'Remote work mental helath'!$A$2:$T$1001,3,)</f>
        <v>Female</v>
      </c>
      <c r="E833" t="str">
        <f>VLOOKUP(A833,'Remote work mental helath'!$A$2:$T$1001,20,)</f>
        <v>Oceania</v>
      </c>
      <c r="F833" t="str">
        <f>VLOOKUP(A833,'Remote work mental helath'!$A$2:$T$1001,4,)</f>
        <v>Software Engineer</v>
      </c>
    </row>
    <row r="834" spans="1:6" x14ac:dyDescent="0.3">
      <c r="A834" t="s">
        <v>883</v>
      </c>
      <c r="B834">
        <f>VLOOKUP('Employee Details'!A834,'Remote work mental helath'!$A$2:$T$1001,2,)</f>
        <v>24</v>
      </c>
      <c r="C834" t="str">
        <f t="shared" si="12"/>
        <v>20-29</v>
      </c>
      <c r="D834" t="str">
        <f>VLOOKUP(A834,'Remote work mental helath'!$A$2:$T$1001,3,)</f>
        <v>Male</v>
      </c>
      <c r="E834" t="str">
        <f>VLOOKUP(A834,'Remote work mental helath'!$A$2:$T$1001,20,)</f>
        <v>Asia</v>
      </c>
      <c r="F834" t="str">
        <f>VLOOKUP(A834,'Remote work mental helath'!$A$2:$T$1001,4,)</f>
        <v>Data Scientist</v>
      </c>
    </row>
    <row r="835" spans="1:6" x14ac:dyDescent="0.3">
      <c r="A835" t="s">
        <v>884</v>
      </c>
      <c r="B835">
        <f>VLOOKUP('Employee Details'!A835,'Remote work mental helath'!$A$2:$T$1001,2,)</f>
        <v>43</v>
      </c>
      <c r="C835" t="str">
        <f t="shared" ref="C835:C898" si="13">IF(B835&lt;30,"20-29",IF(B835&lt;40,"30-39",IF(B835&lt;50,"40-49","50+")))</f>
        <v>40-49</v>
      </c>
      <c r="D835" t="str">
        <f>VLOOKUP(A835,'Remote work mental helath'!$A$2:$T$1001,3,)</f>
        <v>Female</v>
      </c>
      <c r="E835" t="str">
        <f>VLOOKUP(A835,'Remote work mental helath'!$A$2:$T$1001,20,)</f>
        <v>Asia</v>
      </c>
      <c r="F835" t="str">
        <f>VLOOKUP(A835,'Remote work mental helath'!$A$2:$T$1001,4,)</f>
        <v>Data Scientist</v>
      </c>
    </row>
    <row r="836" spans="1:6" x14ac:dyDescent="0.3">
      <c r="A836" t="s">
        <v>885</v>
      </c>
      <c r="B836">
        <f>VLOOKUP('Employee Details'!A836,'Remote work mental helath'!$A$2:$T$1001,2,)</f>
        <v>46</v>
      </c>
      <c r="C836" t="str">
        <f t="shared" si="13"/>
        <v>40-49</v>
      </c>
      <c r="D836" t="str">
        <f>VLOOKUP(A836,'Remote work mental helath'!$A$2:$T$1001,3,)</f>
        <v>Male</v>
      </c>
      <c r="E836" t="str">
        <f>VLOOKUP(A836,'Remote work mental helath'!$A$2:$T$1001,20,)</f>
        <v>North America</v>
      </c>
      <c r="F836" t="str">
        <f>VLOOKUP(A836,'Remote work mental helath'!$A$2:$T$1001,4,)</f>
        <v>Sales</v>
      </c>
    </row>
    <row r="837" spans="1:6" x14ac:dyDescent="0.3">
      <c r="A837" t="s">
        <v>886</v>
      </c>
      <c r="B837">
        <f>VLOOKUP('Employee Details'!A837,'Remote work mental helath'!$A$2:$T$1001,2,)</f>
        <v>55</v>
      </c>
      <c r="C837" t="str">
        <f t="shared" si="13"/>
        <v>50+</v>
      </c>
      <c r="D837" t="str">
        <f>VLOOKUP(A837,'Remote work mental helath'!$A$2:$T$1001,3,)</f>
        <v>Non-binary</v>
      </c>
      <c r="E837" t="str">
        <f>VLOOKUP(A837,'Remote work mental helath'!$A$2:$T$1001,20,)</f>
        <v>Europe</v>
      </c>
      <c r="F837" t="str">
        <f>VLOOKUP(A837,'Remote work mental helath'!$A$2:$T$1001,4,)</f>
        <v>Sales</v>
      </c>
    </row>
    <row r="838" spans="1:6" x14ac:dyDescent="0.3">
      <c r="A838" t="s">
        <v>887</v>
      </c>
      <c r="B838">
        <f>VLOOKUP('Employee Details'!A838,'Remote work mental helath'!$A$2:$T$1001,2,)</f>
        <v>46</v>
      </c>
      <c r="C838" t="str">
        <f t="shared" si="13"/>
        <v>40-49</v>
      </c>
      <c r="D838" t="str">
        <f>VLOOKUP(A838,'Remote work mental helath'!$A$2:$T$1001,3,)</f>
        <v>Non-binary</v>
      </c>
      <c r="E838" t="str">
        <f>VLOOKUP(A838,'Remote work mental helath'!$A$2:$T$1001,20,)</f>
        <v>North America</v>
      </c>
      <c r="F838" t="str">
        <f>VLOOKUP(A838,'Remote work mental helath'!$A$2:$T$1001,4,)</f>
        <v>HR</v>
      </c>
    </row>
    <row r="839" spans="1:6" x14ac:dyDescent="0.3">
      <c r="A839" t="s">
        <v>888</v>
      </c>
      <c r="B839">
        <f>VLOOKUP('Employee Details'!A839,'Remote work mental helath'!$A$2:$T$1001,2,)</f>
        <v>50</v>
      </c>
      <c r="C839" t="str">
        <f t="shared" si="13"/>
        <v>50+</v>
      </c>
      <c r="D839" t="str">
        <f>VLOOKUP(A839,'Remote work mental helath'!$A$2:$T$1001,3,)</f>
        <v>Prefer not to say</v>
      </c>
      <c r="E839" t="str">
        <f>VLOOKUP(A839,'Remote work mental helath'!$A$2:$T$1001,20,)</f>
        <v>North America</v>
      </c>
      <c r="F839" t="str">
        <f>VLOOKUP(A839,'Remote work mental helath'!$A$2:$T$1001,4,)</f>
        <v>Project Manager</v>
      </c>
    </row>
    <row r="840" spans="1:6" x14ac:dyDescent="0.3">
      <c r="A840" t="s">
        <v>889</v>
      </c>
      <c r="B840">
        <f>VLOOKUP('Employee Details'!A840,'Remote work mental helath'!$A$2:$T$1001,2,)</f>
        <v>54</v>
      </c>
      <c r="C840" t="str">
        <f t="shared" si="13"/>
        <v>50+</v>
      </c>
      <c r="D840" t="str">
        <f>VLOOKUP(A840,'Remote work mental helath'!$A$2:$T$1001,3,)</f>
        <v>Female</v>
      </c>
      <c r="E840" t="str">
        <f>VLOOKUP(A840,'Remote work mental helath'!$A$2:$T$1001,20,)</f>
        <v>Asia</v>
      </c>
      <c r="F840" t="str">
        <f>VLOOKUP(A840,'Remote work mental helath'!$A$2:$T$1001,4,)</f>
        <v>HR</v>
      </c>
    </row>
    <row r="841" spans="1:6" x14ac:dyDescent="0.3">
      <c r="A841" t="s">
        <v>890</v>
      </c>
      <c r="B841">
        <f>VLOOKUP('Employee Details'!A841,'Remote work mental helath'!$A$2:$T$1001,2,)</f>
        <v>31</v>
      </c>
      <c r="C841" t="str">
        <f t="shared" si="13"/>
        <v>30-39</v>
      </c>
      <c r="D841" t="str">
        <f>VLOOKUP(A841,'Remote work mental helath'!$A$2:$T$1001,3,)</f>
        <v>Prefer not to say</v>
      </c>
      <c r="E841" t="str">
        <f>VLOOKUP(A841,'Remote work mental helath'!$A$2:$T$1001,20,)</f>
        <v>Oceania</v>
      </c>
      <c r="F841" t="str">
        <f>VLOOKUP(A841,'Remote work mental helath'!$A$2:$T$1001,4,)</f>
        <v>Sales</v>
      </c>
    </row>
    <row r="842" spans="1:6" x14ac:dyDescent="0.3">
      <c r="A842" t="s">
        <v>891</v>
      </c>
      <c r="B842">
        <f>VLOOKUP('Employee Details'!A842,'Remote work mental helath'!$A$2:$T$1001,2,)</f>
        <v>51</v>
      </c>
      <c r="C842" t="str">
        <f t="shared" si="13"/>
        <v>50+</v>
      </c>
      <c r="D842" t="str">
        <f>VLOOKUP(A842,'Remote work mental helath'!$A$2:$T$1001,3,)</f>
        <v>Non-binary</v>
      </c>
      <c r="E842" t="str">
        <f>VLOOKUP(A842,'Remote work mental helath'!$A$2:$T$1001,20,)</f>
        <v>North America</v>
      </c>
      <c r="F842" t="str">
        <f>VLOOKUP(A842,'Remote work mental helath'!$A$2:$T$1001,4,)</f>
        <v>Sales</v>
      </c>
    </row>
    <row r="843" spans="1:6" x14ac:dyDescent="0.3">
      <c r="A843" t="s">
        <v>892</v>
      </c>
      <c r="B843">
        <f>VLOOKUP('Employee Details'!A843,'Remote work mental helath'!$A$2:$T$1001,2,)</f>
        <v>51</v>
      </c>
      <c r="C843" t="str">
        <f t="shared" si="13"/>
        <v>50+</v>
      </c>
      <c r="D843" t="str">
        <f>VLOOKUP(A843,'Remote work mental helath'!$A$2:$T$1001,3,)</f>
        <v>Non-binary</v>
      </c>
      <c r="E843" t="str">
        <f>VLOOKUP(A843,'Remote work mental helath'!$A$2:$T$1001,20,)</f>
        <v>South America</v>
      </c>
      <c r="F843" t="str">
        <f>VLOOKUP(A843,'Remote work mental helath'!$A$2:$T$1001,4,)</f>
        <v>Designer</v>
      </c>
    </row>
    <row r="844" spans="1:6" x14ac:dyDescent="0.3">
      <c r="A844" t="s">
        <v>893</v>
      </c>
      <c r="B844">
        <f>VLOOKUP('Employee Details'!A844,'Remote work mental helath'!$A$2:$T$1001,2,)</f>
        <v>41</v>
      </c>
      <c r="C844" t="str">
        <f t="shared" si="13"/>
        <v>40-49</v>
      </c>
      <c r="D844" t="str">
        <f>VLOOKUP(A844,'Remote work mental helath'!$A$2:$T$1001,3,)</f>
        <v>Prefer not to say</v>
      </c>
      <c r="E844" t="str">
        <f>VLOOKUP(A844,'Remote work mental helath'!$A$2:$T$1001,20,)</f>
        <v>Asia</v>
      </c>
      <c r="F844" t="str">
        <f>VLOOKUP(A844,'Remote work mental helath'!$A$2:$T$1001,4,)</f>
        <v>Designer</v>
      </c>
    </row>
    <row r="845" spans="1:6" x14ac:dyDescent="0.3">
      <c r="A845" t="s">
        <v>894</v>
      </c>
      <c r="B845">
        <f>VLOOKUP('Employee Details'!A845,'Remote work mental helath'!$A$2:$T$1001,2,)</f>
        <v>60</v>
      </c>
      <c r="C845" t="str">
        <f t="shared" si="13"/>
        <v>50+</v>
      </c>
      <c r="D845" t="str">
        <f>VLOOKUP(A845,'Remote work mental helath'!$A$2:$T$1001,3,)</f>
        <v>Prefer not to say</v>
      </c>
      <c r="E845" t="str">
        <f>VLOOKUP(A845,'Remote work mental helath'!$A$2:$T$1001,20,)</f>
        <v>Oceania</v>
      </c>
      <c r="F845" t="str">
        <f>VLOOKUP(A845,'Remote work mental helath'!$A$2:$T$1001,4,)</f>
        <v>Project Manager</v>
      </c>
    </row>
    <row r="846" spans="1:6" x14ac:dyDescent="0.3">
      <c r="A846" t="s">
        <v>895</v>
      </c>
      <c r="B846">
        <f>VLOOKUP('Employee Details'!A846,'Remote work mental helath'!$A$2:$T$1001,2,)</f>
        <v>27</v>
      </c>
      <c r="C846" t="str">
        <f t="shared" si="13"/>
        <v>20-29</v>
      </c>
      <c r="D846" t="str">
        <f>VLOOKUP(A846,'Remote work mental helath'!$A$2:$T$1001,3,)</f>
        <v>Prefer not to say</v>
      </c>
      <c r="E846" t="str">
        <f>VLOOKUP(A846,'Remote work mental helath'!$A$2:$T$1001,20,)</f>
        <v>Oceania</v>
      </c>
      <c r="F846" t="str">
        <f>VLOOKUP(A846,'Remote work mental helath'!$A$2:$T$1001,4,)</f>
        <v>Designer</v>
      </c>
    </row>
    <row r="847" spans="1:6" x14ac:dyDescent="0.3">
      <c r="A847" t="s">
        <v>896</v>
      </c>
      <c r="B847">
        <f>VLOOKUP('Employee Details'!A847,'Remote work mental helath'!$A$2:$T$1001,2,)</f>
        <v>39</v>
      </c>
      <c r="C847" t="str">
        <f t="shared" si="13"/>
        <v>30-39</v>
      </c>
      <c r="D847" t="str">
        <f>VLOOKUP(A847,'Remote work mental helath'!$A$2:$T$1001,3,)</f>
        <v>Male</v>
      </c>
      <c r="E847" t="str">
        <f>VLOOKUP(A847,'Remote work mental helath'!$A$2:$T$1001,20,)</f>
        <v>Africa</v>
      </c>
      <c r="F847" t="str">
        <f>VLOOKUP(A847,'Remote work mental helath'!$A$2:$T$1001,4,)</f>
        <v>Project Manager</v>
      </c>
    </row>
    <row r="848" spans="1:6" x14ac:dyDescent="0.3">
      <c r="A848" t="s">
        <v>897</v>
      </c>
      <c r="B848">
        <f>VLOOKUP('Employee Details'!A848,'Remote work mental helath'!$A$2:$T$1001,2,)</f>
        <v>57</v>
      </c>
      <c r="C848" t="str">
        <f t="shared" si="13"/>
        <v>50+</v>
      </c>
      <c r="D848" t="str">
        <f>VLOOKUP(A848,'Remote work mental helath'!$A$2:$T$1001,3,)</f>
        <v>Prefer not to say</v>
      </c>
      <c r="E848" t="str">
        <f>VLOOKUP(A848,'Remote work mental helath'!$A$2:$T$1001,20,)</f>
        <v>Asia</v>
      </c>
      <c r="F848" t="str">
        <f>VLOOKUP(A848,'Remote work mental helath'!$A$2:$T$1001,4,)</f>
        <v>HR</v>
      </c>
    </row>
    <row r="849" spans="1:6" x14ac:dyDescent="0.3">
      <c r="A849" t="s">
        <v>898</v>
      </c>
      <c r="B849">
        <f>VLOOKUP('Employee Details'!A849,'Remote work mental helath'!$A$2:$T$1001,2,)</f>
        <v>32</v>
      </c>
      <c r="C849" t="str">
        <f t="shared" si="13"/>
        <v>30-39</v>
      </c>
      <c r="D849" t="str">
        <f>VLOOKUP(A849,'Remote work mental helath'!$A$2:$T$1001,3,)</f>
        <v>Prefer not to say</v>
      </c>
      <c r="E849" t="str">
        <f>VLOOKUP(A849,'Remote work mental helath'!$A$2:$T$1001,20,)</f>
        <v>Europe</v>
      </c>
      <c r="F849" t="str">
        <f>VLOOKUP(A849,'Remote work mental helath'!$A$2:$T$1001,4,)</f>
        <v>Marketing</v>
      </c>
    </row>
    <row r="850" spans="1:6" x14ac:dyDescent="0.3">
      <c r="A850" t="s">
        <v>899</v>
      </c>
      <c r="B850">
        <f>VLOOKUP('Employee Details'!A850,'Remote work mental helath'!$A$2:$T$1001,2,)</f>
        <v>42</v>
      </c>
      <c r="C850" t="str">
        <f t="shared" si="13"/>
        <v>40-49</v>
      </c>
      <c r="D850" t="str">
        <f>VLOOKUP(A850,'Remote work mental helath'!$A$2:$T$1001,3,)</f>
        <v>Non-binary</v>
      </c>
      <c r="E850" t="str">
        <f>VLOOKUP(A850,'Remote work mental helath'!$A$2:$T$1001,20,)</f>
        <v>Oceania</v>
      </c>
      <c r="F850" t="str">
        <f>VLOOKUP(A850,'Remote work mental helath'!$A$2:$T$1001,4,)</f>
        <v>HR</v>
      </c>
    </row>
    <row r="851" spans="1:6" x14ac:dyDescent="0.3">
      <c r="A851" t="s">
        <v>900</v>
      </c>
      <c r="B851">
        <f>VLOOKUP('Employee Details'!A851,'Remote work mental helath'!$A$2:$T$1001,2,)</f>
        <v>43</v>
      </c>
      <c r="C851" t="str">
        <f t="shared" si="13"/>
        <v>40-49</v>
      </c>
      <c r="D851" t="str">
        <f>VLOOKUP(A851,'Remote work mental helath'!$A$2:$T$1001,3,)</f>
        <v>Non-binary</v>
      </c>
      <c r="E851" t="str">
        <f>VLOOKUP(A851,'Remote work mental helath'!$A$2:$T$1001,20,)</f>
        <v>North America</v>
      </c>
      <c r="F851" t="str">
        <f>VLOOKUP(A851,'Remote work mental helath'!$A$2:$T$1001,4,)</f>
        <v>Software Engineer</v>
      </c>
    </row>
    <row r="852" spans="1:6" x14ac:dyDescent="0.3">
      <c r="A852" t="s">
        <v>901</v>
      </c>
      <c r="B852">
        <f>VLOOKUP('Employee Details'!A852,'Remote work mental helath'!$A$2:$T$1001,2,)</f>
        <v>58</v>
      </c>
      <c r="C852" t="str">
        <f t="shared" si="13"/>
        <v>50+</v>
      </c>
      <c r="D852" t="str">
        <f>VLOOKUP(A852,'Remote work mental helath'!$A$2:$T$1001,3,)</f>
        <v>Prefer not to say</v>
      </c>
      <c r="E852" t="str">
        <f>VLOOKUP(A852,'Remote work mental helath'!$A$2:$T$1001,20,)</f>
        <v>Africa</v>
      </c>
      <c r="F852" t="str">
        <f>VLOOKUP(A852,'Remote work mental helath'!$A$2:$T$1001,4,)</f>
        <v>Data Scientist</v>
      </c>
    </row>
    <row r="853" spans="1:6" x14ac:dyDescent="0.3">
      <c r="A853" t="s">
        <v>902</v>
      </c>
      <c r="B853">
        <f>VLOOKUP('Employee Details'!A853,'Remote work mental helath'!$A$2:$T$1001,2,)</f>
        <v>25</v>
      </c>
      <c r="C853" t="str">
        <f t="shared" si="13"/>
        <v>20-29</v>
      </c>
      <c r="D853" t="str">
        <f>VLOOKUP(A853,'Remote work mental helath'!$A$2:$T$1001,3,)</f>
        <v>Male</v>
      </c>
      <c r="E853" t="str">
        <f>VLOOKUP(A853,'Remote work mental helath'!$A$2:$T$1001,20,)</f>
        <v>Oceania</v>
      </c>
      <c r="F853" t="str">
        <f>VLOOKUP(A853,'Remote work mental helath'!$A$2:$T$1001,4,)</f>
        <v>Sales</v>
      </c>
    </row>
    <row r="854" spans="1:6" x14ac:dyDescent="0.3">
      <c r="A854" t="s">
        <v>903</v>
      </c>
      <c r="B854">
        <f>VLOOKUP('Employee Details'!A854,'Remote work mental helath'!$A$2:$T$1001,2,)</f>
        <v>59</v>
      </c>
      <c r="C854" t="str">
        <f t="shared" si="13"/>
        <v>50+</v>
      </c>
      <c r="D854" t="str">
        <f>VLOOKUP(A854,'Remote work mental helath'!$A$2:$T$1001,3,)</f>
        <v>Female</v>
      </c>
      <c r="E854" t="str">
        <f>VLOOKUP(A854,'Remote work mental helath'!$A$2:$T$1001,20,)</f>
        <v>Oceania</v>
      </c>
      <c r="F854" t="str">
        <f>VLOOKUP(A854,'Remote work mental helath'!$A$2:$T$1001,4,)</f>
        <v>Marketing</v>
      </c>
    </row>
    <row r="855" spans="1:6" x14ac:dyDescent="0.3">
      <c r="A855" t="s">
        <v>904</v>
      </c>
      <c r="B855">
        <f>VLOOKUP('Employee Details'!A855,'Remote work mental helath'!$A$2:$T$1001,2,)</f>
        <v>28</v>
      </c>
      <c r="C855" t="str">
        <f t="shared" si="13"/>
        <v>20-29</v>
      </c>
      <c r="D855" t="str">
        <f>VLOOKUP(A855,'Remote work mental helath'!$A$2:$T$1001,3,)</f>
        <v>Prefer not to say</v>
      </c>
      <c r="E855" t="str">
        <f>VLOOKUP(A855,'Remote work mental helath'!$A$2:$T$1001,20,)</f>
        <v>Asia</v>
      </c>
      <c r="F855" t="str">
        <f>VLOOKUP(A855,'Remote work mental helath'!$A$2:$T$1001,4,)</f>
        <v>HR</v>
      </c>
    </row>
    <row r="856" spans="1:6" x14ac:dyDescent="0.3">
      <c r="A856" t="s">
        <v>905</v>
      </c>
      <c r="B856">
        <f>VLOOKUP('Employee Details'!A856,'Remote work mental helath'!$A$2:$T$1001,2,)</f>
        <v>41</v>
      </c>
      <c r="C856" t="str">
        <f t="shared" si="13"/>
        <v>40-49</v>
      </c>
      <c r="D856" t="str">
        <f>VLOOKUP(A856,'Remote work mental helath'!$A$2:$T$1001,3,)</f>
        <v>Female</v>
      </c>
      <c r="E856" t="str">
        <f>VLOOKUP(A856,'Remote work mental helath'!$A$2:$T$1001,20,)</f>
        <v>Europe</v>
      </c>
      <c r="F856" t="str">
        <f>VLOOKUP(A856,'Remote work mental helath'!$A$2:$T$1001,4,)</f>
        <v>HR</v>
      </c>
    </row>
    <row r="857" spans="1:6" x14ac:dyDescent="0.3">
      <c r="A857" t="s">
        <v>906</v>
      </c>
      <c r="B857">
        <f>VLOOKUP('Employee Details'!A857,'Remote work mental helath'!$A$2:$T$1001,2,)</f>
        <v>45</v>
      </c>
      <c r="C857" t="str">
        <f t="shared" si="13"/>
        <v>40-49</v>
      </c>
      <c r="D857" t="str">
        <f>VLOOKUP(A857,'Remote work mental helath'!$A$2:$T$1001,3,)</f>
        <v>Non-binary</v>
      </c>
      <c r="E857" t="str">
        <f>VLOOKUP(A857,'Remote work mental helath'!$A$2:$T$1001,20,)</f>
        <v>Asia</v>
      </c>
      <c r="F857" t="str">
        <f>VLOOKUP(A857,'Remote work mental helath'!$A$2:$T$1001,4,)</f>
        <v>Designer</v>
      </c>
    </row>
    <row r="858" spans="1:6" x14ac:dyDescent="0.3">
      <c r="A858" t="s">
        <v>907</v>
      </c>
      <c r="B858">
        <f>VLOOKUP('Employee Details'!A858,'Remote work mental helath'!$A$2:$T$1001,2,)</f>
        <v>37</v>
      </c>
      <c r="C858" t="str">
        <f t="shared" si="13"/>
        <v>30-39</v>
      </c>
      <c r="D858" t="str">
        <f>VLOOKUP(A858,'Remote work mental helath'!$A$2:$T$1001,3,)</f>
        <v>Male</v>
      </c>
      <c r="E858" t="str">
        <f>VLOOKUP(A858,'Remote work mental helath'!$A$2:$T$1001,20,)</f>
        <v>Oceania</v>
      </c>
      <c r="F858" t="str">
        <f>VLOOKUP(A858,'Remote work mental helath'!$A$2:$T$1001,4,)</f>
        <v>Sales</v>
      </c>
    </row>
    <row r="859" spans="1:6" x14ac:dyDescent="0.3">
      <c r="A859" t="s">
        <v>908</v>
      </c>
      <c r="B859">
        <f>VLOOKUP('Employee Details'!A859,'Remote work mental helath'!$A$2:$T$1001,2,)</f>
        <v>27</v>
      </c>
      <c r="C859" t="str">
        <f t="shared" si="13"/>
        <v>20-29</v>
      </c>
      <c r="D859" t="str">
        <f>VLOOKUP(A859,'Remote work mental helath'!$A$2:$T$1001,3,)</f>
        <v>Non-binary</v>
      </c>
      <c r="E859" t="str">
        <f>VLOOKUP(A859,'Remote work mental helath'!$A$2:$T$1001,20,)</f>
        <v>South America</v>
      </c>
      <c r="F859" t="str">
        <f>VLOOKUP(A859,'Remote work mental helath'!$A$2:$T$1001,4,)</f>
        <v>Software Engineer</v>
      </c>
    </row>
    <row r="860" spans="1:6" x14ac:dyDescent="0.3">
      <c r="A860" t="s">
        <v>909</v>
      </c>
      <c r="B860">
        <f>VLOOKUP('Employee Details'!A860,'Remote work mental helath'!$A$2:$T$1001,2,)</f>
        <v>46</v>
      </c>
      <c r="C860" t="str">
        <f t="shared" si="13"/>
        <v>40-49</v>
      </c>
      <c r="D860" t="str">
        <f>VLOOKUP(A860,'Remote work mental helath'!$A$2:$T$1001,3,)</f>
        <v>Female</v>
      </c>
      <c r="E860" t="str">
        <f>VLOOKUP(A860,'Remote work mental helath'!$A$2:$T$1001,20,)</f>
        <v>Asia</v>
      </c>
      <c r="F860" t="str">
        <f>VLOOKUP(A860,'Remote work mental helath'!$A$2:$T$1001,4,)</f>
        <v>Project Manager</v>
      </c>
    </row>
    <row r="861" spans="1:6" x14ac:dyDescent="0.3">
      <c r="A861" t="s">
        <v>910</v>
      </c>
      <c r="B861">
        <f>VLOOKUP('Employee Details'!A861,'Remote work mental helath'!$A$2:$T$1001,2,)</f>
        <v>48</v>
      </c>
      <c r="C861" t="str">
        <f t="shared" si="13"/>
        <v>40-49</v>
      </c>
      <c r="D861" t="str">
        <f>VLOOKUP(A861,'Remote work mental helath'!$A$2:$T$1001,3,)</f>
        <v>Prefer not to say</v>
      </c>
      <c r="E861" t="str">
        <f>VLOOKUP(A861,'Remote work mental helath'!$A$2:$T$1001,20,)</f>
        <v>Europe</v>
      </c>
      <c r="F861" t="str">
        <f>VLOOKUP(A861,'Remote work mental helath'!$A$2:$T$1001,4,)</f>
        <v>Data Scientist</v>
      </c>
    </row>
    <row r="862" spans="1:6" x14ac:dyDescent="0.3">
      <c r="A862" t="s">
        <v>911</v>
      </c>
      <c r="B862">
        <f>VLOOKUP('Employee Details'!A862,'Remote work mental helath'!$A$2:$T$1001,2,)</f>
        <v>35</v>
      </c>
      <c r="C862" t="str">
        <f t="shared" si="13"/>
        <v>30-39</v>
      </c>
      <c r="D862" t="str">
        <f>VLOOKUP(A862,'Remote work mental helath'!$A$2:$T$1001,3,)</f>
        <v>Prefer not to say</v>
      </c>
      <c r="E862" t="str">
        <f>VLOOKUP(A862,'Remote work mental helath'!$A$2:$T$1001,20,)</f>
        <v>Europe</v>
      </c>
      <c r="F862" t="str">
        <f>VLOOKUP(A862,'Remote work mental helath'!$A$2:$T$1001,4,)</f>
        <v>Marketing</v>
      </c>
    </row>
    <row r="863" spans="1:6" x14ac:dyDescent="0.3">
      <c r="A863" t="s">
        <v>912</v>
      </c>
      <c r="B863">
        <f>VLOOKUP('Employee Details'!A863,'Remote work mental helath'!$A$2:$T$1001,2,)</f>
        <v>32</v>
      </c>
      <c r="C863" t="str">
        <f t="shared" si="13"/>
        <v>30-39</v>
      </c>
      <c r="D863" t="str">
        <f>VLOOKUP(A863,'Remote work mental helath'!$A$2:$T$1001,3,)</f>
        <v>Male</v>
      </c>
      <c r="E863" t="str">
        <f>VLOOKUP(A863,'Remote work mental helath'!$A$2:$T$1001,20,)</f>
        <v>South America</v>
      </c>
      <c r="F863" t="str">
        <f>VLOOKUP(A863,'Remote work mental helath'!$A$2:$T$1001,4,)</f>
        <v>Data Scientist</v>
      </c>
    </row>
    <row r="864" spans="1:6" x14ac:dyDescent="0.3">
      <c r="A864" t="s">
        <v>913</v>
      </c>
      <c r="B864">
        <f>VLOOKUP('Employee Details'!A864,'Remote work mental helath'!$A$2:$T$1001,2,)</f>
        <v>36</v>
      </c>
      <c r="C864" t="str">
        <f t="shared" si="13"/>
        <v>30-39</v>
      </c>
      <c r="D864" t="str">
        <f>VLOOKUP(A864,'Remote work mental helath'!$A$2:$T$1001,3,)</f>
        <v>Female</v>
      </c>
      <c r="E864" t="str">
        <f>VLOOKUP(A864,'Remote work mental helath'!$A$2:$T$1001,20,)</f>
        <v>North America</v>
      </c>
      <c r="F864" t="str">
        <f>VLOOKUP(A864,'Remote work mental helath'!$A$2:$T$1001,4,)</f>
        <v>Marketing</v>
      </c>
    </row>
    <row r="865" spans="1:6" x14ac:dyDescent="0.3">
      <c r="A865" t="s">
        <v>914</v>
      </c>
      <c r="B865">
        <f>VLOOKUP('Employee Details'!A865,'Remote work mental helath'!$A$2:$T$1001,2,)</f>
        <v>24</v>
      </c>
      <c r="C865" t="str">
        <f t="shared" si="13"/>
        <v>20-29</v>
      </c>
      <c r="D865" t="str">
        <f>VLOOKUP(A865,'Remote work mental helath'!$A$2:$T$1001,3,)</f>
        <v>Non-binary</v>
      </c>
      <c r="E865" t="str">
        <f>VLOOKUP(A865,'Remote work mental helath'!$A$2:$T$1001,20,)</f>
        <v>Asia</v>
      </c>
      <c r="F865" t="str">
        <f>VLOOKUP(A865,'Remote work mental helath'!$A$2:$T$1001,4,)</f>
        <v>Data Scientist</v>
      </c>
    </row>
    <row r="866" spans="1:6" x14ac:dyDescent="0.3">
      <c r="A866" t="s">
        <v>915</v>
      </c>
      <c r="B866">
        <f>VLOOKUP('Employee Details'!A866,'Remote work mental helath'!$A$2:$T$1001,2,)</f>
        <v>58</v>
      </c>
      <c r="C866" t="str">
        <f t="shared" si="13"/>
        <v>50+</v>
      </c>
      <c r="D866" t="str">
        <f>VLOOKUP(A866,'Remote work mental helath'!$A$2:$T$1001,3,)</f>
        <v>Female</v>
      </c>
      <c r="E866" t="str">
        <f>VLOOKUP(A866,'Remote work mental helath'!$A$2:$T$1001,20,)</f>
        <v>North America</v>
      </c>
      <c r="F866" t="str">
        <f>VLOOKUP(A866,'Remote work mental helath'!$A$2:$T$1001,4,)</f>
        <v>Sales</v>
      </c>
    </row>
    <row r="867" spans="1:6" x14ac:dyDescent="0.3">
      <c r="A867" t="s">
        <v>916</v>
      </c>
      <c r="B867">
        <f>VLOOKUP('Employee Details'!A867,'Remote work mental helath'!$A$2:$T$1001,2,)</f>
        <v>53</v>
      </c>
      <c r="C867" t="str">
        <f t="shared" si="13"/>
        <v>50+</v>
      </c>
      <c r="D867" t="str">
        <f>VLOOKUP(A867,'Remote work mental helath'!$A$2:$T$1001,3,)</f>
        <v>Non-binary</v>
      </c>
      <c r="E867" t="str">
        <f>VLOOKUP(A867,'Remote work mental helath'!$A$2:$T$1001,20,)</f>
        <v>South America</v>
      </c>
      <c r="F867" t="str">
        <f>VLOOKUP(A867,'Remote work mental helath'!$A$2:$T$1001,4,)</f>
        <v>Marketing</v>
      </c>
    </row>
    <row r="868" spans="1:6" x14ac:dyDescent="0.3">
      <c r="A868" t="s">
        <v>917</v>
      </c>
      <c r="B868">
        <f>VLOOKUP('Employee Details'!A868,'Remote work mental helath'!$A$2:$T$1001,2,)</f>
        <v>35</v>
      </c>
      <c r="C868" t="str">
        <f t="shared" si="13"/>
        <v>30-39</v>
      </c>
      <c r="D868" t="str">
        <f>VLOOKUP(A868,'Remote work mental helath'!$A$2:$T$1001,3,)</f>
        <v>Prefer not to say</v>
      </c>
      <c r="E868" t="str">
        <f>VLOOKUP(A868,'Remote work mental helath'!$A$2:$T$1001,20,)</f>
        <v>Africa</v>
      </c>
      <c r="F868" t="str">
        <f>VLOOKUP(A868,'Remote work mental helath'!$A$2:$T$1001,4,)</f>
        <v>HR</v>
      </c>
    </row>
    <row r="869" spans="1:6" x14ac:dyDescent="0.3">
      <c r="A869" t="s">
        <v>918</v>
      </c>
      <c r="B869">
        <f>VLOOKUP('Employee Details'!A869,'Remote work mental helath'!$A$2:$T$1001,2,)</f>
        <v>26</v>
      </c>
      <c r="C869" t="str">
        <f t="shared" si="13"/>
        <v>20-29</v>
      </c>
      <c r="D869" t="str">
        <f>VLOOKUP(A869,'Remote work mental helath'!$A$2:$T$1001,3,)</f>
        <v>Prefer not to say</v>
      </c>
      <c r="E869" t="str">
        <f>VLOOKUP(A869,'Remote work mental helath'!$A$2:$T$1001,20,)</f>
        <v>North America</v>
      </c>
      <c r="F869" t="str">
        <f>VLOOKUP(A869,'Remote work mental helath'!$A$2:$T$1001,4,)</f>
        <v>Project Manager</v>
      </c>
    </row>
    <row r="870" spans="1:6" x14ac:dyDescent="0.3">
      <c r="A870" t="s">
        <v>919</v>
      </c>
      <c r="B870">
        <f>VLOOKUP('Employee Details'!A870,'Remote work mental helath'!$A$2:$T$1001,2,)</f>
        <v>50</v>
      </c>
      <c r="C870" t="str">
        <f t="shared" si="13"/>
        <v>50+</v>
      </c>
      <c r="D870" t="str">
        <f>VLOOKUP(A870,'Remote work mental helath'!$A$2:$T$1001,3,)</f>
        <v>Non-binary</v>
      </c>
      <c r="E870" t="str">
        <f>VLOOKUP(A870,'Remote work mental helath'!$A$2:$T$1001,20,)</f>
        <v>Africa</v>
      </c>
      <c r="F870" t="str">
        <f>VLOOKUP(A870,'Remote work mental helath'!$A$2:$T$1001,4,)</f>
        <v>Data Scientist</v>
      </c>
    </row>
    <row r="871" spans="1:6" x14ac:dyDescent="0.3">
      <c r="A871" t="s">
        <v>920</v>
      </c>
      <c r="B871">
        <f>VLOOKUP('Employee Details'!A871,'Remote work mental helath'!$A$2:$T$1001,2,)</f>
        <v>33</v>
      </c>
      <c r="C871" t="str">
        <f t="shared" si="13"/>
        <v>30-39</v>
      </c>
      <c r="D871" t="str">
        <f>VLOOKUP(A871,'Remote work mental helath'!$A$2:$T$1001,3,)</f>
        <v>Non-binary</v>
      </c>
      <c r="E871" t="str">
        <f>VLOOKUP(A871,'Remote work mental helath'!$A$2:$T$1001,20,)</f>
        <v>North America</v>
      </c>
      <c r="F871" t="str">
        <f>VLOOKUP(A871,'Remote work mental helath'!$A$2:$T$1001,4,)</f>
        <v>Sales</v>
      </c>
    </row>
    <row r="872" spans="1:6" x14ac:dyDescent="0.3">
      <c r="A872" t="s">
        <v>921</v>
      </c>
      <c r="B872">
        <f>VLOOKUP('Employee Details'!A872,'Remote work mental helath'!$A$2:$T$1001,2,)</f>
        <v>30</v>
      </c>
      <c r="C872" t="str">
        <f t="shared" si="13"/>
        <v>30-39</v>
      </c>
      <c r="D872" t="str">
        <f>VLOOKUP(A872,'Remote work mental helath'!$A$2:$T$1001,3,)</f>
        <v>Female</v>
      </c>
      <c r="E872" t="str">
        <f>VLOOKUP(A872,'Remote work mental helath'!$A$2:$T$1001,20,)</f>
        <v>South America</v>
      </c>
      <c r="F872" t="str">
        <f>VLOOKUP(A872,'Remote work mental helath'!$A$2:$T$1001,4,)</f>
        <v>Sales</v>
      </c>
    </row>
    <row r="873" spans="1:6" x14ac:dyDescent="0.3">
      <c r="A873" t="s">
        <v>922</v>
      </c>
      <c r="B873">
        <f>VLOOKUP('Employee Details'!A873,'Remote work mental helath'!$A$2:$T$1001,2,)</f>
        <v>60</v>
      </c>
      <c r="C873" t="str">
        <f t="shared" si="13"/>
        <v>50+</v>
      </c>
      <c r="D873" t="str">
        <f>VLOOKUP(A873,'Remote work mental helath'!$A$2:$T$1001,3,)</f>
        <v>Non-binary</v>
      </c>
      <c r="E873" t="str">
        <f>VLOOKUP(A873,'Remote work mental helath'!$A$2:$T$1001,20,)</f>
        <v>Asia</v>
      </c>
      <c r="F873" t="str">
        <f>VLOOKUP(A873,'Remote work mental helath'!$A$2:$T$1001,4,)</f>
        <v>Marketing</v>
      </c>
    </row>
    <row r="874" spans="1:6" x14ac:dyDescent="0.3">
      <c r="A874" t="s">
        <v>923</v>
      </c>
      <c r="B874">
        <f>VLOOKUP('Employee Details'!A874,'Remote work mental helath'!$A$2:$T$1001,2,)</f>
        <v>59</v>
      </c>
      <c r="C874" t="str">
        <f t="shared" si="13"/>
        <v>50+</v>
      </c>
      <c r="D874" t="str">
        <f>VLOOKUP(A874,'Remote work mental helath'!$A$2:$T$1001,3,)</f>
        <v>Female</v>
      </c>
      <c r="E874" t="str">
        <f>VLOOKUP(A874,'Remote work mental helath'!$A$2:$T$1001,20,)</f>
        <v>Europe</v>
      </c>
      <c r="F874" t="str">
        <f>VLOOKUP(A874,'Remote work mental helath'!$A$2:$T$1001,4,)</f>
        <v>Software Engineer</v>
      </c>
    </row>
    <row r="875" spans="1:6" x14ac:dyDescent="0.3">
      <c r="A875" t="s">
        <v>924</v>
      </c>
      <c r="B875">
        <f>VLOOKUP('Employee Details'!A875,'Remote work mental helath'!$A$2:$T$1001,2,)</f>
        <v>57</v>
      </c>
      <c r="C875" t="str">
        <f t="shared" si="13"/>
        <v>50+</v>
      </c>
      <c r="D875" t="str">
        <f>VLOOKUP(A875,'Remote work mental helath'!$A$2:$T$1001,3,)</f>
        <v>Non-binary</v>
      </c>
      <c r="E875" t="str">
        <f>VLOOKUP(A875,'Remote work mental helath'!$A$2:$T$1001,20,)</f>
        <v>Africa</v>
      </c>
      <c r="F875" t="str">
        <f>VLOOKUP(A875,'Remote work mental helath'!$A$2:$T$1001,4,)</f>
        <v>Designer</v>
      </c>
    </row>
    <row r="876" spans="1:6" x14ac:dyDescent="0.3">
      <c r="A876" t="s">
        <v>925</v>
      </c>
      <c r="B876">
        <f>VLOOKUP('Employee Details'!A876,'Remote work mental helath'!$A$2:$T$1001,2,)</f>
        <v>47</v>
      </c>
      <c r="C876" t="str">
        <f t="shared" si="13"/>
        <v>40-49</v>
      </c>
      <c r="D876" t="str">
        <f>VLOOKUP(A876,'Remote work mental helath'!$A$2:$T$1001,3,)</f>
        <v>Prefer not to say</v>
      </c>
      <c r="E876" t="str">
        <f>VLOOKUP(A876,'Remote work mental helath'!$A$2:$T$1001,20,)</f>
        <v>North America</v>
      </c>
      <c r="F876" t="str">
        <f>VLOOKUP(A876,'Remote work mental helath'!$A$2:$T$1001,4,)</f>
        <v>Designer</v>
      </c>
    </row>
    <row r="877" spans="1:6" x14ac:dyDescent="0.3">
      <c r="A877" t="s">
        <v>926</v>
      </c>
      <c r="B877">
        <f>VLOOKUP('Employee Details'!A877,'Remote work mental helath'!$A$2:$T$1001,2,)</f>
        <v>37</v>
      </c>
      <c r="C877" t="str">
        <f t="shared" si="13"/>
        <v>30-39</v>
      </c>
      <c r="D877" t="str">
        <f>VLOOKUP(A877,'Remote work mental helath'!$A$2:$T$1001,3,)</f>
        <v>Prefer not to say</v>
      </c>
      <c r="E877" t="str">
        <f>VLOOKUP(A877,'Remote work mental helath'!$A$2:$T$1001,20,)</f>
        <v>North America</v>
      </c>
      <c r="F877" t="str">
        <f>VLOOKUP(A877,'Remote work mental helath'!$A$2:$T$1001,4,)</f>
        <v>Designer</v>
      </c>
    </row>
    <row r="878" spans="1:6" x14ac:dyDescent="0.3">
      <c r="A878" t="s">
        <v>927</v>
      </c>
      <c r="B878">
        <f>VLOOKUP('Employee Details'!A878,'Remote work mental helath'!$A$2:$T$1001,2,)</f>
        <v>37</v>
      </c>
      <c r="C878" t="str">
        <f t="shared" si="13"/>
        <v>30-39</v>
      </c>
      <c r="D878" t="str">
        <f>VLOOKUP(A878,'Remote work mental helath'!$A$2:$T$1001,3,)</f>
        <v>Non-binary</v>
      </c>
      <c r="E878" t="str">
        <f>VLOOKUP(A878,'Remote work mental helath'!$A$2:$T$1001,20,)</f>
        <v>Europe</v>
      </c>
      <c r="F878" t="str">
        <f>VLOOKUP(A878,'Remote work mental helath'!$A$2:$T$1001,4,)</f>
        <v>Software Engineer</v>
      </c>
    </row>
    <row r="879" spans="1:6" x14ac:dyDescent="0.3">
      <c r="A879" t="s">
        <v>928</v>
      </c>
      <c r="B879">
        <f>VLOOKUP('Employee Details'!A879,'Remote work mental helath'!$A$2:$T$1001,2,)</f>
        <v>35</v>
      </c>
      <c r="C879" t="str">
        <f t="shared" si="13"/>
        <v>30-39</v>
      </c>
      <c r="D879" t="str">
        <f>VLOOKUP(A879,'Remote work mental helath'!$A$2:$T$1001,3,)</f>
        <v>Male</v>
      </c>
      <c r="E879" t="str">
        <f>VLOOKUP(A879,'Remote work mental helath'!$A$2:$T$1001,20,)</f>
        <v>Africa</v>
      </c>
      <c r="F879" t="str">
        <f>VLOOKUP(A879,'Remote work mental helath'!$A$2:$T$1001,4,)</f>
        <v>HR</v>
      </c>
    </row>
    <row r="880" spans="1:6" x14ac:dyDescent="0.3">
      <c r="A880" t="s">
        <v>929</v>
      </c>
      <c r="B880">
        <f>VLOOKUP('Employee Details'!A880,'Remote work mental helath'!$A$2:$T$1001,2,)</f>
        <v>49</v>
      </c>
      <c r="C880" t="str">
        <f t="shared" si="13"/>
        <v>40-49</v>
      </c>
      <c r="D880" t="str">
        <f>VLOOKUP(A880,'Remote work mental helath'!$A$2:$T$1001,3,)</f>
        <v>Non-binary</v>
      </c>
      <c r="E880" t="str">
        <f>VLOOKUP(A880,'Remote work mental helath'!$A$2:$T$1001,20,)</f>
        <v>South America</v>
      </c>
      <c r="F880" t="str">
        <f>VLOOKUP(A880,'Remote work mental helath'!$A$2:$T$1001,4,)</f>
        <v>Sales</v>
      </c>
    </row>
    <row r="881" spans="1:6" x14ac:dyDescent="0.3">
      <c r="A881" t="s">
        <v>930</v>
      </c>
      <c r="B881">
        <f>VLOOKUP('Employee Details'!A881,'Remote work mental helath'!$A$2:$T$1001,2,)</f>
        <v>42</v>
      </c>
      <c r="C881" t="str">
        <f t="shared" si="13"/>
        <v>40-49</v>
      </c>
      <c r="D881" t="str">
        <f>VLOOKUP(A881,'Remote work mental helath'!$A$2:$T$1001,3,)</f>
        <v>Female</v>
      </c>
      <c r="E881" t="str">
        <f>VLOOKUP(A881,'Remote work mental helath'!$A$2:$T$1001,20,)</f>
        <v>Africa</v>
      </c>
      <c r="F881" t="str">
        <f>VLOOKUP(A881,'Remote work mental helath'!$A$2:$T$1001,4,)</f>
        <v>Marketing</v>
      </c>
    </row>
    <row r="882" spans="1:6" x14ac:dyDescent="0.3">
      <c r="A882" t="s">
        <v>931</v>
      </c>
      <c r="B882">
        <f>VLOOKUP('Employee Details'!A882,'Remote work mental helath'!$A$2:$T$1001,2,)</f>
        <v>53</v>
      </c>
      <c r="C882" t="str">
        <f t="shared" si="13"/>
        <v>50+</v>
      </c>
      <c r="D882" t="str">
        <f>VLOOKUP(A882,'Remote work mental helath'!$A$2:$T$1001,3,)</f>
        <v>Non-binary</v>
      </c>
      <c r="E882" t="str">
        <f>VLOOKUP(A882,'Remote work mental helath'!$A$2:$T$1001,20,)</f>
        <v>Africa</v>
      </c>
      <c r="F882" t="str">
        <f>VLOOKUP(A882,'Remote work mental helath'!$A$2:$T$1001,4,)</f>
        <v>Project Manager</v>
      </c>
    </row>
    <row r="883" spans="1:6" x14ac:dyDescent="0.3">
      <c r="A883" t="s">
        <v>932</v>
      </c>
      <c r="B883">
        <f>VLOOKUP('Employee Details'!A883,'Remote work mental helath'!$A$2:$T$1001,2,)</f>
        <v>29</v>
      </c>
      <c r="C883" t="str">
        <f t="shared" si="13"/>
        <v>20-29</v>
      </c>
      <c r="D883" t="str">
        <f>VLOOKUP(A883,'Remote work mental helath'!$A$2:$T$1001,3,)</f>
        <v>Male</v>
      </c>
      <c r="E883" t="str">
        <f>VLOOKUP(A883,'Remote work mental helath'!$A$2:$T$1001,20,)</f>
        <v>Oceania</v>
      </c>
      <c r="F883" t="str">
        <f>VLOOKUP(A883,'Remote work mental helath'!$A$2:$T$1001,4,)</f>
        <v>Software Engineer</v>
      </c>
    </row>
    <row r="884" spans="1:6" x14ac:dyDescent="0.3">
      <c r="A884" t="s">
        <v>933</v>
      </c>
      <c r="B884">
        <f>VLOOKUP('Employee Details'!A884,'Remote work mental helath'!$A$2:$T$1001,2,)</f>
        <v>31</v>
      </c>
      <c r="C884" t="str">
        <f t="shared" si="13"/>
        <v>30-39</v>
      </c>
      <c r="D884" t="str">
        <f>VLOOKUP(A884,'Remote work mental helath'!$A$2:$T$1001,3,)</f>
        <v>Female</v>
      </c>
      <c r="E884" t="str">
        <f>VLOOKUP(A884,'Remote work mental helath'!$A$2:$T$1001,20,)</f>
        <v>Africa</v>
      </c>
      <c r="F884" t="str">
        <f>VLOOKUP(A884,'Remote work mental helath'!$A$2:$T$1001,4,)</f>
        <v>Project Manager</v>
      </c>
    </row>
    <row r="885" spans="1:6" x14ac:dyDescent="0.3">
      <c r="A885" t="s">
        <v>934</v>
      </c>
      <c r="B885">
        <f>VLOOKUP('Employee Details'!A885,'Remote work mental helath'!$A$2:$T$1001,2,)</f>
        <v>47</v>
      </c>
      <c r="C885" t="str">
        <f t="shared" si="13"/>
        <v>40-49</v>
      </c>
      <c r="D885" t="str">
        <f>VLOOKUP(A885,'Remote work mental helath'!$A$2:$T$1001,3,)</f>
        <v>Non-binary</v>
      </c>
      <c r="E885" t="str">
        <f>VLOOKUP(A885,'Remote work mental helath'!$A$2:$T$1001,20,)</f>
        <v>Oceania</v>
      </c>
      <c r="F885" t="str">
        <f>VLOOKUP(A885,'Remote work mental helath'!$A$2:$T$1001,4,)</f>
        <v>Project Manager</v>
      </c>
    </row>
    <row r="886" spans="1:6" x14ac:dyDescent="0.3">
      <c r="A886" t="s">
        <v>935</v>
      </c>
      <c r="B886">
        <f>VLOOKUP('Employee Details'!A886,'Remote work mental helath'!$A$2:$T$1001,2,)</f>
        <v>57</v>
      </c>
      <c r="C886" t="str">
        <f t="shared" si="13"/>
        <v>50+</v>
      </c>
      <c r="D886" t="str">
        <f>VLOOKUP(A886,'Remote work mental helath'!$A$2:$T$1001,3,)</f>
        <v>Male</v>
      </c>
      <c r="E886" t="str">
        <f>VLOOKUP(A886,'Remote work mental helath'!$A$2:$T$1001,20,)</f>
        <v>South America</v>
      </c>
      <c r="F886" t="str">
        <f>VLOOKUP(A886,'Remote work mental helath'!$A$2:$T$1001,4,)</f>
        <v>Software Engineer</v>
      </c>
    </row>
    <row r="887" spans="1:6" x14ac:dyDescent="0.3">
      <c r="A887" t="s">
        <v>936</v>
      </c>
      <c r="B887">
        <f>VLOOKUP('Employee Details'!A887,'Remote work mental helath'!$A$2:$T$1001,2,)</f>
        <v>59</v>
      </c>
      <c r="C887" t="str">
        <f t="shared" si="13"/>
        <v>50+</v>
      </c>
      <c r="D887" t="str">
        <f>VLOOKUP(A887,'Remote work mental helath'!$A$2:$T$1001,3,)</f>
        <v>Non-binary</v>
      </c>
      <c r="E887" t="str">
        <f>VLOOKUP(A887,'Remote work mental helath'!$A$2:$T$1001,20,)</f>
        <v>North America</v>
      </c>
      <c r="F887" t="str">
        <f>VLOOKUP(A887,'Remote work mental helath'!$A$2:$T$1001,4,)</f>
        <v>Designer</v>
      </c>
    </row>
    <row r="888" spans="1:6" x14ac:dyDescent="0.3">
      <c r="A888" t="s">
        <v>937</v>
      </c>
      <c r="B888">
        <f>VLOOKUP('Employee Details'!A888,'Remote work mental helath'!$A$2:$T$1001,2,)</f>
        <v>51</v>
      </c>
      <c r="C888" t="str">
        <f t="shared" si="13"/>
        <v>50+</v>
      </c>
      <c r="D888" t="str">
        <f>VLOOKUP(A888,'Remote work mental helath'!$A$2:$T$1001,3,)</f>
        <v>Female</v>
      </c>
      <c r="E888" t="str">
        <f>VLOOKUP(A888,'Remote work mental helath'!$A$2:$T$1001,20,)</f>
        <v>Asia</v>
      </c>
      <c r="F888" t="str">
        <f>VLOOKUP(A888,'Remote work mental helath'!$A$2:$T$1001,4,)</f>
        <v>Marketing</v>
      </c>
    </row>
    <row r="889" spans="1:6" x14ac:dyDescent="0.3">
      <c r="A889" t="s">
        <v>938</v>
      </c>
      <c r="B889">
        <f>VLOOKUP('Employee Details'!A889,'Remote work mental helath'!$A$2:$T$1001,2,)</f>
        <v>30</v>
      </c>
      <c r="C889" t="str">
        <f t="shared" si="13"/>
        <v>30-39</v>
      </c>
      <c r="D889" t="str">
        <f>VLOOKUP(A889,'Remote work mental helath'!$A$2:$T$1001,3,)</f>
        <v>Female</v>
      </c>
      <c r="E889" t="str">
        <f>VLOOKUP(A889,'Remote work mental helath'!$A$2:$T$1001,20,)</f>
        <v>Oceania</v>
      </c>
      <c r="F889" t="str">
        <f>VLOOKUP(A889,'Remote work mental helath'!$A$2:$T$1001,4,)</f>
        <v>Software Engineer</v>
      </c>
    </row>
    <row r="890" spans="1:6" x14ac:dyDescent="0.3">
      <c r="A890" t="s">
        <v>939</v>
      </c>
      <c r="B890">
        <f>VLOOKUP('Employee Details'!A890,'Remote work mental helath'!$A$2:$T$1001,2,)</f>
        <v>46</v>
      </c>
      <c r="C890" t="str">
        <f t="shared" si="13"/>
        <v>40-49</v>
      </c>
      <c r="D890" t="str">
        <f>VLOOKUP(A890,'Remote work mental helath'!$A$2:$T$1001,3,)</f>
        <v>Prefer not to say</v>
      </c>
      <c r="E890" t="str">
        <f>VLOOKUP(A890,'Remote work mental helath'!$A$2:$T$1001,20,)</f>
        <v>Africa</v>
      </c>
      <c r="F890" t="str">
        <f>VLOOKUP(A890,'Remote work mental helath'!$A$2:$T$1001,4,)</f>
        <v>Marketing</v>
      </c>
    </row>
    <row r="891" spans="1:6" x14ac:dyDescent="0.3">
      <c r="A891" t="s">
        <v>940</v>
      </c>
      <c r="B891">
        <f>VLOOKUP('Employee Details'!A891,'Remote work mental helath'!$A$2:$T$1001,2,)</f>
        <v>39</v>
      </c>
      <c r="C891" t="str">
        <f t="shared" si="13"/>
        <v>30-39</v>
      </c>
      <c r="D891" t="str">
        <f>VLOOKUP(A891,'Remote work mental helath'!$A$2:$T$1001,3,)</f>
        <v>Female</v>
      </c>
      <c r="E891" t="str">
        <f>VLOOKUP(A891,'Remote work mental helath'!$A$2:$T$1001,20,)</f>
        <v>Africa</v>
      </c>
      <c r="F891" t="str">
        <f>VLOOKUP(A891,'Remote work mental helath'!$A$2:$T$1001,4,)</f>
        <v>Software Engineer</v>
      </c>
    </row>
    <row r="892" spans="1:6" x14ac:dyDescent="0.3">
      <c r="A892" t="s">
        <v>941</v>
      </c>
      <c r="B892">
        <f>VLOOKUP('Employee Details'!A892,'Remote work mental helath'!$A$2:$T$1001,2,)</f>
        <v>57</v>
      </c>
      <c r="C892" t="str">
        <f t="shared" si="13"/>
        <v>50+</v>
      </c>
      <c r="D892" t="str">
        <f>VLOOKUP(A892,'Remote work mental helath'!$A$2:$T$1001,3,)</f>
        <v>Prefer not to say</v>
      </c>
      <c r="E892" t="str">
        <f>VLOOKUP(A892,'Remote work mental helath'!$A$2:$T$1001,20,)</f>
        <v>Oceania</v>
      </c>
      <c r="F892" t="str">
        <f>VLOOKUP(A892,'Remote work mental helath'!$A$2:$T$1001,4,)</f>
        <v>HR</v>
      </c>
    </row>
    <row r="893" spans="1:6" x14ac:dyDescent="0.3">
      <c r="A893" t="s">
        <v>942</v>
      </c>
      <c r="B893">
        <f>VLOOKUP('Employee Details'!A893,'Remote work mental helath'!$A$2:$T$1001,2,)</f>
        <v>36</v>
      </c>
      <c r="C893" t="str">
        <f t="shared" si="13"/>
        <v>30-39</v>
      </c>
      <c r="D893" t="str">
        <f>VLOOKUP(A893,'Remote work mental helath'!$A$2:$T$1001,3,)</f>
        <v>Female</v>
      </c>
      <c r="E893" t="str">
        <f>VLOOKUP(A893,'Remote work mental helath'!$A$2:$T$1001,20,)</f>
        <v>North America</v>
      </c>
      <c r="F893" t="str">
        <f>VLOOKUP(A893,'Remote work mental helath'!$A$2:$T$1001,4,)</f>
        <v>HR</v>
      </c>
    </row>
    <row r="894" spans="1:6" x14ac:dyDescent="0.3">
      <c r="A894" t="s">
        <v>943</v>
      </c>
      <c r="B894">
        <f>VLOOKUP('Employee Details'!A894,'Remote work mental helath'!$A$2:$T$1001,2,)</f>
        <v>28</v>
      </c>
      <c r="C894" t="str">
        <f t="shared" si="13"/>
        <v>20-29</v>
      </c>
      <c r="D894" t="str">
        <f>VLOOKUP(A894,'Remote work mental helath'!$A$2:$T$1001,3,)</f>
        <v>Prefer not to say</v>
      </c>
      <c r="E894" t="str">
        <f>VLOOKUP(A894,'Remote work mental helath'!$A$2:$T$1001,20,)</f>
        <v>Oceania</v>
      </c>
      <c r="F894" t="str">
        <f>VLOOKUP(A894,'Remote work mental helath'!$A$2:$T$1001,4,)</f>
        <v>Marketing</v>
      </c>
    </row>
    <row r="895" spans="1:6" x14ac:dyDescent="0.3">
      <c r="A895" t="s">
        <v>944</v>
      </c>
      <c r="B895">
        <f>VLOOKUP('Employee Details'!A895,'Remote work mental helath'!$A$2:$T$1001,2,)</f>
        <v>60</v>
      </c>
      <c r="C895" t="str">
        <f t="shared" si="13"/>
        <v>50+</v>
      </c>
      <c r="D895" t="str">
        <f>VLOOKUP(A895,'Remote work mental helath'!$A$2:$T$1001,3,)</f>
        <v>Prefer not to say</v>
      </c>
      <c r="E895" t="str">
        <f>VLOOKUP(A895,'Remote work mental helath'!$A$2:$T$1001,20,)</f>
        <v>Europe</v>
      </c>
      <c r="F895" t="str">
        <f>VLOOKUP(A895,'Remote work mental helath'!$A$2:$T$1001,4,)</f>
        <v>Project Manager</v>
      </c>
    </row>
    <row r="896" spans="1:6" x14ac:dyDescent="0.3">
      <c r="A896" t="s">
        <v>945</v>
      </c>
      <c r="B896">
        <f>VLOOKUP('Employee Details'!A896,'Remote work mental helath'!$A$2:$T$1001,2,)</f>
        <v>38</v>
      </c>
      <c r="C896" t="str">
        <f t="shared" si="13"/>
        <v>30-39</v>
      </c>
      <c r="D896" t="str">
        <f>VLOOKUP(A896,'Remote work mental helath'!$A$2:$T$1001,3,)</f>
        <v>Prefer not to say</v>
      </c>
      <c r="E896" t="str">
        <f>VLOOKUP(A896,'Remote work mental helath'!$A$2:$T$1001,20,)</f>
        <v>South America</v>
      </c>
      <c r="F896" t="str">
        <f>VLOOKUP(A896,'Remote work mental helath'!$A$2:$T$1001,4,)</f>
        <v>Data Scientist</v>
      </c>
    </row>
    <row r="897" spans="1:6" x14ac:dyDescent="0.3">
      <c r="A897" t="s">
        <v>946</v>
      </c>
      <c r="B897">
        <f>VLOOKUP('Employee Details'!A897,'Remote work mental helath'!$A$2:$T$1001,2,)</f>
        <v>45</v>
      </c>
      <c r="C897" t="str">
        <f t="shared" si="13"/>
        <v>40-49</v>
      </c>
      <c r="D897" t="str">
        <f>VLOOKUP(A897,'Remote work mental helath'!$A$2:$T$1001,3,)</f>
        <v>Male</v>
      </c>
      <c r="E897" t="str">
        <f>VLOOKUP(A897,'Remote work mental helath'!$A$2:$T$1001,20,)</f>
        <v>Asia</v>
      </c>
      <c r="F897" t="str">
        <f>VLOOKUP(A897,'Remote work mental helath'!$A$2:$T$1001,4,)</f>
        <v>Marketing</v>
      </c>
    </row>
    <row r="898" spans="1:6" x14ac:dyDescent="0.3">
      <c r="A898" t="s">
        <v>947</v>
      </c>
      <c r="B898">
        <f>VLOOKUP('Employee Details'!A898,'Remote work mental helath'!$A$2:$T$1001,2,)</f>
        <v>53</v>
      </c>
      <c r="C898" t="str">
        <f t="shared" si="13"/>
        <v>50+</v>
      </c>
      <c r="D898" t="str">
        <f>VLOOKUP(A898,'Remote work mental helath'!$A$2:$T$1001,3,)</f>
        <v>Male</v>
      </c>
      <c r="E898" t="str">
        <f>VLOOKUP(A898,'Remote work mental helath'!$A$2:$T$1001,20,)</f>
        <v>North America</v>
      </c>
      <c r="F898" t="str">
        <f>VLOOKUP(A898,'Remote work mental helath'!$A$2:$T$1001,4,)</f>
        <v>Sales</v>
      </c>
    </row>
    <row r="899" spans="1:6" x14ac:dyDescent="0.3">
      <c r="A899" t="s">
        <v>948</v>
      </c>
      <c r="B899">
        <f>VLOOKUP('Employee Details'!A899,'Remote work mental helath'!$A$2:$T$1001,2,)</f>
        <v>57</v>
      </c>
      <c r="C899" t="str">
        <f t="shared" ref="C899:C962" si="14">IF(B899&lt;30,"20-29",IF(B899&lt;40,"30-39",IF(B899&lt;50,"40-49","50+")))</f>
        <v>50+</v>
      </c>
      <c r="D899" t="str">
        <f>VLOOKUP(A899,'Remote work mental helath'!$A$2:$T$1001,3,)</f>
        <v>Non-binary</v>
      </c>
      <c r="E899" t="str">
        <f>VLOOKUP(A899,'Remote work mental helath'!$A$2:$T$1001,20,)</f>
        <v>South America</v>
      </c>
      <c r="F899" t="str">
        <f>VLOOKUP(A899,'Remote work mental helath'!$A$2:$T$1001,4,)</f>
        <v>Software Engineer</v>
      </c>
    </row>
    <row r="900" spans="1:6" x14ac:dyDescent="0.3">
      <c r="A900" t="s">
        <v>949</v>
      </c>
      <c r="B900">
        <f>VLOOKUP('Employee Details'!A900,'Remote work mental helath'!$A$2:$T$1001,2,)</f>
        <v>56</v>
      </c>
      <c r="C900" t="str">
        <f t="shared" si="14"/>
        <v>50+</v>
      </c>
      <c r="D900" t="str">
        <f>VLOOKUP(A900,'Remote work mental helath'!$A$2:$T$1001,3,)</f>
        <v>Male</v>
      </c>
      <c r="E900" t="str">
        <f>VLOOKUP(A900,'Remote work mental helath'!$A$2:$T$1001,20,)</f>
        <v>Asia</v>
      </c>
      <c r="F900" t="str">
        <f>VLOOKUP(A900,'Remote work mental helath'!$A$2:$T$1001,4,)</f>
        <v>Marketing</v>
      </c>
    </row>
    <row r="901" spans="1:6" x14ac:dyDescent="0.3">
      <c r="A901" t="s">
        <v>950</v>
      </c>
      <c r="B901">
        <f>VLOOKUP('Employee Details'!A901,'Remote work mental helath'!$A$2:$T$1001,2,)</f>
        <v>33</v>
      </c>
      <c r="C901" t="str">
        <f t="shared" si="14"/>
        <v>30-39</v>
      </c>
      <c r="D901" t="str">
        <f>VLOOKUP(A901,'Remote work mental helath'!$A$2:$T$1001,3,)</f>
        <v>Male</v>
      </c>
      <c r="E901" t="str">
        <f>VLOOKUP(A901,'Remote work mental helath'!$A$2:$T$1001,20,)</f>
        <v>Europe</v>
      </c>
      <c r="F901" t="str">
        <f>VLOOKUP(A901,'Remote work mental helath'!$A$2:$T$1001,4,)</f>
        <v>Data Scientist</v>
      </c>
    </row>
    <row r="902" spans="1:6" x14ac:dyDescent="0.3">
      <c r="A902" t="s">
        <v>951</v>
      </c>
      <c r="B902">
        <f>VLOOKUP('Employee Details'!A902,'Remote work mental helath'!$A$2:$T$1001,2,)</f>
        <v>33</v>
      </c>
      <c r="C902" t="str">
        <f t="shared" si="14"/>
        <v>30-39</v>
      </c>
      <c r="D902" t="str">
        <f>VLOOKUP(A902,'Remote work mental helath'!$A$2:$T$1001,3,)</f>
        <v>Female</v>
      </c>
      <c r="E902" t="str">
        <f>VLOOKUP(A902,'Remote work mental helath'!$A$2:$T$1001,20,)</f>
        <v>Europe</v>
      </c>
      <c r="F902" t="str">
        <f>VLOOKUP(A902,'Remote work mental helath'!$A$2:$T$1001,4,)</f>
        <v>Project Manager</v>
      </c>
    </row>
    <row r="903" spans="1:6" x14ac:dyDescent="0.3">
      <c r="A903" t="s">
        <v>952</v>
      </c>
      <c r="B903">
        <f>VLOOKUP('Employee Details'!A903,'Remote work mental helath'!$A$2:$T$1001,2,)</f>
        <v>60</v>
      </c>
      <c r="C903" t="str">
        <f t="shared" si="14"/>
        <v>50+</v>
      </c>
      <c r="D903" t="str">
        <f>VLOOKUP(A903,'Remote work mental helath'!$A$2:$T$1001,3,)</f>
        <v>Female</v>
      </c>
      <c r="E903" t="str">
        <f>VLOOKUP(A903,'Remote work mental helath'!$A$2:$T$1001,20,)</f>
        <v>Africa</v>
      </c>
      <c r="F903" t="str">
        <f>VLOOKUP(A903,'Remote work mental helath'!$A$2:$T$1001,4,)</f>
        <v>Sales</v>
      </c>
    </row>
    <row r="904" spans="1:6" x14ac:dyDescent="0.3">
      <c r="A904" t="s">
        <v>953</v>
      </c>
      <c r="B904">
        <f>VLOOKUP('Employee Details'!A904,'Remote work mental helath'!$A$2:$T$1001,2,)</f>
        <v>39</v>
      </c>
      <c r="C904" t="str">
        <f t="shared" si="14"/>
        <v>30-39</v>
      </c>
      <c r="D904" t="str">
        <f>VLOOKUP(A904,'Remote work mental helath'!$A$2:$T$1001,3,)</f>
        <v>Non-binary</v>
      </c>
      <c r="E904" t="str">
        <f>VLOOKUP(A904,'Remote work mental helath'!$A$2:$T$1001,20,)</f>
        <v>Asia</v>
      </c>
      <c r="F904" t="str">
        <f>VLOOKUP(A904,'Remote work mental helath'!$A$2:$T$1001,4,)</f>
        <v>Software Engineer</v>
      </c>
    </row>
    <row r="905" spans="1:6" x14ac:dyDescent="0.3">
      <c r="A905" t="s">
        <v>954</v>
      </c>
      <c r="B905">
        <f>VLOOKUP('Employee Details'!A905,'Remote work mental helath'!$A$2:$T$1001,2,)</f>
        <v>58</v>
      </c>
      <c r="C905" t="str">
        <f t="shared" si="14"/>
        <v>50+</v>
      </c>
      <c r="D905" t="str">
        <f>VLOOKUP(A905,'Remote work mental helath'!$A$2:$T$1001,3,)</f>
        <v>Male</v>
      </c>
      <c r="E905" t="str">
        <f>VLOOKUP(A905,'Remote work mental helath'!$A$2:$T$1001,20,)</f>
        <v>Asia</v>
      </c>
      <c r="F905" t="str">
        <f>VLOOKUP(A905,'Remote work mental helath'!$A$2:$T$1001,4,)</f>
        <v>Data Scientist</v>
      </c>
    </row>
    <row r="906" spans="1:6" x14ac:dyDescent="0.3">
      <c r="A906" t="s">
        <v>955</v>
      </c>
      <c r="B906">
        <f>VLOOKUP('Employee Details'!A906,'Remote work mental helath'!$A$2:$T$1001,2,)</f>
        <v>60</v>
      </c>
      <c r="C906" t="str">
        <f t="shared" si="14"/>
        <v>50+</v>
      </c>
      <c r="D906" t="str">
        <f>VLOOKUP(A906,'Remote work mental helath'!$A$2:$T$1001,3,)</f>
        <v>Non-binary</v>
      </c>
      <c r="E906" t="str">
        <f>VLOOKUP(A906,'Remote work mental helath'!$A$2:$T$1001,20,)</f>
        <v>Africa</v>
      </c>
      <c r="F906" t="str">
        <f>VLOOKUP(A906,'Remote work mental helath'!$A$2:$T$1001,4,)</f>
        <v>HR</v>
      </c>
    </row>
    <row r="907" spans="1:6" x14ac:dyDescent="0.3">
      <c r="A907" t="s">
        <v>956</v>
      </c>
      <c r="B907">
        <f>VLOOKUP('Employee Details'!A907,'Remote work mental helath'!$A$2:$T$1001,2,)</f>
        <v>43</v>
      </c>
      <c r="C907" t="str">
        <f t="shared" si="14"/>
        <v>40-49</v>
      </c>
      <c r="D907" t="str">
        <f>VLOOKUP(A907,'Remote work mental helath'!$A$2:$T$1001,3,)</f>
        <v>Male</v>
      </c>
      <c r="E907" t="str">
        <f>VLOOKUP(A907,'Remote work mental helath'!$A$2:$T$1001,20,)</f>
        <v>North America</v>
      </c>
      <c r="F907" t="str">
        <f>VLOOKUP(A907,'Remote work mental helath'!$A$2:$T$1001,4,)</f>
        <v>Project Manager</v>
      </c>
    </row>
    <row r="908" spans="1:6" x14ac:dyDescent="0.3">
      <c r="A908" t="s">
        <v>957</v>
      </c>
      <c r="B908">
        <f>VLOOKUP('Employee Details'!A908,'Remote work mental helath'!$A$2:$T$1001,2,)</f>
        <v>48</v>
      </c>
      <c r="C908" t="str">
        <f t="shared" si="14"/>
        <v>40-49</v>
      </c>
      <c r="D908" t="str">
        <f>VLOOKUP(A908,'Remote work mental helath'!$A$2:$T$1001,3,)</f>
        <v>Non-binary</v>
      </c>
      <c r="E908" t="str">
        <f>VLOOKUP(A908,'Remote work mental helath'!$A$2:$T$1001,20,)</f>
        <v>Africa</v>
      </c>
      <c r="F908" t="str">
        <f>VLOOKUP(A908,'Remote work mental helath'!$A$2:$T$1001,4,)</f>
        <v>Designer</v>
      </c>
    </row>
    <row r="909" spans="1:6" x14ac:dyDescent="0.3">
      <c r="A909" t="s">
        <v>958</v>
      </c>
      <c r="B909">
        <f>VLOOKUP('Employee Details'!A909,'Remote work mental helath'!$A$2:$T$1001,2,)</f>
        <v>60</v>
      </c>
      <c r="C909" t="str">
        <f t="shared" si="14"/>
        <v>50+</v>
      </c>
      <c r="D909" t="str">
        <f>VLOOKUP(A909,'Remote work mental helath'!$A$2:$T$1001,3,)</f>
        <v>Male</v>
      </c>
      <c r="E909" t="str">
        <f>VLOOKUP(A909,'Remote work mental helath'!$A$2:$T$1001,20,)</f>
        <v>Africa</v>
      </c>
      <c r="F909" t="str">
        <f>VLOOKUP(A909,'Remote work mental helath'!$A$2:$T$1001,4,)</f>
        <v>Software Engineer</v>
      </c>
    </row>
    <row r="910" spans="1:6" x14ac:dyDescent="0.3">
      <c r="A910" t="s">
        <v>959</v>
      </c>
      <c r="B910">
        <f>VLOOKUP('Employee Details'!A910,'Remote work mental helath'!$A$2:$T$1001,2,)</f>
        <v>45</v>
      </c>
      <c r="C910" t="str">
        <f t="shared" si="14"/>
        <v>40-49</v>
      </c>
      <c r="D910" t="str">
        <f>VLOOKUP(A910,'Remote work mental helath'!$A$2:$T$1001,3,)</f>
        <v>Female</v>
      </c>
      <c r="E910" t="str">
        <f>VLOOKUP(A910,'Remote work mental helath'!$A$2:$T$1001,20,)</f>
        <v>Africa</v>
      </c>
      <c r="F910" t="str">
        <f>VLOOKUP(A910,'Remote work mental helath'!$A$2:$T$1001,4,)</f>
        <v>Software Engineer</v>
      </c>
    </row>
    <row r="911" spans="1:6" x14ac:dyDescent="0.3">
      <c r="A911" t="s">
        <v>960</v>
      </c>
      <c r="B911">
        <f>VLOOKUP('Employee Details'!A911,'Remote work mental helath'!$A$2:$T$1001,2,)</f>
        <v>58</v>
      </c>
      <c r="C911" t="str">
        <f t="shared" si="14"/>
        <v>50+</v>
      </c>
      <c r="D911" t="str">
        <f>VLOOKUP(A911,'Remote work mental helath'!$A$2:$T$1001,3,)</f>
        <v>Prefer not to say</v>
      </c>
      <c r="E911" t="str">
        <f>VLOOKUP(A911,'Remote work mental helath'!$A$2:$T$1001,20,)</f>
        <v>South America</v>
      </c>
      <c r="F911" t="str">
        <f>VLOOKUP(A911,'Remote work mental helath'!$A$2:$T$1001,4,)</f>
        <v>Software Engineer</v>
      </c>
    </row>
    <row r="912" spans="1:6" x14ac:dyDescent="0.3">
      <c r="A912" t="s">
        <v>961</v>
      </c>
      <c r="B912">
        <f>VLOOKUP('Employee Details'!A912,'Remote work mental helath'!$A$2:$T$1001,2,)</f>
        <v>22</v>
      </c>
      <c r="C912" t="str">
        <f t="shared" si="14"/>
        <v>20-29</v>
      </c>
      <c r="D912" t="str">
        <f>VLOOKUP(A912,'Remote work mental helath'!$A$2:$T$1001,3,)</f>
        <v>Prefer not to say</v>
      </c>
      <c r="E912" t="str">
        <f>VLOOKUP(A912,'Remote work mental helath'!$A$2:$T$1001,20,)</f>
        <v>Europe</v>
      </c>
      <c r="F912" t="str">
        <f>VLOOKUP(A912,'Remote work mental helath'!$A$2:$T$1001,4,)</f>
        <v>Designer</v>
      </c>
    </row>
    <row r="913" spans="1:6" x14ac:dyDescent="0.3">
      <c r="A913" t="s">
        <v>962</v>
      </c>
      <c r="B913">
        <f>VLOOKUP('Employee Details'!A913,'Remote work mental helath'!$A$2:$T$1001,2,)</f>
        <v>42</v>
      </c>
      <c r="C913" t="str">
        <f t="shared" si="14"/>
        <v>40-49</v>
      </c>
      <c r="D913" t="str">
        <f>VLOOKUP(A913,'Remote work mental helath'!$A$2:$T$1001,3,)</f>
        <v>Non-binary</v>
      </c>
      <c r="E913" t="str">
        <f>VLOOKUP(A913,'Remote work mental helath'!$A$2:$T$1001,20,)</f>
        <v>Asia</v>
      </c>
      <c r="F913" t="str">
        <f>VLOOKUP(A913,'Remote work mental helath'!$A$2:$T$1001,4,)</f>
        <v>Data Scientist</v>
      </c>
    </row>
    <row r="914" spans="1:6" x14ac:dyDescent="0.3">
      <c r="A914" t="s">
        <v>963</v>
      </c>
      <c r="B914">
        <f>VLOOKUP('Employee Details'!A914,'Remote work mental helath'!$A$2:$T$1001,2,)</f>
        <v>44</v>
      </c>
      <c r="C914" t="str">
        <f t="shared" si="14"/>
        <v>40-49</v>
      </c>
      <c r="D914" t="str">
        <f>VLOOKUP(A914,'Remote work mental helath'!$A$2:$T$1001,3,)</f>
        <v>Non-binary</v>
      </c>
      <c r="E914" t="str">
        <f>VLOOKUP(A914,'Remote work mental helath'!$A$2:$T$1001,20,)</f>
        <v>Asia</v>
      </c>
      <c r="F914" t="str">
        <f>VLOOKUP(A914,'Remote work mental helath'!$A$2:$T$1001,4,)</f>
        <v>Sales</v>
      </c>
    </row>
    <row r="915" spans="1:6" x14ac:dyDescent="0.3">
      <c r="A915" t="s">
        <v>964</v>
      </c>
      <c r="B915">
        <f>VLOOKUP('Employee Details'!A915,'Remote work mental helath'!$A$2:$T$1001,2,)</f>
        <v>43</v>
      </c>
      <c r="C915" t="str">
        <f t="shared" si="14"/>
        <v>40-49</v>
      </c>
      <c r="D915" t="str">
        <f>VLOOKUP(A915,'Remote work mental helath'!$A$2:$T$1001,3,)</f>
        <v>Prefer not to say</v>
      </c>
      <c r="E915" t="str">
        <f>VLOOKUP(A915,'Remote work mental helath'!$A$2:$T$1001,20,)</f>
        <v>Asia</v>
      </c>
      <c r="F915" t="str">
        <f>VLOOKUP(A915,'Remote work mental helath'!$A$2:$T$1001,4,)</f>
        <v>Data Scientist</v>
      </c>
    </row>
    <row r="916" spans="1:6" x14ac:dyDescent="0.3">
      <c r="A916" t="s">
        <v>965</v>
      </c>
      <c r="B916">
        <f>VLOOKUP('Employee Details'!A916,'Remote work mental helath'!$A$2:$T$1001,2,)</f>
        <v>35</v>
      </c>
      <c r="C916" t="str">
        <f t="shared" si="14"/>
        <v>30-39</v>
      </c>
      <c r="D916" t="str">
        <f>VLOOKUP(A916,'Remote work mental helath'!$A$2:$T$1001,3,)</f>
        <v>Male</v>
      </c>
      <c r="E916" t="str">
        <f>VLOOKUP(A916,'Remote work mental helath'!$A$2:$T$1001,20,)</f>
        <v>North America</v>
      </c>
      <c r="F916" t="str">
        <f>VLOOKUP(A916,'Remote work mental helath'!$A$2:$T$1001,4,)</f>
        <v>Designer</v>
      </c>
    </row>
    <row r="917" spans="1:6" x14ac:dyDescent="0.3">
      <c r="A917" t="s">
        <v>966</v>
      </c>
      <c r="B917">
        <f>VLOOKUP('Employee Details'!A917,'Remote work mental helath'!$A$2:$T$1001,2,)</f>
        <v>47</v>
      </c>
      <c r="C917" t="str">
        <f t="shared" si="14"/>
        <v>40-49</v>
      </c>
      <c r="D917" t="str">
        <f>VLOOKUP(A917,'Remote work mental helath'!$A$2:$T$1001,3,)</f>
        <v>Prefer not to say</v>
      </c>
      <c r="E917" t="str">
        <f>VLOOKUP(A917,'Remote work mental helath'!$A$2:$T$1001,20,)</f>
        <v>Africa</v>
      </c>
      <c r="F917" t="str">
        <f>VLOOKUP(A917,'Remote work mental helath'!$A$2:$T$1001,4,)</f>
        <v>Software Engineer</v>
      </c>
    </row>
    <row r="918" spans="1:6" x14ac:dyDescent="0.3">
      <c r="A918" t="s">
        <v>967</v>
      </c>
      <c r="B918">
        <f>VLOOKUP('Employee Details'!A918,'Remote work mental helath'!$A$2:$T$1001,2,)</f>
        <v>49</v>
      </c>
      <c r="C918" t="str">
        <f t="shared" si="14"/>
        <v>40-49</v>
      </c>
      <c r="D918" t="str">
        <f>VLOOKUP(A918,'Remote work mental helath'!$A$2:$T$1001,3,)</f>
        <v>Non-binary</v>
      </c>
      <c r="E918" t="str">
        <f>VLOOKUP(A918,'Remote work mental helath'!$A$2:$T$1001,20,)</f>
        <v>North America</v>
      </c>
      <c r="F918" t="str">
        <f>VLOOKUP(A918,'Remote work mental helath'!$A$2:$T$1001,4,)</f>
        <v>Project Manager</v>
      </c>
    </row>
    <row r="919" spans="1:6" x14ac:dyDescent="0.3">
      <c r="A919" t="s">
        <v>968</v>
      </c>
      <c r="B919">
        <f>VLOOKUP('Employee Details'!A919,'Remote work mental helath'!$A$2:$T$1001,2,)</f>
        <v>49</v>
      </c>
      <c r="C919" t="str">
        <f t="shared" si="14"/>
        <v>40-49</v>
      </c>
      <c r="D919" t="str">
        <f>VLOOKUP(A919,'Remote work mental helath'!$A$2:$T$1001,3,)</f>
        <v>Female</v>
      </c>
      <c r="E919" t="str">
        <f>VLOOKUP(A919,'Remote work mental helath'!$A$2:$T$1001,20,)</f>
        <v>Asia</v>
      </c>
      <c r="F919" t="str">
        <f>VLOOKUP(A919,'Remote work mental helath'!$A$2:$T$1001,4,)</f>
        <v>Software Engineer</v>
      </c>
    </row>
    <row r="920" spans="1:6" x14ac:dyDescent="0.3">
      <c r="A920" t="s">
        <v>969</v>
      </c>
      <c r="B920">
        <f>VLOOKUP('Employee Details'!A920,'Remote work mental helath'!$A$2:$T$1001,2,)</f>
        <v>40</v>
      </c>
      <c r="C920" t="str">
        <f t="shared" si="14"/>
        <v>40-49</v>
      </c>
      <c r="D920" t="str">
        <f>VLOOKUP(A920,'Remote work mental helath'!$A$2:$T$1001,3,)</f>
        <v>Non-binary</v>
      </c>
      <c r="E920" t="str">
        <f>VLOOKUP(A920,'Remote work mental helath'!$A$2:$T$1001,20,)</f>
        <v>Europe</v>
      </c>
      <c r="F920" t="str">
        <f>VLOOKUP(A920,'Remote work mental helath'!$A$2:$T$1001,4,)</f>
        <v>Data Scientist</v>
      </c>
    </row>
    <row r="921" spans="1:6" x14ac:dyDescent="0.3">
      <c r="A921" t="s">
        <v>970</v>
      </c>
      <c r="B921">
        <f>VLOOKUP('Employee Details'!A921,'Remote work mental helath'!$A$2:$T$1001,2,)</f>
        <v>27</v>
      </c>
      <c r="C921" t="str">
        <f t="shared" si="14"/>
        <v>20-29</v>
      </c>
      <c r="D921" t="str">
        <f>VLOOKUP(A921,'Remote work mental helath'!$A$2:$T$1001,3,)</f>
        <v>Female</v>
      </c>
      <c r="E921" t="str">
        <f>VLOOKUP(A921,'Remote work mental helath'!$A$2:$T$1001,20,)</f>
        <v>Asia</v>
      </c>
      <c r="F921" t="str">
        <f>VLOOKUP(A921,'Remote work mental helath'!$A$2:$T$1001,4,)</f>
        <v>HR</v>
      </c>
    </row>
    <row r="922" spans="1:6" x14ac:dyDescent="0.3">
      <c r="A922" t="s">
        <v>971</v>
      </c>
      <c r="B922">
        <f>VLOOKUP('Employee Details'!A922,'Remote work mental helath'!$A$2:$T$1001,2,)</f>
        <v>34</v>
      </c>
      <c r="C922" t="str">
        <f t="shared" si="14"/>
        <v>30-39</v>
      </c>
      <c r="D922" t="str">
        <f>VLOOKUP(A922,'Remote work mental helath'!$A$2:$T$1001,3,)</f>
        <v>Male</v>
      </c>
      <c r="E922" t="str">
        <f>VLOOKUP(A922,'Remote work mental helath'!$A$2:$T$1001,20,)</f>
        <v>Africa</v>
      </c>
      <c r="F922" t="str">
        <f>VLOOKUP(A922,'Remote work mental helath'!$A$2:$T$1001,4,)</f>
        <v>Software Engineer</v>
      </c>
    </row>
    <row r="923" spans="1:6" x14ac:dyDescent="0.3">
      <c r="A923" t="s">
        <v>972</v>
      </c>
      <c r="B923">
        <f>VLOOKUP('Employee Details'!A923,'Remote work mental helath'!$A$2:$T$1001,2,)</f>
        <v>48</v>
      </c>
      <c r="C923" t="str">
        <f t="shared" si="14"/>
        <v>40-49</v>
      </c>
      <c r="D923" t="str">
        <f>VLOOKUP(A923,'Remote work mental helath'!$A$2:$T$1001,3,)</f>
        <v>Prefer not to say</v>
      </c>
      <c r="E923" t="str">
        <f>VLOOKUP(A923,'Remote work mental helath'!$A$2:$T$1001,20,)</f>
        <v>Oceania</v>
      </c>
      <c r="F923" t="str">
        <f>VLOOKUP(A923,'Remote work mental helath'!$A$2:$T$1001,4,)</f>
        <v>Sales</v>
      </c>
    </row>
    <row r="924" spans="1:6" x14ac:dyDescent="0.3">
      <c r="A924" t="s">
        <v>973</v>
      </c>
      <c r="B924">
        <f>VLOOKUP('Employee Details'!A924,'Remote work mental helath'!$A$2:$T$1001,2,)</f>
        <v>46</v>
      </c>
      <c r="C924" t="str">
        <f t="shared" si="14"/>
        <v>40-49</v>
      </c>
      <c r="D924" t="str">
        <f>VLOOKUP(A924,'Remote work mental helath'!$A$2:$T$1001,3,)</f>
        <v>Male</v>
      </c>
      <c r="E924" t="str">
        <f>VLOOKUP(A924,'Remote work mental helath'!$A$2:$T$1001,20,)</f>
        <v>Asia</v>
      </c>
      <c r="F924" t="str">
        <f>VLOOKUP(A924,'Remote work mental helath'!$A$2:$T$1001,4,)</f>
        <v>Sales</v>
      </c>
    </row>
    <row r="925" spans="1:6" x14ac:dyDescent="0.3">
      <c r="A925" t="s">
        <v>974</v>
      </c>
      <c r="B925">
        <f>VLOOKUP('Employee Details'!A925,'Remote work mental helath'!$A$2:$T$1001,2,)</f>
        <v>27</v>
      </c>
      <c r="C925" t="str">
        <f t="shared" si="14"/>
        <v>20-29</v>
      </c>
      <c r="D925" t="str">
        <f>VLOOKUP(A925,'Remote work mental helath'!$A$2:$T$1001,3,)</f>
        <v>Female</v>
      </c>
      <c r="E925" t="str">
        <f>VLOOKUP(A925,'Remote work mental helath'!$A$2:$T$1001,20,)</f>
        <v>Oceania</v>
      </c>
      <c r="F925" t="str">
        <f>VLOOKUP(A925,'Remote work mental helath'!$A$2:$T$1001,4,)</f>
        <v>Data Scientist</v>
      </c>
    </row>
    <row r="926" spans="1:6" x14ac:dyDescent="0.3">
      <c r="A926" t="s">
        <v>975</v>
      </c>
      <c r="B926">
        <f>VLOOKUP('Employee Details'!A926,'Remote work mental helath'!$A$2:$T$1001,2,)</f>
        <v>50</v>
      </c>
      <c r="C926" t="str">
        <f t="shared" si="14"/>
        <v>50+</v>
      </c>
      <c r="D926" t="str">
        <f>VLOOKUP(A926,'Remote work mental helath'!$A$2:$T$1001,3,)</f>
        <v>Prefer not to say</v>
      </c>
      <c r="E926" t="str">
        <f>VLOOKUP(A926,'Remote work mental helath'!$A$2:$T$1001,20,)</f>
        <v>Africa</v>
      </c>
      <c r="F926" t="str">
        <f>VLOOKUP(A926,'Remote work mental helath'!$A$2:$T$1001,4,)</f>
        <v>Designer</v>
      </c>
    </row>
    <row r="927" spans="1:6" x14ac:dyDescent="0.3">
      <c r="A927" t="s">
        <v>976</v>
      </c>
      <c r="B927">
        <f>VLOOKUP('Employee Details'!A927,'Remote work mental helath'!$A$2:$T$1001,2,)</f>
        <v>23</v>
      </c>
      <c r="C927" t="str">
        <f t="shared" si="14"/>
        <v>20-29</v>
      </c>
      <c r="D927" t="str">
        <f>VLOOKUP(A927,'Remote work mental helath'!$A$2:$T$1001,3,)</f>
        <v>Non-binary</v>
      </c>
      <c r="E927" t="str">
        <f>VLOOKUP(A927,'Remote work mental helath'!$A$2:$T$1001,20,)</f>
        <v>South America</v>
      </c>
      <c r="F927" t="str">
        <f>VLOOKUP(A927,'Remote work mental helath'!$A$2:$T$1001,4,)</f>
        <v>Data Scientist</v>
      </c>
    </row>
    <row r="928" spans="1:6" x14ac:dyDescent="0.3">
      <c r="A928" t="s">
        <v>977</v>
      </c>
      <c r="B928">
        <f>VLOOKUP('Employee Details'!A928,'Remote work mental helath'!$A$2:$T$1001,2,)</f>
        <v>35</v>
      </c>
      <c r="C928" t="str">
        <f t="shared" si="14"/>
        <v>30-39</v>
      </c>
      <c r="D928" t="str">
        <f>VLOOKUP(A928,'Remote work mental helath'!$A$2:$T$1001,3,)</f>
        <v>Prefer not to say</v>
      </c>
      <c r="E928" t="str">
        <f>VLOOKUP(A928,'Remote work mental helath'!$A$2:$T$1001,20,)</f>
        <v>South America</v>
      </c>
      <c r="F928" t="str">
        <f>VLOOKUP(A928,'Remote work mental helath'!$A$2:$T$1001,4,)</f>
        <v>Designer</v>
      </c>
    </row>
    <row r="929" spans="1:6" x14ac:dyDescent="0.3">
      <c r="A929" t="s">
        <v>978</v>
      </c>
      <c r="B929">
        <f>VLOOKUP('Employee Details'!A929,'Remote work mental helath'!$A$2:$T$1001,2,)</f>
        <v>59</v>
      </c>
      <c r="C929" t="str">
        <f t="shared" si="14"/>
        <v>50+</v>
      </c>
      <c r="D929" t="str">
        <f>VLOOKUP(A929,'Remote work mental helath'!$A$2:$T$1001,3,)</f>
        <v>Prefer not to say</v>
      </c>
      <c r="E929" t="str">
        <f>VLOOKUP(A929,'Remote work mental helath'!$A$2:$T$1001,20,)</f>
        <v>Asia</v>
      </c>
      <c r="F929" t="str">
        <f>VLOOKUP(A929,'Remote work mental helath'!$A$2:$T$1001,4,)</f>
        <v>Sales</v>
      </c>
    </row>
    <row r="930" spans="1:6" x14ac:dyDescent="0.3">
      <c r="A930" t="s">
        <v>979</v>
      </c>
      <c r="B930">
        <f>VLOOKUP('Employee Details'!A930,'Remote work mental helath'!$A$2:$T$1001,2,)</f>
        <v>27</v>
      </c>
      <c r="C930" t="str">
        <f t="shared" si="14"/>
        <v>20-29</v>
      </c>
      <c r="D930" t="str">
        <f>VLOOKUP(A930,'Remote work mental helath'!$A$2:$T$1001,3,)</f>
        <v>Male</v>
      </c>
      <c r="E930" t="str">
        <f>VLOOKUP(A930,'Remote work mental helath'!$A$2:$T$1001,20,)</f>
        <v>Oceania</v>
      </c>
      <c r="F930" t="str">
        <f>VLOOKUP(A930,'Remote work mental helath'!$A$2:$T$1001,4,)</f>
        <v>Project Manager</v>
      </c>
    </row>
    <row r="931" spans="1:6" x14ac:dyDescent="0.3">
      <c r="A931" t="s">
        <v>980</v>
      </c>
      <c r="B931">
        <f>VLOOKUP('Employee Details'!A931,'Remote work mental helath'!$A$2:$T$1001,2,)</f>
        <v>22</v>
      </c>
      <c r="C931" t="str">
        <f t="shared" si="14"/>
        <v>20-29</v>
      </c>
      <c r="D931" t="str">
        <f>VLOOKUP(A931,'Remote work mental helath'!$A$2:$T$1001,3,)</f>
        <v>Male</v>
      </c>
      <c r="E931" t="str">
        <f>VLOOKUP(A931,'Remote work mental helath'!$A$2:$T$1001,20,)</f>
        <v>South America</v>
      </c>
      <c r="F931" t="str">
        <f>VLOOKUP(A931,'Remote work mental helath'!$A$2:$T$1001,4,)</f>
        <v>Project Manager</v>
      </c>
    </row>
    <row r="932" spans="1:6" x14ac:dyDescent="0.3">
      <c r="A932" t="s">
        <v>981</v>
      </c>
      <c r="B932">
        <f>VLOOKUP('Employee Details'!A932,'Remote work mental helath'!$A$2:$T$1001,2,)</f>
        <v>41</v>
      </c>
      <c r="C932" t="str">
        <f t="shared" si="14"/>
        <v>40-49</v>
      </c>
      <c r="D932" t="str">
        <f>VLOOKUP(A932,'Remote work mental helath'!$A$2:$T$1001,3,)</f>
        <v>Prefer not to say</v>
      </c>
      <c r="E932" t="str">
        <f>VLOOKUP(A932,'Remote work mental helath'!$A$2:$T$1001,20,)</f>
        <v>Asia</v>
      </c>
      <c r="F932" t="str">
        <f>VLOOKUP(A932,'Remote work mental helath'!$A$2:$T$1001,4,)</f>
        <v>Designer</v>
      </c>
    </row>
    <row r="933" spans="1:6" x14ac:dyDescent="0.3">
      <c r="A933" t="s">
        <v>982</v>
      </c>
      <c r="B933">
        <f>VLOOKUP('Employee Details'!A933,'Remote work mental helath'!$A$2:$T$1001,2,)</f>
        <v>58</v>
      </c>
      <c r="C933" t="str">
        <f t="shared" si="14"/>
        <v>50+</v>
      </c>
      <c r="D933" t="str">
        <f>VLOOKUP(A933,'Remote work mental helath'!$A$2:$T$1001,3,)</f>
        <v>Male</v>
      </c>
      <c r="E933" t="str">
        <f>VLOOKUP(A933,'Remote work mental helath'!$A$2:$T$1001,20,)</f>
        <v>Oceania</v>
      </c>
      <c r="F933" t="str">
        <f>VLOOKUP(A933,'Remote work mental helath'!$A$2:$T$1001,4,)</f>
        <v>Designer</v>
      </c>
    </row>
    <row r="934" spans="1:6" x14ac:dyDescent="0.3">
      <c r="A934" t="s">
        <v>983</v>
      </c>
      <c r="B934">
        <f>VLOOKUP('Employee Details'!A934,'Remote work mental helath'!$A$2:$T$1001,2,)</f>
        <v>30</v>
      </c>
      <c r="C934" t="str">
        <f t="shared" si="14"/>
        <v>30-39</v>
      </c>
      <c r="D934" t="str">
        <f>VLOOKUP(A934,'Remote work mental helath'!$A$2:$T$1001,3,)</f>
        <v>Male</v>
      </c>
      <c r="E934" t="str">
        <f>VLOOKUP(A934,'Remote work mental helath'!$A$2:$T$1001,20,)</f>
        <v>Africa</v>
      </c>
      <c r="F934" t="str">
        <f>VLOOKUP(A934,'Remote work mental helath'!$A$2:$T$1001,4,)</f>
        <v>HR</v>
      </c>
    </row>
    <row r="935" spans="1:6" x14ac:dyDescent="0.3">
      <c r="A935" t="s">
        <v>984</v>
      </c>
      <c r="B935">
        <f>VLOOKUP('Employee Details'!A935,'Remote work mental helath'!$A$2:$T$1001,2,)</f>
        <v>22</v>
      </c>
      <c r="C935" t="str">
        <f t="shared" si="14"/>
        <v>20-29</v>
      </c>
      <c r="D935" t="str">
        <f>VLOOKUP(A935,'Remote work mental helath'!$A$2:$T$1001,3,)</f>
        <v>Prefer not to say</v>
      </c>
      <c r="E935" t="str">
        <f>VLOOKUP(A935,'Remote work mental helath'!$A$2:$T$1001,20,)</f>
        <v>South America</v>
      </c>
      <c r="F935" t="str">
        <f>VLOOKUP(A935,'Remote work mental helath'!$A$2:$T$1001,4,)</f>
        <v>Project Manager</v>
      </c>
    </row>
    <row r="936" spans="1:6" x14ac:dyDescent="0.3">
      <c r="A936" t="s">
        <v>985</v>
      </c>
      <c r="B936">
        <f>VLOOKUP('Employee Details'!A936,'Remote work mental helath'!$A$2:$T$1001,2,)</f>
        <v>34</v>
      </c>
      <c r="C936" t="str">
        <f t="shared" si="14"/>
        <v>30-39</v>
      </c>
      <c r="D936" t="str">
        <f>VLOOKUP(A936,'Remote work mental helath'!$A$2:$T$1001,3,)</f>
        <v>Male</v>
      </c>
      <c r="E936" t="str">
        <f>VLOOKUP(A936,'Remote work mental helath'!$A$2:$T$1001,20,)</f>
        <v>Asia</v>
      </c>
      <c r="F936" t="str">
        <f>VLOOKUP(A936,'Remote work mental helath'!$A$2:$T$1001,4,)</f>
        <v>Software Engineer</v>
      </c>
    </row>
    <row r="937" spans="1:6" x14ac:dyDescent="0.3">
      <c r="A937" t="s">
        <v>986</v>
      </c>
      <c r="B937">
        <f>VLOOKUP('Employee Details'!A937,'Remote work mental helath'!$A$2:$T$1001,2,)</f>
        <v>48</v>
      </c>
      <c r="C937" t="str">
        <f t="shared" si="14"/>
        <v>40-49</v>
      </c>
      <c r="D937" t="str">
        <f>VLOOKUP(A937,'Remote work mental helath'!$A$2:$T$1001,3,)</f>
        <v>Female</v>
      </c>
      <c r="E937" t="str">
        <f>VLOOKUP(A937,'Remote work mental helath'!$A$2:$T$1001,20,)</f>
        <v>North America</v>
      </c>
      <c r="F937" t="str">
        <f>VLOOKUP(A937,'Remote work mental helath'!$A$2:$T$1001,4,)</f>
        <v>Software Engineer</v>
      </c>
    </row>
    <row r="938" spans="1:6" x14ac:dyDescent="0.3">
      <c r="A938" t="s">
        <v>987</v>
      </c>
      <c r="B938">
        <f>VLOOKUP('Employee Details'!A938,'Remote work mental helath'!$A$2:$T$1001,2,)</f>
        <v>29</v>
      </c>
      <c r="C938" t="str">
        <f t="shared" si="14"/>
        <v>20-29</v>
      </c>
      <c r="D938" t="str">
        <f>VLOOKUP(A938,'Remote work mental helath'!$A$2:$T$1001,3,)</f>
        <v>Non-binary</v>
      </c>
      <c r="E938" t="str">
        <f>VLOOKUP(A938,'Remote work mental helath'!$A$2:$T$1001,20,)</f>
        <v>South America</v>
      </c>
      <c r="F938" t="str">
        <f>VLOOKUP(A938,'Remote work mental helath'!$A$2:$T$1001,4,)</f>
        <v>Data Scientist</v>
      </c>
    </row>
    <row r="939" spans="1:6" x14ac:dyDescent="0.3">
      <c r="A939" t="s">
        <v>988</v>
      </c>
      <c r="B939">
        <f>VLOOKUP('Employee Details'!A939,'Remote work mental helath'!$A$2:$T$1001,2,)</f>
        <v>47</v>
      </c>
      <c r="C939" t="str">
        <f t="shared" si="14"/>
        <v>40-49</v>
      </c>
      <c r="D939" t="str">
        <f>VLOOKUP(A939,'Remote work mental helath'!$A$2:$T$1001,3,)</f>
        <v>Male</v>
      </c>
      <c r="E939" t="str">
        <f>VLOOKUP(A939,'Remote work mental helath'!$A$2:$T$1001,20,)</f>
        <v>Asia</v>
      </c>
      <c r="F939" t="str">
        <f>VLOOKUP(A939,'Remote work mental helath'!$A$2:$T$1001,4,)</f>
        <v>Marketing</v>
      </c>
    </row>
    <row r="940" spans="1:6" x14ac:dyDescent="0.3">
      <c r="A940" t="s">
        <v>989</v>
      </c>
      <c r="B940">
        <f>VLOOKUP('Employee Details'!A940,'Remote work mental helath'!$A$2:$T$1001,2,)</f>
        <v>51</v>
      </c>
      <c r="C940" t="str">
        <f t="shared" si="14"/>
        <v>50+</v>
      </c>
      <c r="D940" t="str">
        <f>VLOOKUP(A940,'Remote work mental helath'!$A$2:$T$1001,3,)</f>
        <v>Non-binary</v>
      </c>
      <c r="E940" t="str">
        <f>VLOOKUP(A940,'Remote work mental helath'!$A$2:$T$1001,20,)</f>
        <v>North America</v>
      </c>
      <c r="F940" t="str">
        <f>VLOOKUP(A940,'Remote work mental helath'!$A$2:$T$1001,4,)</f>
        <v>HR</v>
      </c>
    </row>
    <row r="941" spans="1:6" x14ac:dyDescent="0.3">
      <c r="A941" t="s">
        <v>990</v>
      </c>
      <c r="B941">
        <f>VLOOKUP('Employee Details'!A941,'Remote work mental helath'!$A$2:$T$1001,2,)</f>
        <v>60</v>
      </c>
      <c r="C941" t="str">
        <f t="shared" si="14"/>
        <v>50+</v>
      </c>
      <c r="D941" t="str">
        <f>VLOOKUP(A941,'Remote work mental helath'!$A$2:$T$1001,3,)</f>
        <v>Female</v>
      </c>
      <c r="E941" t="str">
        <f>VLOOKUP(A941,'Remote work mental helath'!$A$2:$T$1001,20,)</f>
        <v>North America</v>
      </c>
      <c r="F941" t="str">
        <f>VLOOKUP(A941,'Remote work mental helath'!$A$2:$T$1001,4,)</f>
        <v>Software Engineer</v>
      </c>
    </row>
    <row r="942" spans="1:6" x14ac:dyDescent="0.3">
      <c r="A942" t="s">
        <v>991</v>
      </c>
      <c r="B942">
        <f>VLOOKUP('Employee Details'!A942,'Remote work mental helath'!$A$2:$T$1001,2,)</f>
        <v>48</v>
      </c>
      <c r="C942" t="str">
        <f t="shared" si="14"/>
        <v>40-49</v>
      </c>
      <c r="D942" t="str">
        <f>VLOOKUP(A942,'Remote work mental helath'!$A$2:$T$1001,3,)</f>
        <v>Non-binary</v>
      </c>
      <c r="E942" t="str">
        <f>VLOOKUP(A942,'Remote work mental helath'!$A$2:$T$1001,20,)</f>
        <v>North America</v>
      </c>
      <c r="F942" t="str">
        <f>VLOOKUP(A942,'Remote work mental helath'!$A$2:$T$1001,4,)</f>
        <v>Marketing</v>
      </c>
    </row>
    <row r="943" spans="1:6" x14ac:dyDescent="0.3">
      <c r="A943" t="s">
        <v>992</v>
      </c>
      <c r="B943">
        <f>VLOOKUP('Employee Details'!A943,'Remote work mental helath'!$A$2:$T$1001,2,)</f>
        <v>38</v>
      </c>
      <c r="C943" t="str">
        <f t="shared" si="14"/>
        <v>30-39</v>
      </c>
      <c r="D943" t="str">
        <f>VLOOKUP(A943,'Remote work mental helath'!$A$2:$T$1001,3,)</f>
        <v>Prefer not to say</v>
      </c>
      <c r="E943" t="str">
        <f>VLOOKUP(A943,'Remote work mental helath'!$A$2:$T$1001,20,)</f>
        <v>South America</v>
      </c>
      <c r="F943" t="str">
        <f>VLOOKUP(A943,'Remote work mental helath'!$A$2:$T$1001,4,)</f>
        <v>HR</v>
      </c>
    </row>
    <row r="944" spans="1:6" x14ac:dyDescent="0.3">
      <c r="A944" t="s">
        <v>993</v>
      </c>
      <c r="B944">
        <f>VLOOKUP('Employee Details'!A944,'Remote work mental helath'!$A$2:$T$1001,2,)</f>
        <v>58</v>
      </c>
      <c r="C944" t="str">
        <f t="shared" si="14"/>
        <v>50+</v>
      </c>
      <c r="D944" t="str">
        <f>VLOOKUP(A944,'Remote work mental helath'!$A$2:$T$1001,3,)</f>
        <v>Female</v>
      </c>
      <c r="E944" t="str">
        <f>VLOOKUP(A944,'Remote work mental helath'!$A$2:$T$1001,20,)</f>
        <v>Oceania</v>
      </c>
      <c r="F944" t="str">
        <f>VLOOKUP(A944,'Remote work mental helath'!$A$2:$T$1001,4,)</f>
        <v>Sales</v>
      </c>
    </row>
    <row r="945" spans="1:6" x14ac:dyDescent="0.3">
      <c r="A945" t="s">
        <v>994</v>
      </c>
      <c r="B945">
        <f>VLOOKUP('Employee Details'!A945,'Remote work mental helath'!$A$2:$T$1001,2,)</f>
        <v>35</v>
      </c>
      <c r="C945" t="str">
        <f t="shared" si="14"/>
        <v>30-39</v>
      </c>
      <c r="D945" t="str">
        <f>VLOOKUP(A945,'Remote work mental helath'!$A$2:$T$1001,3,)</f>
        <v>Non-binary</v>
      </c>
      <c r="E945" t="str">
        <f>VLOOKUP(A945,'Remote work mental helath'!$A$2:$T$1001,20,)</f>
        <v>Asia</v>
      </c>
      <c r="F945" t="str">
        <f>VLOOKUP(A945,'Remote work mental helath'!$A$2:$T$1001,4,)</f>
        <v>Project Manager</v>
      </c>
    </row>
    <row r="946" spans="1:6" x14ac:dyDescent="0.3">
      <c r="A946" t="s">
        <v>995</v>
      </c>
      <c r="B946">
        <f>VLOOKUP('Employee Details'!A946,'Remote work mental helath'!$A$2:$T$1001,2,)</f>
        <v>32</v>
      </c>
      <c r="C946" t="str">
        <f t="shared" si="14"/>
        <v>30-39</v>
      </c>
      <c r="D946" t="str">
        <f>VLOOKUP(A946,'Remote work mental helath'!$A$2:$T$1001,3,)</f>
        <v>Female</v>
      </c>
      <c r="E946" t="str">
        <f>VLOOKUP(A946,'Remote work mental helath'!$A$2:$T$1001,20,)</f>
        <v>Africa</v>
      </c>
      <c r="F946" t="str">
        <f>VLOOKUP(A946,'Remote work mental helath'!$A$2:$T$1001,4,)</f>
        <v>Designer</v>
      </c>
    </row>
    <row r="947" spans="1:6" x14ac:dyDescent="0.3">
      <c r="A947" t="s">
        <v>996</v>
      </c>
      <c r="B947">
        <f>VLOOKUP('Employee Details'!A947,'Remote work mental helath'!$A$2:$T$1001,2,)</f>
        <v>30</v>
      </c>
      <c r="C947" t="str">
        <f t="shared" si="14"/>
        <v>30-39</v>
      </c>
      <c r="D947" t="str">
        <f>VLOOKUP(A947,'Remote work mental helath'!$A$2:$T$1001,3,)</f>
        <v>Male</v>
      </c>
      <c r="E947" t="str">
        <f>VLOOKUP(A947,'Remote work mental helath'!$A$2:$T$1001,20,)</f>
        <v>Africa</v>
      </c>
      <c r="F947" t="str">
        <f>VLOOKUP(A947,'Remote work mental helath'!$A$2:$T$1001,4,)</f>
        <v>Data Scientist</v>
      </c>
    </row>
    <row r="948" spans="1:6" x14ac:dyDescent="0.3">
      <c r="A948" t="s">
        <v>997</v>
      </c>
      <c r="B948">
        <f>VLOOKUP('Employee Details'!A948,'Remote work mental helath'!$A$2:$T$1001,2,)</f>
        <v>29</v>
      </c>
      <c r="C948" t="str">
        <f t="shared" si="14"/>
        <v>20-29</v>
      </c>
      <c r="D948" t="str">
        <f>VLOOKUP(A948,'Remote work mental helath'!$A$2:$T$1001,3,)</f>
        <v>Male</v>
      </c>
      <c r="E948" t="str">
        <f>VLOOKUP(A948,'Remote work mental helath'!$A$2:$T$1001,20,)</f>
        <v>North America</v>
      </c>
      <c r="F948" t="str">
        <f>VLOOKUP(A948,'Remote work mental helath'!$A$2:$T$1001,4,)</f>
        <v>Software Engineer</v>
      </c>
    </row>
    <row r="949" spans="1:6" x14ac:dyDescent="0.3">
      <c r="A949" t="s">
        <v>998</v>
      </c>
      <c r="B949">
        <f>VLOOKUP('Employee Details'!A949,'Remote work mental helath'!$A$2:$T$1001,2,)</f>
        <v>45</v>
      </c>
      <c r="C949" t="str">
        <f t="shared" si="14"/>
        <v>40-49</v>
      </c>
      <c r="D949" t="str">
        <f>VLOOKUP(A949,'Remote work mental helath'!$A$2:$T$1001,3,)</f>
        <v>Prefer not to say</v>
      </c>
      <c r="E949" t="str">
        <f>VLOOKUP(A949,'Remote work mental helath'!$A$2:$T$1001,20,)</f>
        <v>Africa</v>
      </c>
      <c r="F949" t="str">
        <f>VLOOKUP(A949,'Remote work mental helath'!$A$2:$T$1001,4,)</f>
        <v>Sales</v>
      </c>
    </row>
    <row r="950" spans="1:6" x14ac:dyDescent="0.3">
      <c r="A950" t="s">
        <v>999</v>
      </c>
      <c r="B950">
        <f>VLOOKUP('Employee Details'!A950,'Remote work mental helath'!$A$2:$T$1001,2,)</f>
        <v>45</v>
      </c>
      <c r="C950" t="str">
        <f t="shared" si="14"/>
        <v>40-49</v>
      </c>
      <c r="D950" t="str">
        <f>VLOOKUP(A950,'Remote work mental helath'!$A$2:$T$1001,3,)</f>
        <v>Non-binary</v>
      </c>
      <c r="E950" t="str">
        <f>VLOOKUP(A950,'Remote work mental helath'!$A$2:$T$1001,20,)</f>
        <v>Asia</v>
      </c>
      <c r="F950" t="str">
        <f>VLOOKUP(A950,'Remote work mental helath'!$A$2:$T$1001,4,)</f>
        <v>Software Engineer</v>
      </c>
    </row>
    <row r="951" spans="1:6" x14ac:dyDescent="0.3">
      <c r="A951" t="s">
        <v>1000</v>
      </c>
      <c r="B951">
        <f>VLOOKUP('Employee Details'!A951,'Remote work mental helath'!$A$2:$T$1001,2,)</f>
        <v>41</v>
      </c>
      <c r="C951" t="str">
        <f t="shared" si="14"/>
        <v>40-49</v>
      </c>
      <c r="D951" t="str">
        <f>VLOOKUP(A951,'Remote work mental helath'!$A$2:$T$1001,3,)</f>
        <v>Female</v>
      </c>
      <c r="E951" t="str">
        <f>VLOOKUP(A951,'Remote work mental helath'!$A$2:$T$1001,20,)</f>
        <v>Oceania</v>
      </c>
      <c r="F951" t="str">
        <f>VLOOKUP(A951,'Remote work mental helath'!$A$2:$T$1001,4,)</f>
        <v>Software Engineer</v>
      </c>
    </row>
    <row r="952" spans="1:6" x14ac:dyDescent="0.3">
      <c r="A952" t="s">
        <v>1001</v>
      </c>
      <c r="B952">
        <f>VLOOKUP('Employee Details'!A952,'Remote work mental helath'!$A$2:$T$1001,2,)</f>
        <v>56</v>
      </c>
      <c r="C952" t="str">
        <f t="shared" si="14"/>
        <v>50+</v>
      </c>
      <c r="D952" t="str">
        <f>VLOOKUP(A952,'Remote work mental helath'!$A$2:$T$1001,3,)</f>
        <v>Prefer not to say</v>
      </c>
      <c r="E952" t="str">
        <f>VLOOKUP(A952,'Remote work mental helath'!$A$2:$T$1001,20,)</f>
        <v>North America</v>
      </c>
      <c r="F952" t="str">
        <f>VLOOKUP(A952,'Remote work mental helath'!$A$2:$T$1001,4,)</f>
        <v>Designer</v>
      </c>
    </row>
    <row r="953" spans="1:6" x14ac:dyDescent="0.3">
      <c r="A953" t="s">
        <v>1002</v>
      </c>
      <c r="B953">
        <f>VLOOKUP('Employee Details'!A953,'Remote work mental helath'!$A$2:$T$1001,2,)</f>
        <v>49</v>
      </c>
      <c r="C953" t="str">
        <f t="shared" si="14"/>
        <v>40-49</v>
      </c>
      <c r="D953" t="str">
        <f>VLOOKUP(A953,'Remote work mental helath'!$A$2:$T$1001,3,)</f>
        <v>Non-binary</v>
      </c>
      <c r="E953" t="str">
        <f>VLOOKUP(A953,'Remote work mental helath'!$A$2:$T$1001,20,)</f>
        <v>South America</v>
      </c>
      <c r="F953" t="str">
        <f>VLOOKUP(A953,'Remote work mental helath'!$A$2:$T$1001,4,)</f>
        <v>Software Engineer</v>
      </c>
    </row>
    <row r="954" spans="1:6" x14ac:dyDescent="0.3">
      <c r="A954" t="s">
        <v>1003</v>
      </c>
      <c r="B954">
        <f>VLOOKUP('Employee Details'!A954,'Remote work mental helath'!$A$2:$T$1001,2,)</f>
        <v>32</v>
      </c>
      <c r="C954" t="str">
        <f t="shared" si="14"/>
        <v>30-39</v>
      </c>
      <c r="D954" t="str">
        <f>VLOOKUP(A954,'Remote work mental helath'!$A$2:$T$1001,3,)</f>
        <v>Male</v>
      </c>
      <c r="E954" t="str">
        <f>VLOOKUP(A954,'Remote work mental helath'!$A$2:$T$1001,20,)</f>
        <v>North America</v>
      </c>
      <c r="F954" t="str">
        <f>VLOOKUP(A954,'Remote work mental helath'!$A$2:$T$1001,4,)</f>
        <v>Marketing</v>
      </c>
    </row>
    <row r="955" spans="1:6" x14ac:dyDescent="0.3">
      <c r="A955" t="s">
        <v>1004</v>
      </c>
      <c r="B955">
        <f>VLOOKUP('Employee Details'!A955,'Remote work mental helath'!$A$2:$T$1001,2,)</f>
        <v>58</v>
      </c>
      <c r="C955" t="str">
        <f t="shared" si="14"/>
        <v>50+</v>
      </c>
      <c r="D955" t="str">
        <f>VLOOKUP(A955,'Remote work mental helath'!$A$2:$T$1001,3,)</f>
        <v>Male</v>
      </c>
      <c r="E955" t="str">
        <f>VLOOKUP(A955,'Remote work mental helath'!$A$2:$T$1001,20,)</f>
        <v>Oceania</v>
      </c>
      <c r="F955" t="str">
        <f>VLOOKUP(A955,'Remote work mental helath'!$A$2:$T$1001,4,)</f>
        <v>Sales</v>
      </c>
    </row>
    <row r="956" spans="1:6" x14ac:dyDescent="0.3">
      <c r="A956" t="s">
        <v>1005</v>
      </c>
      <c r="B956">
        <f>VLOOKUP('Employee Details'!A956,'Remote work mental helath'!$A$2:$T$1001,2,)</f>
        <v>41</v>
      </c>
      <c r="C956" t="str">
        <f t="shared" si="14"/>
        <v>40-49</v>
      </c>
      <c r="D956" t="str">
        <f>VLOOKUP(A956,'Remote work mental helath'!$A$2:$T$1001,3,)</f>
        <v>Female</v>
      </c>
      <c r="E956" t="str">
        <f>VLOOKUP(A956,'Remote work mental helath'!$A$2:$T$1001,20,)</f>
        <v>North America</v>
      </c>
      <c r="F956" t="str">
        <f>VLOOKUP(A956,'Remote work mental helath'!$A$2:$T$1001,4,)</f>
        <v>Marketing</v>
      </c>
    </row>
    <row r="957" spans="1:6" x14ac:dyDescent="0.3">
      <c r="A957" t="s">
        <v>1006</v>
      </c>
      <c r="B957">
        <f>VLOOKUP('Employee Details'!A957,'Remote work mental helath'!$A$2:$T$1001,2,)</f>
        <v>42</v>
      </c>
      <c r="C957" t="str">
        <f t="shared" si="14"/>
        <v>40-49</v>
      </c>
      <c r="D957" t="str">
        <f>VLOOKUP(A957,'Remote work mental helath'!$A$2:$T$1001,3,)</f>
        <v>Prefer not to say</v>
      </c>
      <c r="E957" t="str">
        <f>VLOOKUP(A957,'Remote work mental helath'!$A$2:$T$1001,20,)</f>
        <v>Asia</v>
      </c>
      <c r="F957" t="str">
        <f>VLOOKUP(A957,'Remote work mental helath'!$A$2:$T$1001,4,)</f>
        <v>Data Scientist</v>
      </c>
    </row>
    <row r="958" spans="1:6" x14ac:dyDescent="0.3">
      <c r="A958" t="s">
        <v>1007</v>
      </c>
      <c r="B958">
        <f>VLOOKUP('Employee Details'!A958,'Remote work mental helath'!$A$2:$T$1001,2,)</f>
        <v>36</v>
      </c>
      <c r="C958" t="str">
        <f t="shared" si="14"/>
        <v>30-39</v>
      </c>
      <c r="D958" t="str">
        <f>VLOOKUP(A958,'Remote work mental helath'!$A$2:$T$1001,3,)</f>
        <v>Non-binary</v>
      </c>
      <c r="E958" t="str">
        <f>VLOOKUP(A958,'Remote work mental helath'!$A$2:$T$1001,20,)</f>
        <v>Europe</v>
      </c>
      <c r="F958" t="str">
        <f>VLOOKUP(A958,'Remote work mental helath'!$A$2:$T$1001,4,)</f>
        <v>HR</v>
      </c>
    </row>
    <row r="959" spans="1:6" x14ac:dyDescent="0.3">
      <c r="A959" t="s">
        <v>1008</v>
      </c>
      <c r="B959">
        <f>VLOOKUP('Employee Details'!A959,'Remote work mental helath'!$A$2:$T$1001,2,)</f>
        <v>31</v>
      </c>
      <c r="C959" t="str">
        <f t="shared" si="14"/>
        <v>30-39</v>
      </c>
      <c r="D959" t="str">
        <f>VLOOKUP(A959,'Remote work mental helath'!$A$2:$T$1001,3,)</f>
        <v>Male</v>
      </c>
      <c r="E959" t="str">
        <f>VLOOKUP(A959,'Remote work mental helath'!$A$2:$T$1001,20,)</f>
        <v>Asia</v>
      </c>
      <c r="F959" t="str">
        <f>VLOOKUP(A959,'Remote work mental helath'!$A$2:$T$1001,4,)</f>
        <v>Marketing</v>
      </c>
    </row>
    <row r="960" spans="1:6" x14ac:dyDescent="0.3">
      <c r="A960" t="s">
        <v>1009</v>
      </c>
      <c r="B960">
        <f>VLOOKUP('Employee Details'!A960,'Remote work mental helath'!$A$2:$T$1001,2,)</f>
        <v>46</v>
      </c>
      <c r="C960" t="str">
        <f t="shared" si="14"/>
        <v>40-49</v>
      </c>
      <c r="D960" t="str">
        <f>VLOOKUP(A960,'Remote work mental helath'!$A$2:$T$1001,3,)</f>
        <v>Prefer not to say</v>
      </c>
      <c r="E960" t="str">
        <f>VLOOKUP(A960,'Remote work mental helath'!$A$2:$T$1001,20,)</f>
        <v>Europe</v>
      </c>
      <c r="F960" t="str">
        <f>VLOOKUP(A960,'Remote work mental helath'!$A$2:$T$1001,4,)</f>
        <v>Designer</v>
      </c>
    </row>
    <row r="961" spans="1:6" x14ac:dyDescent="0.3">
      <c r="A961" t="s">
        <v>1010</v>
      </c>
      <c r="B961">
        <f>VLOOKUP('Employee Details'!A961,'Remote work mental helath'!$A$2:$T$1001,2,)</f>
        <v>41</v>
      </c>
      <c r="C961" t="str">
        <f t="shared" si="14"/>
        <v>40-49</v>
      </c>
      <c r="D961" t="str">
        <f>VLOOKUP(A961,'Remote work mental helath'!$A$2:$T$1001,3,)</f>
        <v>Prefer not to say</v>
      </c>
      <c r="E961" t="str">
        <f>VLOOKUP(A961,'Remote work mental helath'!$A$2:$T$1001,20,)</f>
        <v>North America</v>
      </c>
      <c r="F961" t="str">
        <f>VLOOKUP(A961,'Remote work mental helath'!$A$2:$T$1001,4,)</f>
        <v>Marketing</v>
      </c>
    </row>
    <row r="962" spans="1:6" x14ac:dyDescent="0.3">
      <c r="A962" t="s">
        <v>1011</v>
      </c>
      <c r="B962">
        <f>VLOOKUP('Employee Details'!A962,'Remote work mental helath'!$A$2:$T$1001,2,)</f>
        <v>52</v>
      </c>
      <c r="C962" t="str">
        <f t="shared" si="14"/>
        <v>50+</v>
      </c>
      <c r="D962" t="str">
        <f>VLOOKUP(A962,'Remote work mental helath'!$A$2:$T$1001,3,)</f>
        <v>Male</v>
      </c>
      <c r="E962" t="str">
        <f>VLOOKUP(A962,'Remote work mental helath'!$A$2:$T$1001,20,)</f>
        <v>Oceania</v>
      </c>
      <c r="F962" t="str">
        <f>VLOOKUP(A962,'Remote work mental helath'!$A$2:$T$1001,4,)</f>
        <v>HR</v>
      </c>
    </row>
    <row r="963" spans="1:6" x14ac:dyDescent="0.3">
      <c r="A963" t="s">
        <v>1012</v>
      </c>
      <c r="B963">
        <f>VLOOKUP('Employee Details'!A963,'Remote work mental helath'!$A$2:$T$1001,2,)</f>
        <v>51</v>
      </c>
      <c r="C963" t="str">
        <f t="shared" ref="C963:C1001" si="15">IF(B963&lt;30,"20-29",IF(B963&lt;40,"30-39",IF(B963&lt;50,"40-49","50+")))</f>
        <v>50+</v>
      </c>
      <c r="D963" t="str">
        <f>VLOOKUP(A963,'Remote work mental helath'!$A$2:$T$1001,3,)</f>
        <v>Female</v>
      </c>
      <c r="E963" t="str">
        <f>VLOOKUP(A963,'Remote work mental helath'!$A$2:$T$1001,20,)</f>
        <v>Asia</v>
      </c>
      <c r="F963" t="str">
        <f>VLOOKUP(A963,'Remote work mental helath'!$A$2:$T$1001,4,)</f>
        <v>HR</v>
      </c>
    </row>
    <row r="964" spans="1:6" x14ac:dyDescent="0.3">
      <c r="A964" t="s">
        <v>1013</v>
      </c>
      <c r="B964">
        <f>VLOOKUP('Employee Details'!A964,'Remote work mental helath'!$A$2:$T$1001,2,)</f>
        <v>23</v>
      </c>
      <c r="C964" t="str">
        <f t="shared" si="15"/>
        <v>20-29</v>
      </c>
      <c r="D964" t="str">
        <f>VLOOKUP(A964,'Remote work mental helath'!$A$2:$T$1001,3,)</f>
        <v>Non-binary</v>
      </c>
      <c r="E964" t="str">
        <f>VLOOKUP(A964,'Remote work mental helath'!$A$2:$T$1001,20,)</f>
        <v>Europe</v>
      </c>
      <c r="F964" t="str">
        <f>VLOOKUP(A964,'Remote work mental helath'!$A$2:$T$1001,4,)</f>
        <v>Sales</v>
      </c>
    </row>
    <row r="965" spans="1:6" x14ac:dyDescent="0.3">
      <c r="A965" t="s">
        <v>1014</v>
      </c>
      <c r="B965">
        <f>VLOOKUP('Employee Details'!A965,'Remote work mental helath'!$A$2:$T$1001,2,)</f>
        <v>34</v>
      </c>
      <c r="C965" t="str">
        <f t="shared" si="15"/>
        <v>30-39</v>
      </c>
      <c r="D965" t="str">
        <f>VLOOKUP(A965,'Remote work mental helath'!$A$2:$T$1001,3,)</f>
        <v>Female</v>
      </c>
      <c r="E965" t="str">
        <f>VLOOKUP(A965,'Remote work mental helath'!$A$2:$T$1001,20,)</f>
        <v>South America</v>
      </c>
      <c r="F965" t="str">
        <f>VLOOKUP(A965,'Remote work mental helath'!$A$2:$T$1001,4,)</f>
        <v>Project Manager</v>
      </c>
    </row>
    <row r="966" spans="1:6" x14ac:dyDescent="0.3">
      <c r="A966" t="s">
        <v>1015</v>
      </c>
      <c r="B966">
        <f>VLOOKUP('Employee Details'!A966,'Remote work mental helath'!$A$2:$T$1001,2,)</f>
        <v>37</v>
      </c>
      <c r="C966" t="str">
        <f t="shared" si="15"/>
        <v>30-39</v>
      </c>
      <c r="D966" t="str">
        <f>VLOOKUP(A966,'Remote work mental helath'!$A$2:$T$1001,3,)</f>
        <v>Prefer not to say</v>
      </c>
      <c r="E966" t="str">
        <f>VLOOKUP(A966,'Remote work mental helath'!$A$2:$T$1001,20,)</f>
        <v>Oceania</v>
      </c>
      <c r="F966" t="str">
        <f>VLOOKUP(A966,'Remote work mental helath'!$A$2:$T$1001,4,)</f>
        <v>Sales</v>
      </c>
    </row>
    <row r="967" spans="1:6" x14ac:dyDescent="0.3">
      <c r="A967" t="s">
        <v>1016</v>
      </c>
      <c r="B967">
        <f>VLOOKUP('Employee Details'!A967,'Remote work mental helath'!$A$2:$T$1001,2,)</f>
        <v>40</v>
      </c>
      <c r="C967" t="str">
        <f t="shared" si="15"/>
        <v>40-49</v>
      </c>
      <c r="D967" t="str">
        <f>VLOOKUP(A967,'Remote work mental helath'!$A$2:$T$1001,3,)</f>
        <v>Non-binary</v>
      </c>
      <c r="E967" t="str">
        <f>VLOOKUP(A967,'Remote work mental helath'!$A$2:$T$1001,20,)</f>
        <v>North America</v>
      </c>
      <c r="F967" t="str">
        <f>VLOOKUP(A967,'Remote work mental helath'!$A$2:$T$1001,4,)</f>
        <v>Project Manager</v>
      </c>
    </row>
    <row r="968" spans="1:6" x14ac:dyDescent="0.3">
      <c r="A968" t="s">
        <v>1017</v>
      </c>
      <c r="B968">
        <f>VLOOKUP('Employee Details'!A968,'Remote work mental helath'!$A$2:$T$1001,2,)</f>
        <v>46</v>
      </c>
      <c r="C968" t="str">
        <f t="shared" si="15"/>
        <v>40-49</v>
      </c>
      <c r="D968" t="str">
        <f>VLOOKUP(A968,'Remote work mental helath'!$A$2:$T$1001,3,)</f>
        <v>Non-binary</v>
      </c>
      <c r="E968" t="str">
        <f>VLOOKUP(A968,'Remote work mental helath'!$A$2:$T$1001,20,)</f>
        <v>Oceania</v>
      </c>
      <c r="F968" t="str">
        <f>VLOOKUP(A968,'Remote work mental helath'!$A$2:$T$1001,4,)</f>
        <v>Sales</v>
      </c>
    </row>
    <row r="969" spans="1:6" x14ac:dyDescent="0.3">
      <c r="A969" t="s">
        <v>1018</v>
      </c>
      <c r="B969">
        <f>VLOOKUP('Employee Details'!A969,'Remote work mental helath'!$A$2:$T$1001,2,)</f>
        <v>28</v>
      </c>
      <c r="C969" t="str">
        <f t="shared" si="15"/>
        <v>20-29</v>
      </c>
      <c r="D969" t="str">
        <f>VLOOKUP(A969,'Remote work mental helath'!$A$2:$T$1001,3,)</f>
        <v>Prefer not to say</v>
      </c>
      <c r="E969" t="str">
        <f>VLOOKUP(A969,'Remote work mental helath'!$A$2:$T$1001,20,)</f>
        <v>Oceania</v>
      </c>
      <c r="F969" t="str">
        <f>VLOOKUP(A969,'Remote work mental helath'!$A$2:$T$1001,4,)</f>
        <v>Data Scientist</v>
      </c>
    </row>
    <row r="970" spans="1:6" x14ac:dyDescent="0.3">
      <c r="A970" t="s">
        <v>1019</v>
      </c>
      <c r="B970">
        <f>VLOOKUP('Employee Details'!A970,'Remote work mental helath'!$A$2:$T$1001,2,)</f>
        <v>26</v>
      </c>
      <c r="C970" t="str">
        <f t="shared" si="15"/>
        <v>20-29</v>
      </c>
      <c r="D970" t="str">
        <f>VLOOKUP(A970,'Remote work mental helath'!$A$2:$T$1001,3,)</f>
        <v>Male</v>
      </c>
      <c r="E970" t="str">
        <f>VLOOKUP(A970,'Remote work mental helath'!$A$2:$T$1001,20,)</f>
        <v>Oceania</v>
      </c>
      <c r="F970" t="str">
        <f>VLOOKUP(A970,'Remote work mental helath'!$A$2:$T$1001,4,)</f>
        <v>HR</v>
      </c>
    </row>
    <row r="971" spans="1:6" x14ac:dyDescent="0.3">
      <c r="A971" t="s">
        <v>1020</v>
      </c>
      <c r="B971">
        <f>VLOOKUP('Employee Details'!A971,'Remote work mental helath'!$A$2:$T$1001,2,)</f>
        <v>25</v>
      </c>
      <c r="C971" t="str">
        <f t="shared" si="15"/>
        <v>20-29</v>
      </c>
      <c r="D971" t="str">
        <f>VLOOKUP(A971,'Remote work mental helath'!$A$2:$T$1001,3,)</f>
        <v>Female</v>
      </c>
      <c r="E971" t="str">
        <f>VLOOKUP(A971,'Remote work mental helath'!$A$2:$T$1001,20,)</f>
        <v>North America</v>
      </c>
      <c r="F971" t="str">
        <f>VLOOKUP(A971,'Remote work mental helath'!$A$2:$T$1001,4,)</f>
        <v>Designer</v>
      </c>
    </row>
    <row r="972" spans="1:6" x14ac:dyDescent="0.3">
      <c r="A972" t="s">
        <v>1021</v>
      </c>
      <c r="B972">
        <f>VLOOKUP('Employee Details'!A972,'Remote work mental helath'!$A$2:$T$1001,2,)</f>
        <v>30</v>
      </c>
      <c r="C972" t="str">
        <f t="shared" si="15"/>
        <v>30-39</v>
      </c>
      <c r="D972" t="str">
        <f>VLOOKUP(A972,'Remote work mental helath'!$A$2:$T$1001,3,)</f>
        <v>Female</v>
      </c>
      <c r="E972" t="str">
        <f>VLOOKUP(A972,'Remote work mental helath'!$A$2:$T$1001,20,)</f>
        <v>Africa</v>
      </c>
      <c r="F972" t="str">
        <f>VLOOKUP(A972,'Remote work mental helath'!$A$2:$T$1001,4,)</f>
        <v>Software Engineer</v>
      </c>
    </row>
    <row r="973" spans="1:6" x14ac:dyDescent="0.3">
      <c r="A973" t="s">
        <v>1022</v>
      </c>
      <c r="B973">
        <f>VLOOKUP('Employee Details'!A973,'Remote work mental helath'!$A$2:$T$1001,2,)</f>
        <v>57</v>
      </c>
      <c r="C973" t="str">
        <f t="shared" si="15"/>
        <v>50+</v>
      </c>
      <c r="D973" t="str">
        <f>VLOOKUP(A973,'Remote work mental helath'!$A$2:$T$1001,3,)</f>
        <v>Male</v>
      </c>
      <c r="E973" t="str">
        <f>VLOOKUP(A973,'Remote work mental helath'!$A$2:$T$1001,20,)</f>
        <v>Europe</v>
      </c>
      <c r="F973" t="str">
        <f>VLOOKUP(A973,'Remote work mental helath'!$A$2:$T$1001,4,)</f>
        <v>Software Engineer</v>
      </c>
    </row>
    <row r="974" spans="1:6" x14ac:dyDescent="0.3">
      <c r="A974" t="s">
        <v>1023</v>
      </c>
      <c r="B974">
        <f>VLOOKUP('Employee Details'!A974,'Remote work mental helath'!$A$2:$T$1001,2,)</f>
        <v>33</v>
      </c>
      <c r="C974" t="str">
        <f t="shared" si="15"/>
        <v>30-39</v>
      </c>
      <c r="D974" t="str">
        <f>VLOOKUP(A974,'Remote work mental helath'!$A$2:$T$1001,3,)</f>
        <v>Male</v>
      </c>
      <c r="E974" t="str">
        <f>VLOOKUP(A974,'Remote work mental helath'!$A$2:$T$1001,20,)</f>
        <v>Asia</v>
      </c>
      <c r="F974" t="str">
        <f>VLOOKUP(A974,'Remote work mental helath'!$A$2:$T$1001,4,)</f>
        <v>Software Engineer</v>
      </c>
    </row>
    <row r="975" spans="1:6" x14ac:dyDescent="0.3">
      <c r="A975" t="s">
        <v>1024</v>
      </c>
      <c r="B975">
        <f>VLOOKUP('Employee Details'!A975,'Remote work mental helath'!$A$2:$T$1001,2,)</f>
        <v>38</v>
      </c>
      <c r="C975" t="str">
        <f t="shared" si="15"/>
        <v>30-39</v>
      </c>
      <c r="D975" t="str">
        <f>VLOOKUP(A975,'Remote work mental helath'!$A$2:$T$1001,3,)</f>
        <v>Female</v>
      </c>
      <c r="E975" t="str">
        <f>VLOOKUP(A975,'Remote work mental helath'!$A$2:$T$1001,20,)</f>
        <v>South America</v>
      </c>
      <c r="F975" t="str">
        <f>VLOOKUP(A975,'Remote work mental helath'!$A$2:$T$1001,4,)</f>
        <v>Software Engineer</v>
      </c>
    </row>
    <row r="976" spans="1:6" x14ac:dyDescent="0.3">
      <c r="A976" t="s">
        <v>1025</v>
      </c>
      <c r="B976">
        <f>VLOOKUP('Employee Details'!A976,'Remote work mental helath'!$A$2:$T$1001,2,)</f>
        <v>43</v>
      </c>
      <c r="C976" t="str">
        <f t="shared" si="15"/>
        <v>40-49</v>
      </c>
      <c r="D976" t="str">
        <f>VLOOKUP(A976,'Remote work mental helath'!$A$2:$T$1001,3,)</f>
        <v>Female</v>
      </c>
      <c r="E976" t="str">
        <f>VLOOKUP(A976,'Remote work mental helath'!$A$2:$T$1001,20,)</f>
        <v>Europe</v>
      </c>
      <c r="F976" t="str">
        <f>VLOOKUP(A976,'Remote work mental helath'!$A$2:$T$1001,4,)</f>
        <v>HR</v>
      </c>
    </row>
    <row r="977" spans="1:6" x14ac:dyDescent="0.3">
      <c r="A977" t="s">
        <v>1026</v>
      </c>
      <c r="B977">
        <f>VLOOKUP('Employee Details'!A977,'Remote work mental helath'!$A$2:$T$1001,2,)</f>
        <v>43</v>
      </c>
      <c r="C977" t="str">
        <f t="shared" si="15"/>
        <v>40-49</v>
      </c>
      <c r="D977" t="str">
        <f>VLOOKUP(A977,'Remote work mental helath'!$A$2:$T$1001,3,)</f>
        <v>Prefer not to say</v>
      </c>
      <c r="E977" t="str">
        <f>VLOOKUP(A977,'Remote work mental helath'!$A$2:$T$1001,20,)</f>
        <v>Europe</v>
      </c>
      <c r="F977" t="str">
        <f>VLOOKUP(A977,'Remote work mental helath'!$A$2:$T$1001,4,)</f>
        <v>HR</v>
      </c>
    </row>
    <row r="978" spans="1:6" x14ac:dyDescent="0.3">
      <c r="A978" t="s">
        <v>1027</v>
      </c>
      <c r="B978">
        <f>VLOOKUP('Employee Details'!A978,'Remote work mental helath'!$A$2:$T$1001,2,)</f>
        <v>44</v>
      </c>
      <c r="C978" t="str">
        <f t="shared" si="15"/>
        <v>40-49</v>
      </c>
      <c r="D978" t="str">
        <f>VLOOKUP(A978,'Remote work mental helath'!$A$2:$T$1001,3,)</f>
        <v>Female</v>
      </c>
      <c r="E978" t="str">
        <f>VLOOKUP(A978,'Remote work mental helath'!$A$2:$T$1001,20,)</f>
        <v>South America</v>
      </c>
      <c r="F978" t="str">
        <f>VLOOKUP(A978,'Remote work mental helath'!$A$2:$T$1001,4,)</f>
        <v>Sales</v>
      </c>
    </row>
    <row r="979" spans="1:6" x14ac:dyDescent="0.3">
      <c r="A979" t="s">
        <v>1028</v>
      </c>
      <c r="B979">
        <f>VLOOKUP('Employee Details'!A979,'Remote work mental helath'!$A$2:$T$1001,2,)</f>
        <v>52</v>
      </c>
      <c r="C979" t="str">
        <f t="shared" si="15"/>
        <v>50+</v>
      </c>
      <c r="D979" t="str">
        <f>VLOOKUP(A979,'Remote work mental helath'!$A$2:$T$1001,3,)</f>
        <v>Prefer not to say</v>
      </c>
      <c r="E979" t="str">
        <f>VLOOKUP(A979,'Remote work mental helath'!$A$2:$T$1001,20,)</f>
        <v>Africa</v>
      </c>
      <c r="F979" t="str">
        <f>VLOOKUP(A979,'Remote work mental helath'!$A$2:$T$1001,4,)</f>
        <v>Sales</v>
      </c>
    </row>
    <row r="980" spans="1:6" x14ac:dyDescent="0.3">
      <c r="A980" t="s">
        <v>1029</v>
      </c>
      <c r="B980">
        <f>VLOOKUP('Employee Details'!A980,'Remote work mental helath'!$A$2:$T$1001,2,)</f>
        <v>25</v>
      </c>
      <c r="C980" t="str">
        <f t="shared" si="15"/>
        <v>20-29</v>
      </c>
      <c r="D980" t="str">
        <f>VLOOKUP(A980,'Remote work mental helath'!$A$2:$T$1001,3,)</f>
        <v>Male</v>
      </c>
      <c r="E980" t="str">
        <f>VLOOKUP(A980,'Remote work mental helath'!$A$2:$T$1001,20,)</f>
        <v>Oceania</v>
      </c>
      <c r="F980" t="str">
        <f>VLOOKUP(A980,'Remote work mental helath'!$A$2:$T$1001,4,)</f>
        <v>Project Manager</v>
      </c>
    </row>
    <row r="981" spans="1:6" x14ac:dyDescent="0.3">
      <c r="A981" t="s">
        <v>1030</v>
      </c>
      <c r="B981">
        <f>VLOOKUP('Employee Details'!A981,'Remote work mental helath'!$A$2:$T$1001,2,)</f>
        <v>28</v>
      </c>
      <c r="C981" t="str">
        <f t="shared" si="15"/>
        <v>20-29</v>
      </c>
      <c r="D981" t="str">
        <f>VLOOKUP(A981,'Remote work mental helath'!$A$2:$T$1001,3,)</f>
        <v>Female</v>
      </c>
      <c r="E981" t="str">
        <f>VLOOKUP(A981,'Remote work mental helath'!$A$2:$T$1001,20,)</f>
        <v>Europe</v>
      </c>
      <c r="F981" t="str">
        <f>VLOOKUP(A981,'Remote work mental helath'!$A$2:$T$1001,4,)</f>
        <v>Project Manager</v>
      </c>
    </row>
    <row r="982" spans="1:6" x14ac:dyDescent="0.3">
      <c r="A982" t="s">
        <v>1031</v>
      </c>
      <c r="B982">
        <f>VLOOKUP('Employee Details'!A982,'Remote work mental helath'!$A$2:$T$1001,2,)</f>
        <v>26</v>
      </c>
      <c r="C982" t="str">
        <f t="shared" si="15"/>
        <v>20-29</v>
      </c>
      <c r="D982" t="str">
        <f>VLOOKUP(A982,'Remote work mental helath'!$A$2:$T$1001,3,)</f>
        <v>Non-binary</v>
      </c>
      <c r="E982" t="str">
        <f>VLOOKUP(A982,'Remote work mental helath'!$A$2:$T$1001,20,)</f>
        <v>South America</v>
      </c>
      <c r="F982" t="str">
        <f>VLOOKUP(A982,'Remote work mental helath'!$A$2:$T$1001,4,)</f>
        <v>Data Scientist</v>
      </c>
    </row>
    <row r="983" spans="1:6" x14ac:dyDescent="0.3">
      <c r="A983" t="s">
        <v>1032</v>
      </c>
      <c r="B983">
        <f>VLOOKUP('Employee Details'!A983,'Remote work mental helath'!$A$2:$T$1001,2,)</f>
        <v>32</v>
      </c>
      <c r="C983" t="str">
        <f t="shared" si="15"/>
        <v>30-39</v>
      </c>
      <c r="D983" t="str">
        <f>VLOOKUP(A983,'Remote work mental helath'!$A$2:$T$1001,3,)</f>
        <v>Female</v>
      </c>
      <c r="E983" t="str">
        <f>VLOOKUP(A983,'Remote work mental helath'!$A$2:$T$1001,20,)</f>
        <v>Europe</v>
      </c>
      <c r="F983" t="str">
        <f>VLOOKUP(A983,'Remote work mental helath'!$A$2:$T$1001,4,)</f>
        <v>Designer</v>
      </c>
    </row>
    <row r="984" spans="1:6" x14ac:dyDescent="0.3">
      <c r="A984" t="s">
        <v>1033</v>
      </c>
      <c r="B984">
        <f>VLOOKUP('Employee Details'!A984,'Remote work mental helath'!$A$2:$T$1001,2,)</f>
        <v>28</v>
      </c>
      <c r="C984" t="str">
        <f t="shared" si="15"/>
        <v>20-29</v>
      </c>
      <c r="D984" t="str">
        <f>VLOOKUP(A984,'Remote work mental helath'!$A$2:$T$1001,3,)</f>
        <v>Female</v>
      </c>
      <c r="E984" t="str">
        <f>VLOOKUP(A984,'Remote work mental helath'!$A$2:$T$1001,20,)</f>
        <v>Europe</v>
      </c>
      <c r="F984" t="str">
        <f>VLOOKUP(A984,'Remote work mental helath'!$A$2:$T$1001,4,)</f>
        <v>Data Scientist</v>
      </c>
    </row>
    <row r="985" spans="1:6" x14ac:dyDescent="0.3">
      <c r="A985" t="s">
        <v>1034</v>
      </c>
      <c r="B985">
        <f>VLOOKUP('Employee Details'!A985,'Remote work mental helath'!$A$2:$T$1001,2,)</f>
        <v>32</v>
      </c>
      <c r="C985" t="str">
        <f t="shared" si="15"/>
        <v>30-39</v>
      </c>
      <c r="D985" t="str">
        <f>VLOOKUP(A985,'Remote work mental helath'!$A$2:$T$1001,3,)</f>
        <v>Prefer not to say</v>
      </c>
      <c r="E985" t="str">
        <f>VLOOKUP(A985,'Remote work mental helath'!$A$2:$T$1001,20,)</f>
        <v>North America</v>
      </c>
      <c r="F985" t="str">
        <f>VLOOKUP(A985,'Remote work mental helath'!$A$2:$T$1001,4,)</f>
        <v>Project Manager</v>
      </c>
    </row>
    <row r="986" spans="1:6" x14ac:dyDescent="0.3">
      <c r="A986" t="s">
        <v>1035</v>
      </c>
      <c r="B986">
        <f>VLOOKUP('Employee Details'!A986,'Remote work mental helath'!$A$2:$T$1001,2,)</f>
        <v>25</v>
      </c>
      <c r="C986" t="str">
        <f t="shared" si="15"/>
        <v>20-29</v>
      </c>
      <c r="D986" t="str">
        <f>VLOOKUP(A986,'Remote work mental helath'!$A$2:$T$1001,3,)</f>
        <v>Non-binary</v>
      </c>
      <c r="E986" t="str">
        <f>VLOOKUP(A986,'Remote work mental helath'!$A$2:$T$1001,20,)</f>
        <v>South America</v>
      </c>
      <c r="F986" t="str">
        <f>VLOOKUP(A986,'Remote work mental helath'!$A$2:$T$1001,4,)</f>
        <v>Project Manager</v>
      </c>
    </row>
    <row r="987" spans="1:6" x14ac:dyDescent="0.3">
      <c r="A987" t="s">
        <v>1036</v>
      </c>
      <c r="B987">
        <f>VLOOKUP('Employee Details'!A987,'Remote work mental helath'!$A$2:$T$1001,2,)</f>
        <v>57</v>
      </c>
      <c r="C987" t="str">
        <f t="shared" si="15"/>
        <v>50+</v>
      </c>
      <c r="D987" t="str">
        <f>VLOOKUP(A987,'Remote work mental helath'!$A$2:$T$1001,3,)</f>
        <v>Non-binary</v>
      </c>
      <c r="E987" t="str">
        <f>VLOOKUP(A987,'Remote work mental helath'!$A$2:$T$1001,20,)</f>
        <v>Europe</v>
      </c>
      <c r="F987" t="str">
        <f>VLOOKUP(A987,'Remote work mental helath'!$A$2:$T$1001,4,)</f>
        <v>Software Engineer</v>
      </c>
    </row>
    <row r="988" spans="1:6" x14ac:dyDescent="0.3">
      <c r="A988" t="s">
        <v>1037</v>
      </c>
      <c r="B988">
        <f>VLOOKUP('Employee Details'!A988,'Remote work mental helath'!$A$2:$T$1001,2,)</f>
        <v>28</v>
      </c>
      <c r="C988" t="str">
        <f t="shared" si="15"/>
        <v>20-29</v>
      </c>
      <c r="D988" t="str">
        <f>VLOOKUP(A988,'Remote work mental helath'!$A$2:$T$1001,3,)</f>
        <v>Non-binary</v>
      </c>
      <c r="E988" t="str">
        <f>VLOOKUP(A988,'Remote work mental helath'!$A$2:$T$1001,20,)</f>
        <v>Europe</v>
      </c>
      <c r="F988" t="str">
        <f>VLOOKUP(A988,'Remote work mental helath'!$A$2:$T$1001,4,)</f>
        <v>Marketing</v>
      </c>
    </row>
    <row r="989" spans="1:6" x14ac:dyDescent="0.3">
      <c r="A989" t="s">
        <v>1038</v>
      </c>
      <c r="B989">
        <f>VLOOKUP('Employee Details'!A989,'Remote work mental helath'!$A$2:$T$1001,2,)</f>
        <v>51</v>
      </c>
      <c r="C989" t="str">
        <f t="shared" si="15"/>
        <v>50+</v>
      </c>
      <c r="D989" t="str">
        <f>VLOOKUP(A989,'Remote work mental helath'!$A$2:$T$1001,3,)</f>
        <v>Male</v>
      </c>
      <c r="E989" t="str">
        <f>VLOOKUP(A989,'Remote work mental helath'!$A$2:$T$1001,20,)</f>
        <v>Africa</v>
      </c>
      <c r="F989" t="str">
        <f>VLOOKUP(A989,'Remote work mental helath'!$A$2:$T$1001,4,)</f>
        <v>HR</v>
      </c>
    </row>
    <row r="990" spans="1:6" x14ac:dyDescent="0.3">
      <c r="A990" t="s">
        <v>1039</v>
      </c>
      <c r="B990">
        <f>VLOOKUP('Employee Details'!A990,'Remote work mental helath'!$A$2:$T$1001,2,)</f>
        <v>60</v>
      </c>
      <c r="C990" t="str">
        <f t="shared" si="15"/>
        <v>50+</v>
      </c>
      <c r="D990" t="str">
        <f>VLOOKUP(A990,'Remote work mental helath'!$A$2:$T$1001,3,)</f>
        <v>Prefer not to say</v>
      </c>
      <c r="E990" t="str">
        <f>VLOOKUP(A990,'Remote work mental helath'!$A$2:$T$1001,20,)</f>
        <v>Oceania</v>
      </c>
      <c r="F990" t="str">
        <f>VLOOKUP(A990,'Remote work mental helath'!$A$2:$T$1001,4,)</f>
        <v>Marketing</v>
      </c>
    </row>
    <row r="991" spans="1:6" x14ac:dyDescent="0.3">
      <c r="A991" t="s">
        <v>1040</v>
      </c>
      <c r="B991">
        <f>VLOOKUP('Employee Details'!A991,'Remote work mental helath'!$A$2:$T$1001,2,)</f>
        <v>49</v>
      </c>
      <c r="C991" t="str">
        <f t="shared" si="15"/>
        <v>40-49</v>
      </c>
      <c r="D991" t="str">
        <f>VLOOKUP(A991,'Remote work mental helath'!$A$2:$T$1001,3,)</f>
        <v>Female</v>
      </c>
      <c r="E991" t="str">
        <f>VLOOKUP(A991,'Remote work mental helath'!$A$2:$T$1001,20,)</f>
        <v>South America</v>
      </c>
      <c r="F991" t="str">
        <f>VLOOKUP(A991,'Remote work mental helath'!$A$2:$T$1001,4,)</f>
        <v>Software Engineer</v>
      </c>
    </row>
    <row r="992" spans="1:6" x14ac:dyDescent="0.3">
      <c r="A992" t="s">
        <v>1041</v>
      </c>
      <c r="B992">
        <f>VLOOKUP('Employee Details'!A992,'Remote work mental helath'!$A$2:$T$1001,2,)</f>
        <v>30</v>
      </c>
      <c r="C992" t="str">
        <f t="shared" si="15"/>
        <v>30-39</v>
      </c>
      <c r="D992" t="str">
        <f>VLOOKUP(A992,'Remote work mental helath'!$A$2:$T$1001,3,)</f>
        <v>Male</v>
      </c>
      <c r="E992" t="str">
        <f>VLOOKUP(A992,'Remote work mental helath'!$A$2:$T$1001,20,)</f>
        <v>North America</v>
      </c>
      <c r="F992" t="str">
        <f>VLOOKUP(A992,'Remote work mental helath'!$A$2:$T$1001,4,)</f>
        <v>Software Engineer</v>
      </c>
    </row>
    <row r="993" spans="1:6" x14ac:dyDescent="0.3">
      <c r="A993" t="s">
        <v>1042</v>
      </c>
      <c r="B993">
        <f>VLOOKUP('Employee Details'!A993,'Remote work mental helath'!$A$2:$T$1001,2,)</f>
        <v>35</v>
      </c>
      <c r="C993" t="str">
        <f t="shared" si="15"/>
        <v>30-39</v>
      </c>
      <c r="D993" t="str">
        <f>VLOOKUP(A993,'Remote work mental helath'!$A$2:$T$1001,3,)</f>
        <v>Prefer not to say</v>
      </c>
      <c r="E993" t="str">
        <f>VLOOKUP(A993,'Remote work mental helath'!$A$2:$T$1001,20,)</f>
        <v>Asia</v>
      </c>
      <c r="F993" t="str">
        <f>VLOOKUP(A993,'Remote work mental helath'!$A$2:$T$1001,4,)</f>
        <v>Designer</v>
      </c>
    </row>
    <row r="994" spans="1:6" x14ac:dyDescent="0.3">
      <c r="A994" t="s">
        <v>1043</v>
      </c>
      <c r="B994">
        <f>VLOOKUP('Employee Details'!A994,'Remote work mental helath'!$A$2:$T$1001,2,)</f>
        <v>45</v>
      </c>
      <c r="C994" t="str">
        <f t="shared" si="15"/>
        <v>40-49</v>
      </c>
      <c r="D994" t="str">
        <f>VLOOKUP(A994,'Remote work mental helath'!$A$2:$T$1001,3,)</f>
        <v>Non-binary</v>
      </c>
      <c r="E994" t="str">
        <f>VLOOKUP(A994,'Remote work mental helath'!$A$2:$T$1001,20,)</f>
        <v>North America</v>
      </c>
      <c r="F994" t="str">
        <f>VLOOKUP(A994,'Remote work mental helath'!$A$2:$T$1001,4,)</f>
        <v>Software Engineer</v>
      </c>
    </row>
    <row r="995" spans="1:6" x14ac:dyDescent="0.3">
      <c r="A995" t="s">
        <v>1044</v>
      </c>
      <c r="B995">
        <f>VLOOKUP('Employee Details'!A995,'Remote work mental helath'!$A$2:$T$1001,2,)</f>
        <v>42</v>
      </c>
      <c r="C995" t="str">
        <f t="shared" si="15"/>
        <v>40-49</v>
      </c>
      <c r="D995" t="str">
        <f>VLOOKUP(A995,'Remote work mental helath'!$A$2:$T$1001,3,)</f>
        <v>Non-binary</v>
      </c>
      <c r="E995" t="str">
        <f>VLOOKUP(A995,'Remote work mental helath'!$A$2:$T$1001,20,)</f>
        <v>Africa</v>
      </c>
      <c r="F995" t="str">
        <f>VLOOKUP(A995,'Remote work mental helath'!$A$2:$T$1001,4,)</f>
        <v>Project Manager</v>
      </c>
    </row>
    <row r="996" spans="1:6" x14ac:dyDescent="0.3">
      <c r="A996" t="s">
        <v>1045</v>
      </c>
      <c r="B996">
        <f>VLOOKUP('Employee Details'!A996,'Remote work mental helath'!$A$2:$T$1001,2,)</f>
        <v>38</v>
      </c>
      <c r="C996" t="str">
        <f t="shared" si="15"/>
        <v>30-39</v>
      </c>
      <c r="D996" t="str">
        <f>VLOOKUP(A996,'Remote work mental helath'!$A$2:$T$1001,3,)</f>
        <v>Non-binary</v>
      </c>
      <c r="E996" t="str">
        <f>VLOOKUP(A996,'Remote work mental helath'!$A$2:$T$1001,20,)</f>
        <v>Oceania</v>
      </c>
      <c r="F996" t="str">
        <f>VLOOKUP(A996,'Remote work mental helath'!$A$2:$T$1001,4,)</f>
        <v>Software Engineer</v>
      </c>
    </row>
    <row r="997" spans="1:6" x14ac:dyDescent="0.3">
      <c r="A997" t="s">
        <v>1046</v>
      </c>
      <c r="B997">
        <f>VLOOKUP('Employee Details'!A997,'Remote work mental helath'!$A$2:$T$1001,2,)</f>
        <v>36</v>
      </c>
      <c r="C997" t="str">
        <f t="shared" si="15"/>
        <v>30-39</v>
      </c>
      <c r="D997" t="str">
        <f>VLOOKUP(A997,'Remote work mental helath'!$A$2:$T$1001,3,)</f>
        <v>Non-binary</v>
      </c>
      <c r="E997" t="str">
        <f>VLOOKUP(A997,'Remote work mental helath'!$A$2:$T$1001,20,)</f>
        <v>Europe</v>
      </c>
      <c r="F997" t="str">
        <f>VLOOKUP(A997,'Remote work mental helath'!$A$2:$T$1001,4,)</f>
        <v>Sales</v>
      </c>
    </row>
    <row r="998" spans="1:6" x14ac:dyDescent="0.3">
      <c r="A998" t="s">
        <v>1047</v>
      </c>
      <c r="B998">
        <f>VLOOKUP('Employee Details'!A998,'Remote work mental helath'!$A$2:$T$1001,2,)</f>
        <v>23</v>
      </c>
      <c r="C998" t="str">
        <f t="shared" si="15"/>
        <v>20-29</v>
      </c>
      <c r="D998" t="str">
        <f>VLOOKUP(A998,'Remote work mental helath'!$A$2:$T$1001,3,)</f>
        <v>Female</v>
      </c>
      <c r="E998" t="str">
        <f>VLOOKUP(A998,'Remote work mental helath'!$A$2:$T$1001,20,)</f>
        <v>Africa</v>
      </c>
      <c r="F998" t="str">
        <f>VLOOKUP(A998,'Remote work mental helath'!$A$2:$T$1001,4,)</f>
        <v>Project Manager</v>
      </c>
    </row>
    <row r="999" spans="1:6" x14ac:dyDescent="0.3">
      <c r="A999" t="s">
        <v>1048</v>
      </c>
      <c r="B999">
        <f>VLOOKUP('Employee Details'!A999,'Remote work mental helath'!$A$2:$T$1001,2,)</f>
        <v>41</v>
      </c>
      <c r="C999" t="str">
        <f t="shared" si="15"/>
        <v>40-49</v>
      </c>
      <c r="D999" t="str">
        <f>VLOOKUP(A999,'Remote work mental helath'!$A$2:$T$1001,3,)</f>
        <v>Non-binary</v>
      </c>
      <c r="E999" t="str">
        <f>VLOOKUP(A999,'Remote work mental helath'!$A$2:$T$1001,20,)</f>
        <v>South America</v>
      </c>
      <c r="F999" t="str">
        <f>VLOOKUP(A999,'Remote work mental helath'!$A$2:$T$1001,4,)</f>
        <v>Project Manager</v>
      </c>
    </row>
    <row r="1000" spans="1:6" x14ac:dyDescent="0.3">
      <c r="A1000" t="s">
        <v>1049</v>
      </c>
      <c r="B1000">
        <f>VLOOKUP('Employee Details'!A1000,'Remote work mental helath'!$A$2:$T$1001,2,)</f>
        <v>43</v>
      </c>
      <c r="C1000" t="str">
        <f t="shared" si="15"/>
        <v>40-49</v>
      </c>
      <c r="D1000" t="str">
        <f>VLOOKUP(A1000,'Remote work mental helath'!$A$2:$T$1001,3,)</f>
        <v>Male</v>
      </c>
      <c r="E1000" t="str">
        <f>VLOOKUP(A1000,'Remote work mental helath'!$A$2:$T$1001,20,)</f>
        <v>Oceania</v>
      </c>
      <c r="F1000" t="str">
        <f>VLOOKUP(A1000,'Remote work mental helath'!$A$2:$T$1001,4,)</f>
        <v>Marketing</v>
      </c>
    </row>
    <row r="1001" spans="1:6" x14ac:dyDescent="0.3">
      <c r="A1001" t="s">
        <v>1050</v>
      </c>
      <c r="B1001">
        <f>VLOOKUP('Employee Details'!A1001,'Remote work mental helath'!$A$2:$T$1001,2,)</f>
        <v>53</v>
      </c>
      <c r="C1001" t="str">
        <f t="shared" si="15"/>
        <v>50+</v>
      </c>
      <c r="D1001" t="str">
        <f>VLOOKUP(A1001,'Remote work mental helath'!$A$2:$T$1001,3,)</f>
        <v>Non-binary</v>
      </c>
      <c r="E1001" t="str">
        <f>VLOOKUP(A1001,'Remote work mental helath'!$A$2:$T$1001,20,)</f>
        <v>South America</v>
      </c>
      <c r="F1001" t="str">
        <f>VLOOKUP(A1001,'Remote work mental helath'!$A$2:$T$1001,4,)</f>
        <v>Designer</v>
      </c>
    </row>
  </sheetData>
  <autoFilter ref="A1:F1" xr:uid="{D767C717-4A68-41C6-A6A3-A9D56CF1C4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8B81-9BF9-4339-A7DB-6CF681D701B3}">
  <dimension ref="A1:G1001"/>
  <sheetViews>
    <sheetView topLeftCell="A976" workbookViewId="0">
      <selection activeCell="H991" sqref="H991"/>
    </sheetView>
  </sheetViews>
  <sheetFormatPr defaultRowHeight="14.4" x14ac:dyDescent="0.3"/>
  <cols>
    <col min="1" max="1" width="15" customWidth="1"/>
    <col min="2" max="2" width="19" customWidth="1"/>
    <col min="3" max="3" width="21.5546875" customWidth="1"/>
    <col min="4" max="4" width="18.109375" customWidth="1"/>
    <col min="5" max="5" width="24.44140625" customWidth="1"/>
    <col min="6" max="6" width="26.33203125" customWidth="1"/>
  </cols>
  <sheetData>
    <row r="1" spans="1:7" s="2" customFormat="1" ht="15.6" x14ac:dyDescent="0.3">
      <c r="A1" s="18" t="s">
        <v>1065</v>
      </c>
      <c r="B1" s="18" t="s">
        <v>2</v>
      </c>
      <c r="C1" s="18" t="s">
        <v>1067</v>
      </c>
      <c r="D1" s="19" t="s">
        <v>1062</v>
      </c>
      <c r="E1" s="19" t="s">
        <v>1063</v>
      </c>
      <c r="F1" s="19" t="s">
        <v>1064</v>
      </c>
    </row>
    <row r="2" spans="1:7" x14ac:dyDescent="0.3">
      <c r="A2" t="s">
        <v>4</v>
      </c>
      <c r="B2" t="str">
        <f>VLOOKUP(A2,'Remote work mental helath'!$A$2:$T$1001,5,)</f>
        <v>Healthcare</v>
      </c>
      <c r="C2" t="str">
        <f>VLOOKUP(A2,'Remote work mental helath'!$A$2:$T$1001,7,)</f>
        <v>Hybrid</v>
      </c>
      <c r="D2">
        <f>VLOOKUP(A2,'Remote work mental helath'!$A$2:$T$1001,6,)</f>
        <v>13</v>
      </c>
      <c r="E2">
        <f>VLOOKUP(A2,'Remote work mental helath'!$A$2:$T$1001,8,)</f>
        <v>47</v>
      </c>
      <c r="F2">
        <f>VLOOKUP(A2,'Remote work mental helath'!$A$2:$T$1001,9,)</f>
        <v>7</v>
      </c>
    </row>
    <row r="3" spans="1:7" x14ac:dyDescent="0.3">
      <c r="A3" t="s">
        <v>17</v>
      </c>
      <c r="B3" t="str">
        <f>VLOOKUP(A3,'Remote work mental helath'!$A$2:$T$1001,5,)</f>
        <v>IT</v>
      </c>
      <c r="C3" t="str">
        <f>VLOOKUP(A3,'Remote work mental helath'!$A$2:$T$1001,7,)</f>
        <v>Remote</v>
      </c>
      <c r="D3">
        <f>VLOOKUP(A3,'Remote work mental helath'!$A$2:$T$1001,6,)</f>
        <v>3</v>
      </c>
      <c r="E3">
        <f>VLOOKUP(A3,'Remote work mental helath'!$A$2:$T$1001,8,)</f>
        <v>52</v>
      </c>
      <c r="F3">
        <f>VLOOKUP(A3,'Remote work mental helath'!$A$2:$T$1001,9,)</f>
        <v>4</v>
      </c>
    </row>
    <row r="4" spans="1:7" x14ac:dyDescent="0.3">
      <c r="A4" t="s">
        <v>26</v>
      </c>
      <c r="B4" t="str">
        <f>VLOOKUP(A4,'Remote work mental helath'!$A$2:$T$1001,5,)</f>
        <v>Education</v>
      </c>
      <c r="C4" t="str">
        <f>VLOOKUP(A4,'Remote work mental helath'!$A$2:$T$1001,7,)</f>
        <v>Hybrid</v>
      </c>
      <c r="D4">
        <f>VLOOKUP(A4,'Remote work mental helath'!$A$2:$T$1001,6,)</f>
        <v>22</v>
      </c>
      <c r="E4">
        <f>VLOOKUP(A4,'Remote work mental helath'!$A$2:$T$1001,8,)</f>
        <v>46</v>
      </c>
      <c r="F4">
        <f>VLOOKUP(A4,'Remote work mental helath'!$A$2:$T$1001,9,)</f>
        <v>11</v>
      </c>
    </row>
    <row r="5" spans="1:7" x14ac:dyDescent="0.3">
      <c r="A5" t="s">
        <v>33</v>
      </c>
      <c r="B5" t="str">
        <f>VLOOKUP(A5,'Remote work mental helath'!$A$2:$T$1001,5,)</f>
        <v>Finance</v>
      </c>
      <c r="C5" t="str">
        <f>VLOOKUP(A5,'Remote work mental helath'!$A$2:$T$1001,7,)</f>
        <v>Onsite</v>
      </c>
      <c r="D5">
        <f>VLOOKUP(A5,'Remote work mental helath'!$A$2:$T$1001,6,)</f>
        <v>20</v>
      </c>
      <c r="E5">
        <f>VLOOKUP(A5,'Remote work mental helath'!$A$2:$T$1001,8,)</f>
        <v>32</v>
      </c>
      <c r="F5">
        <f>VLOOKUP(A5,'Remote work mental helath'!$A$2:$T$1001,9,)</f>
        <v>8</v>
      </c>
    </row>
    <row r="6" spans="1:7" x14ac:dyDescent="0.3">
      <c r="A6" t="s">
        <v>39</v>
      </c>
      <c r="B6" t="str">
        <f>VLOOKUP(A6,'Remote work mental helath'!$A$2:$T$1001,5,)</f>
        <v>Consulting</v>
      </c>
      <c r="C6" t="str">
        <f>VLOOKUP(A6,'Remote work mental helath'!$A$2:$T$1001,7,)</f>
        <v>Onsite</v>
      </c>
      <c r="D6">
        <f>VLOOKUP(A6,'Remote work mental helath'!$A$2:$T$1001,6,)</f>
        <v>32</v>
      </c>
      <c r="E6">
        <f>VLOOKUP(A6,'Remote work mental helath'!$A$2:$T$1001,8,)</f>
        <v>35</v>
      </c>
      <c r="F6">
        <f>VLOOKUP(A6,'Remote work mental helath'!$A$2:$T$1001,9,)</f>
        <v>12</v>
      </c>
    </row>
    <row r="7" spans="1:7" x14ac:dyDescent="0.3">
      <c r="A7" t="s">
        <v>43</v>
      </c>
      <c r="B7" t="str">
        <f>VLOOKUP(A7,'Remote work mental helath'!$A$2:$T$1001,5,)</f>
        <v>IT</v>
      </c>
      <c r="C7" t="str">
        <f>VLOOKUP(A7,'Remote work mental helath'!$A$2:$T$1001,7,)</f>
        <v>Hybrid</v>
      </c>
      <c r="D7">
        <f>VLOOKUP(A7,'Remote work mental helath'!$A$2:$T$1001,6,)</f>
        <v>31</v>
      </c>
      <c r="E7">
        <f>VLOOKUP(A7,'Remote work mental helath'!$A$2:$T$1001,8,)</f>
        <v>39</v>
      </c>
      <c r="F7">
        <f>VLOOKUP(A7,'Remote work mental helath'!$A$2:$T$1001,9,)</f>
        <v>3</v>
      </c>
    </row>
    <row r="8" spans="1:7" x14ac:dyDescent="0.3">
      <c r="A8" t="s">
        <v>45</v>
      </c>
      <c r="B8" t="str">
        <f>VLOOKUP(A8,'Remote work mental helath'!$A$2:$T$1001,5,)</f>
        <v>IT</v>
      </c>
      <c r="C8" t="str">
        <f>VLOOKUP(A8,'Remote work mental helath'!$A$2:$T$1001,7,)</f>
        <v>Remote</v>
      </c>
      <c r="D8">
        <f>VLOOKUP(A8,'Remote work mental helath'!$A$2:$T$1001,6,)</f>
        <v>24</v>
      </c>
      <c r="E8">
        <f>VLOOKUP(A8,'Remote work mental helath'!$A$2:$T$1001,8,)</f>
        <v>51</v>
      </c>
      <c r="F8">
        <f>VLOOKUP(A8,'Remote work mental helath'!$A$2:$T$1001,9,)</f>
        <v>7</v>
      </c>
    </row>
    <row r="9" spans="1:7" x14ac:dyDescent="0.3">
      <c r="A9" t="s">
        <v>50</v>
      </c>
      <c r="B9" t="str">
        <f>VLOOKUP(A9,'Remote work mental helath'!$A$2:$T$1001,5,)</f>
        <v>Manufacturing</v>
      </c>
      <c r="C9" t="str">
        <f>VLOOKUP(A9,'Remote work mental helath'!$A$2:$T$1001,7,)</f>
        <v>Onsite</v>
      </c>
      <c r="D9">
        <f>VLOOKUP(A9,'Remote work mental helath'!$A$2:$T$1001,6,)</f>
        <v>6</v>
      </c>
      <c r="E9">
        <f>VLOOKUP(A9,'Remote work mental helath'!$A$2:$T$1001,8,)</f>
        <v>54</v>
      </c>
      <c r="F9">
        <f>VLOOKUP(A9,'Remote work mental helath'!$A$2:$T$1001,9,)</f>
        <v>7</v>
      </c>
    </row>
    <row r="10" spans="1:7" x14ac:dyDescent="0.3">
      <c r="A10" t="s">
        <v>52</v>
      </c>
      <c r="B10" t="str">
        <f>VLOOKUP(A10,'Remote work mental helath'!$A$2:$T$1001,5,)</f>
        <v>Healthcare</v>
      </c>
      <c r="C10" t="str">
        <f>VLOOKUP(A10,'Remote work mental helath'!$A$2:$T$1001,7,)</f>
        <v>Hybrid</v>
      </c>
      <c r="D10">
        <f>VLOOKUP(A10,'Remote work mental helath'!$A$2:$T$1001,6,)</f>
        <v>9</v>
      </c>
      <c r="E10">
        <f>VLOOKUP(A10,'Remote work mental helath'!$A$2:$T$1001,8,)</f>
        <v>24</v>
      </c>
      <c r="F10">
        <f>VLOOKUP(A10,'Remote work mental helath'!$A$2:$T$1001,9,)</f>
        <v>4</v>
      </c>
    </row>
    <row r="11" spans="1:7" x14ac:dyDescent="0.3">
      <c r="A11" t="s">
        <v>53</v>
      </c>
      <c r="B11" t="str">
        <f>VLOOKUP(A11,'Remote work mental helath'!$A$2:$T$1001,5,)</f>
        <v>IT</v>
      </c>
      <c r="C11" t="str">
        <f>VLOOKUP(A11,'Remote work mental helath'!$A$2:$T$1001,7,)</f>
        <v>Hybrid</v>
      </c>
      <c r="D11">
        <f>VLOOKUP(A11,'Remote work mental helath'!$A$2:$T$1001,6,)</f>
        <v>28</v>
      </c>
      <c r="E11">
        <f>VLOOKUP(A11,'Remote work mental helath'!$A$2:$T$1001,8,)</f>
        <v>57</v>
      </c>
      <c r="F11">
        <f>VLOOKUP(A11,'Remote work mental helath'!$A$2:$T$1001,9,)</f>
        <v>6</v>
      </c>
    </row>
    <row r="12" spans="1:7" x14ac:dyDescent="0.3">
      <c r="A12" t="s">
        <v>54</v>
      </c>
      <c r="B12" t="str">
        <f>VLOOKUP(A12,'Remote work mental helath'!$A$2:$T$1001,5,)</f>
        <v>Finance</v>
      </c>
      <c r="C12" t="str">
        <f>VLOOKUP(A12,'Remote work mental helath'!$A$2:$T$1001,7,)</f>
        <v>Remote</v>
      </c>
      <c r="D12">
        <f>VLOOKUP(A12,'Remote work mental helath'!$A$2:$T$1001,6,)</f>
        <v>17</v>
      </c>
      <c r="E12">
        <f>VLOOKUP(A12,'Remote work mental helath'!$A$2:$T$1001,8,)</f>
        <v>48</v>
      </c>
      <c r="F12">
        <f>VLOOKUP(A12,'Remote work mental helath'!$A$2:$T$1001,9,)</f>
        <v>3</v>
      </c>
      <c r="G12" s="1"/>
    </row>
    <row r="13" spans="1:7" x14ac:dyDescent="0.3">
      <c r="A13" t="s">
        <v>56</v>
      </c>
      <c r="B13" t="str">
        <f>VLOOKUP(A13,'Remote work mental helath'!$A$2:$T$1001,5,)</f>
        <v>Consulting</v>
      </c>
      <c r="C13" t="str">
        <f>VLOOKUP(A13,'Remote work mental helath'!$A$2:$T$1001,7,)</f>
        <v>Hybrid</v>
      </c>
      <c r="D13">
        <f>VLOOKUP(A13,'Remote work mental helath'!$A$2:$T$1001,6,)</f>
        <v>31</v>
      </c>
      <c r="E13">
        <f>VLOOKUP(A13,'Remote work mental helath'!$A$2:$T$1001,8,)</f>
        <v>26</v>
      </c>
      <c r="F13">
        <f>VLOOKUP(A13,'Remote work mental helath'!$A$2:$T$1001,9,)</f>
        <v>12</v>
      </c>
    </row>
    <row r="14" spans="1:7" x14ac:dyDescent="0.3">
      <c r="A14" t="s">
        <v>59</v>
      </c>
      <c r="B14" t="str">
        <f>VLOOKUP(A14,'Remote work mental helath'!$A$2:$T$1001,5,)</f>
        <v>Consulting</v>
      </c>
      <c r="C14" t="str">
        <f>VLOOKUP(A14,'Remote work mental helath'!$A$2:$T$1001,7,)</f>
        <v>Remote</v>
      </c>
      <c r="D14">
        <f>VLOOKUP(A14,'Remote work mental helath'!$A$2:$T$1001,6,)</f>
        <v>1</v>
      </c>
      <c r="E14">
        <f>VLOOKUP(A14,'Remote work mental helath'!$A$2:$T$1001,8,)</f>
        <v>21</v>
      </c>
      <c r="F14">
        <f>VLOOKUP(A14,'Remote work mental helath'!$A$2:$T$1001,9,)</f>
        <v>7</v>
      </c>
      <c r="G14" s="1"/>
    </row>
    <row r="15" spans="1:7" x14ac:dyDescent="0.3">
      <c r="A15" t="s">
        <v>60</v>
      </c>
      <c r="B15" t="str">
        <f>VLOOKUP(A15,'Remote work mental helath'!$A$2:$T$1001,5,)</f>
        <v>Manufacturing</v>
      </c>
      <c r="C15" t="str">
        <f>VLOOKUP(A15,'Remote work mental helath'!$A$2:$T$1001,7,)</f>
        <v>Hybrid</v>
      </c>
      <c r="D15">
        <f>VLOOKUP(A15,'Remote work mental helath'!$A$2:$T$1001,6,)</f>
        <v>5</v>
      </c>
      <c r="E15">
        <f>VLOOKUP(A15,'Remote work mental helath'!$A$2:$T$1001,8,)</f>
        <v>45</v>
      </c>
      <c r="F15">
        <f>VLOOKUP(A15,'Remote work mental helath'!$A$2:$T$1001,9,)</f>
        <v>13</v>
      </c>
    </row>
    <row r="16" spans="1:7" x14ac:dyDescent="0.3">
      <c r="A16" t="s">
        <v>62</v>
      </c>
      <c r="B16" t="str">
        <f>VLOOKUP(A16,'Remote work mental helath'!$A$2:$T$1001,5,)</f>
        <v>Retail</v>
      </c>
      <c r="C16" t="str">
        <f>VLOOKUP(A16,'Remote work mental helath'!$A$2:$T$1001,7,)</f>
        <v>Remote</v>
      </c>
      <c r="D16">
        <f>VLOOKUP(A16,'Remote work mental helath'!$A$2:$T$1001,6,)</f>
        <v>23</v>
      </c>
      <c r="E16">
        <f>VLOOKUP(A16,'Remote work mental helath'!$A$2:$T$1001,8,)</f>
        <v>59</v>
      </c>
      <c r="F16">
        <f>VLOOKUP(A16,'Remote work mental helath'!$A$2:$T$1001,9,)</f>
        <v>11</v>
      </c>
      <c r="G16" s="1"/>
    </row>
    <row r="17" spans="1:7" x14ac:dyDescent="0.3">
      <c r="A17" t="s">
        <v>65</v>
      </c>
      <c r="B17" t="str">
        <f>VLOOKUP(A17,'Remote work mental helath'!$A$2:$T$1001,5,)</f>
        <v>Healthcare</v>
      </c>
      <c r="C17" t="str">
        <f>VLOOKUP(A17,'Remote work mental helath'!$A$2:$T$1001,7,)</f>
        <v>Remote</v>
      </c>
      <c r="D17">
        <f>VLOOKUP(A17,'Remote work mental helath'!$A$2:$T$1001,6,)</f>
        <v>13</v>
      </c>
      <c r="E17">
        <f>VLOOKUP(A17,'Remote work mental helath'!$A$2:$T$1001,8,)</f>
        <v>44</v>
      </c>
      <c r="F17">
        <f>VLOOKUP(A17,'Remote work mental helath'!$A$2:$T$1001,9,)</f>
        <v>11</v>
      </c>
    </row>
    <row r="18" spans="1:7" x14ac:dyDescent="0.3">
      <c r="A18" t="s">
        <v>66</v>
      </c>
      <c r="B18" t="str">
        <f>VLOOKUP(A18,'Remote work mental helath'!$A$2:$T$1001,5,)</f>
        <v>Education</v>
      </c>
      <c r="C18" t="str">
        <f>VLOOKUP(A18,'Remote work mental helath'!$A$2:$T$1001,7,)</f>
        <v>Onsite</v>
      </c>
      <c r="D18">
        <f>VLOOKUP(A18,'Remote work mental helath'!$A$2:$T$1001,6,)</f>
        <v>3</v>
      </c>
      <c r="E18">
        <f>VLOOKUP(A18,'Remote work mental helath'!$A$2:$T$1001,8,)</f>
        <v>52</v>
      </c>
      <c r="F18">
        <f>VLOOKUP(A18,'Remote work mental helath'!$A$2:$T$1001,9,)</f>
        <v>9</v>
      </c>
      <c r="G18" s="1"/>
    </row>
    <row r="19" spans="1:7" x14ac:dyDescent="0.3">
      <c r="A19" t="s">
        <v>67</v>
      </c>
      <c r="B19" t="str">
        <f>VLOOKUP(A19,'Remote work mental helath'!$A$2:$T$1001,5,)</f>
        <v>Consulting</v>
      </c>
      <c r="C19" t="str">
        <f>VLOOKUP(A19,'Remote work mental helath'!$A$2:$T$1001,7,)</f>
        <v>Onsite</v>
      </c>
      <c r="D19">
        <f>VLOOKUP(A19,'Remote work mental helath'!$A$2:$T$1001,6,)</f>
        <v>20</v>
      </c>
      <c r="E19">
        <f>VLOOKUP(A19,'Remote work mental helath'!$A$2:$T$1001,8,)</f>
        <v>37</v>
      </c>
      <c r="F19">
        <f>VLOOKUP(A19,'Remote work mental helath'!$A$2:$T$1001,9,)</f>
        <v>8</v>
      </c>
    </row>
    <row r="20" spans="1:7" x14ac:dyDescent="0.3">
      <c r="A20" t="s">
        <v>69</v>
      </c>
      <c r="B20" t="str">
        <f>VLOOKUP(A20,'Remote work mental helath'!$A$2:$T$1001,5,)</f>
        <v>IT</v>
      </c>
      <c r="C20" t="str">
        <f>VLOOKUP(A20,'Remote work mental helath'!$A$2:$T$1001,7,)</f>
        <v>Remote</v>
      </c>
      <c r="D20">
        <f>VLOOKUP(A20,'Remote work mental helath'!$A$2:$T$1001,6,)</f>
        <v>30</v>
      </c>
      <c r="E20">
        <f>VLOOKUP(A20,'Remote work mental helath'!$A$2:$T$1001,8,)</f>
        <v>36</v>
      </c>
      <c r="F20">
        <f>VLOOKUP(A20,'Remote work mental helath'!$A$2:$T$1001,9,)</f>
        <v>6</v>
      </c>
      <c r="G20" s="1"/>
    </row>
    <row r="21" spans="1:7" x14ac:dyDescent="0.3">
      <c r="A21" t="s">
        <v>70</v>
      </c>
      <c r="B21" t="str">
        <f>VLOOKUP(A21,'Remote work mental helath'!$A$2:$T$1001,5,)</f>
        <v>Consulting</v>
      </c>
      <c r="C21" t="str">
        <f>VLOOKUP(A21,'Remote work mental helath'!$A$2:$T$1001,7,)</f>
        <v>Remote</v>
      </c>
      <c r="D21">
        <f>VLOOKUP(A21,'Remote work mental helath'!$A$2:$T$1001,6,)</f>
        <v>13</v>
      </c>
      <c r="E21">
        <f>VLOOKUP(A21,'Remote work mental helath'!$A$2:$T$1001,8,)</f>
        <v>59</v>
      </c>
      <c r="F21">
        <f>VLOOKUP(A21,'Remote work mental helath'!$A$2:$T$1001,9,)</f>
        <v>4</v>
      </c>
    </row>
    <row r="22" spans="1:7" x14ac:dyDescent="0.3">
      <c r="A22" t="s">
        <v>71</v>
      </c>
      <c r="B22" t="str">
        <f>VLOOKUP(A22,'Remote work mental helath'!$A$2:$T$1001,5,)</f>
        <v>Retail</v>
      </c>
      <c r="C22" t="str">
        <f>VLOOKUP(A22,'Remote work mental helath'!$A$2:$T$1001,7,)</f>
        <v>Hybrid</v>
      </c>
      <c r="D22">
        <f>VLOOKUP(A22,'Remote work mental helath'!$A$2:$T$1001,6,)</f>
        <v>33</v>
      </c>
      <c r="E22">
        <f>VLOOKUP(A22,'Remote work mental helath'!$A$2:$T$1001,8,)</f>
        <v>21</v>
      </c>
      <c r="F22">
        <f>VLOOKUP(A22,'Remote work mental helath'!$A$2:$T$1001,9,)</f>
        <v>1</v>
      </c>
    </row>
    <row r="23" spans="1:7" x14ac:dyDescent="0.3">
      <c r="A23" t="s">
        <v>72</v>
      </c>
      <c r="B23" t="str">
        <f>VLOOKUP(A23,'Remote work mental helath'!$A$2:$T$1001,5,)</f>
        <v>Education</v>
      </c>
      <c r="C23" t="str">
        <f>VLOOKUP(A23,'Remote work mental helath'!$A$2:$T$1001,7,)</f>
        <v>Onsite</v>
      </c>
      <c r="D23">
        <f>VLOOKUP(A23,'Remote work mental helath'!$A$2:$T$1001,6,)</f>
        <v>21</v>
      </c>
      <c r="E23">
        <f>VLOOKUP(A23,'Remote work mental helath'!$A$2:$T$1001,8,)</f>
        <v>54</v>
      </c>
      <c r="F23">
        <f>VLOOKUP(A23,'Remote work mental helath'!$A$2:$T$1001,9,)</f>
        <v>12</v>
      </c>
    </row>
    <row r="24" spans="1:7" x14ac:dyDescent="0.3">
      <c r="A24" t="s">
        <v>73</v>
      </c>
      <c r="B24" t="str">
        <f>VLOOKUP(A24,'Remote work mental helath'!$A$2:$T$1001,5,)</f>
        <v>Finance</v>
      </c>
      <c r="C24" t="str">
        <f>VLOOKUP(A24,'Remote work mental helath'!$A$2:$T$1001,7,)</f>
        <v>Onsite</v>
      </c>
      <c r="D24">
        <f>VLOOKUP(A24,'Remote work mental helath'!$A$2:$T$1001,6,)</f>
        <v>21</v>
      </c>
      <c r="E24">
        <f>VLOOKUP(A24,'Remote work mental helath'!$A$2:$T$1001,8,)</f>
        <v>57</v>
      </c>
      <c r="F24">
        <f>VLOOKUP(A24,'Remote work mental helath'!$A$2:$T$1001,9,)</f>
        <v>1</v>
      </c>
    </row>
    <row r="25" spans="1:7" x14ac:dyDescent="0.3">
      <c r="A25" t="s">
        <v>74</v>
      </c>
      <c r="B25" t="str">
        <f>VLOOKUP(A25,'Remote work mental helath'!$A$2:$T$1001,5,)</f>
        <v>Consulting</v>
      </c>
      <c r="C25" t="str">
        <f>VLOOKUP(A25,'Remote work mental helath'!$A$2:$T$1001,7,)</f>
        <v>Onsite</v>
      </c>
      <c r="D25">
        <f>VLOOKUP(A25,'Remote work mental helath'!$A$2:$T$1001,6,)</f>
        <v>11</v>
      </c>
      <c r="E25">
        <f>VLOOKUP(A25,'Remote work mental helath'!$A$2:$T$1001,8,)</f>
        <v>22</v>
      </c>
      <c r="F25">
        <f>VLOOKUP(A25,'Remote work mental helath'!$A$2:$T$1001,9,)</f>
        <v>12</v>
      </c>
    </row>
    <row r="26" spans="1:7" x14ac:dyDescent="0.3">
      <c r="A26" t="s">
        <v>75</v>
      </c>
      <c r="B26" t="str">
        <f>VLOOKUP(A26,'Remote work mental helath'!$A$2:$T$1001,5,)</f>
        <v>Finance</v>
      </c>
      <c r="C26" t="str">
        <f>VLOOKUP(A26,'Remote work mental helath'!$A$2:$T$1001,7,)</f>
        <v>Remote</v>
      </c>
      <c r="D26">
        <f>VLOOKUP(A26,'Remote work mental helath'!$A$2:$T$1001,6,)</f>
        <v>6</v>
      </c>
      <c r="E26">
        <f>VLOOKUP(A26,'Remote work mental helath'!$A$2:$T$1001,8,)</f>
        <v>54</v>
      </c>
      <c r="F26">
        <f>VLOOKUP(A26,'Remote work mental helath'!$A$2:$T$1001,9,)</f>
        <v>15</v>
      </c>
    </row>
    <row r="27" spans="1:7" x14ac:dyDescent="0.3">
      <c r="A27" t="s">
        <v>76</v>
      </c>
      <c r="B27" t="str">
        <f>VLOOKUP(A27,'Remote work mental helath'!$A$2:$T$1001,5,)</f>
        <v>Healthcare</v>
      </c>
      <c r="C27" t="str">
        <f>VLOOKUP(A27,'Remote work mental helath'!$A$2:$T$1001,7,)</f>
        <v>Onsite</v>
      </c>
      <c r="D27">
        <f>VLOOKUP(A27,'Remote work mental helath'!$A$2:$T$1001,6,)</f>
        <v>23</v>
      </c>
      <c r="E27">
        <f>VLOOKUP(A27,'Remote work mental helath'!$A$2:$T$1001,8,)</f>
        <v>21</v>
      </c>
      <c r="F27">
        <f>VLOOKUP(A27,'Remote work mental helath'!$A$2:$T$1001,9,)</f>
        <v>14</v>
      </c>
    </row>
    <row r="28" spans="1:7" x14ac:dyDescent="0.3">
      <c r="A28" t="s">
        <v>77</v>
      </c>
      <c r="B28" t="str">
        <f>VLOOKUP(A28,'Remote work mental helath'!$A$2:$T$1001,5,)</f>
        <v>Retail</v>
      </c>
      <c r="C28" t="str">
        <f>VLOOKUP(A28,'Remote work mental helath'!$A$2:$T$1001,7,)</f>
        <v>Onsite</v>
      </c>
      <c r="D28">
        <f>VLOOKUP(A28,'Remote work mental helath'!$A$2:$T$1001,6,)</f>
        <v>30</v>
      </c>
      <c r="E28">
        <f>VLOOKUP(A28,'Remote work mental helath'!$A$2:$T$1001,8,)</f>
        <v>24</v>
      </c>
      <c r="F28">
        <f>VLOOKUP(A28,'Remote work mental helath'!$A$2:$T$1001,9,)</f>
        <v>12</v>
      </c>
    </row>
    <row r="29" spans="1:7" x14ac:dyDescent="0.3">
      <c r="A29" t="s">
        <v>78</v>
      </c>
      <c r="B29" t="str">
        <f>VLOOKUP(A29,'Remote work mental helath'!$A$2:$T$1001,5,)</f>
        <v>Retail</v>
      </c>
      <c r="C29" t="str">
        <f>VLOOKUP(A29,'Remote work mental helath'!$A$2:$T$1001,7,)</f>
        <v>Onsite</v>
      </c>
      <c r="D29">
        <f>VLOOKUP(A29,'Remote work mental helath'!$A$2:$T$1001,6,)</f>
        <v>31</v>
      </c>
      <c r="E29">
        <f>VLOOKUP(A29,'Remote work mental helath'!$A$2:$T$1001,8,)</f>
        <v>56</v>
      </c>
      <c r="F29">
        <f>VLOOKUP(A29,'Remote work mental helath'!$A$2:$T$1001,9,)</f>
        <v>4</v>
      </c>
    </row>
    <row r="30" spans="1:7" x14ac:dyDescent="0.3">
      <c r="A30" t="s">
        <v>79</v>
      </c>
      <c r="B30" t="str">
        <f>VLOOKUP(A30,'Remote work mental helath'!$A$2:$T$1001,5,)</f>
        <v>IT</v>
      </c>
      <c r="C30" t="str">
        <f>VLOOKUP(A30,'Remote work mental helath'!$A$2:$T$1001,7,)</f>
        <v>Onsite</v>
      </c>
      <c r="D30">
        <f>VLOOKUP(A30,'Remote work mental helath'!$A$2:$T$1001,6,)</f>
        <v>22</v>
      </c>
      <c r="E30">
        <f>VLOOKUP(A30,'Remote work mental helath'!$A$2:$T$1001,8,)</f>
        <v>33</v>
      </c>
      <c r="F30">
        <f>VLOOKUP(A30,'Remote work mental helath'!$A$2:$T$1001,9,)</f>
        <v>10</v>
      </c>
    </row>
    <row r="31" spans="1:7" x14ac:dyDescent="0.3">
      <c r="A31" t="s">
        <v>80</v>
      </c>
      <c r="B31" t="str">
        <f>VLOOKUP(A31,'Remote work mental helath'!$A$2:$T$1001,5,)</f>
        <v>Healthcare</v>
      </c>
      <c r="C31" t="str">
        <f>VLOOKUP(A31,'Remote work mental helath'!$A$2:$T$1001,7,)</f>
        <v>Remote</v>
      </c>
      <c r="D31">
        <f>VLOOKUP(A31,'Remote work mental helath'!$A$2:$T$1001,6,)</f>
        <v>34</v>
      </c>
      <c r="E31">
        <f>VLOOKUP(A31,'Remote work mental helath'!$A$2:$T$1001,8,)</f>
        <v>25</v>
      </c>
      <c r="F31">
        <f>VLOOKUP(A31,'Remote work mental helath'!$A$2:$T$1001,9,)</f>
        <v>15</v>
      </c>
    </row>
    <row r="32" spans="1:7" x14ac:dyDescent="0.3">
      <c r="A32" t="s">
        <v>81</v>
      </c>
      <c r="B32" t="str">
        <f>VLOOKUP(A32,'Remote work mental helath'!$A$2:$T$1001,5,)</f>
        <v>IT</v>
      </c>
      <c r="C32" t="str">
        <f>VLOOKUP(A32,'Remote work mental helath'!$A$2:$T$1001,7,)</f>
        <v>Onsite</v>
      </c>
      <c r="D32">
        <f>VLOOKUP(A32,'Remote work mental helath'!$A$2:$T$1001,6,)</f>
        <v>22</v>
      </c>
      <c r="E32">
        <f>VLOOKUP(A32,'Remote work mental helath'!$A$2:$T$1001,8,)</f>
        <v>20</v>
      </c>
      <c r="F32">
        <f>VLOOKUP(A32,'Remote work mental helath'!$A$2:$T$1001,9,)</f>
        <v>11</v>
      </c>
    </row>
    <row r="33" spans="1:6" x14ac:dyDescent="0.3">
      <c r="A33" t="s">
        <v>82</v>
      </c>
      <c r="B33" t="str">
        <f>VLOOKUP(A33,'Remote work mental helath'!$A$2:$T$1001,5,)</f>
        <v>Manufacturing</v>
      </c>
      <c r="C33" t="str">
        <f>VLOOKUP(A33,'Remote work mental helath'!$A$2:$T$1001,7,)</f>
        <v>Hybrid</v>
      </c>
      <c r="D33">
        <f>VLOOKUP(A33,'Remote work mental helath'!$A$2:$T$1001,6,)</f>
        <v>4</v>
      </c>
      <c r="E33">
        <f>VLOOKUP(A33,'Remote work mental helath'!$A$2:$T$1001,8,)</f>
        <v>33</v>
      </c>
      <c r="F33">
        <f>VLOOKUP(A33,'Remote work mental helath'!$A$2:$T$1001,9,)</f>
        <v>14</v>
      </c>
    </row>
    <row r="34" spans="1:6" x14ac:dyDescent="0.3">
      <c r="A34" t="s">
        <v>83</v>
      </c>
      <c r="B34" t="str">
        <f>VLOOKUP(A34,'Remote work mental helath'!$A$2:$T$1001,5,)</f>
        <v>Manufacturing</v>
      </c>
      <c r="C34" t="str">
        <f>VLOOKUP(A34,'Remote work mental helath'!$A$2:$T$1001,7,)</f>
        <v>Remote</v>
      </c>
      <c r="D34">
        <f>VLOOKUP(A34,'Remote work mental helath'!$A$2:$T$1001,6,)</f>
        <v>29</v>
      </c>
      <c r="E34">
        <f>VLOOKUP(A34,'Remote work mental helath'!$A$2:$T$1001,8,)</f>
        <v>20</v>
      </c>
      <c r="F34">
        <f>VLOOKUP(A34,'Remote work mental helath'!$A$2:$T$1001,9,)</f>
        <v>14</v>
      </c>
    </row>
    <row r="35" spans="1:6" x14ac:dyDescent="0.3">
      <c r="A35" t="s">
        <v>84</v>
      </c>
      <c r="B35" t="str">
        <f>VLOOKUP(A35,'Remote work mental helath'!$A$2:$T$1001,5,)</f>
        <v>Healthcare</v>
      </c>
      <c r="C35" t="str">
        <f>VLOOKUP(A35,'Remote work mental helath'!$A$2:$T$1001,7,)</f>
        <v>Remote</v>
      </c>
      <c r="D35">
        <f>VLOOKUP(A35,'Remote work mental helath'!$A$2:$T$1001,6,)</f>
        <v>27</v>
      </c>
      <c r="E35">
        <f>VLOOKUP(A35,'Remote work mental helath'!$A$2:$T$1001,8,)</f>
        <v>26</v>
      </c>
      <c r="F35">
        <f>VLOOKUP(A35,'Remote work mental helath'!$A$2:$T$1001,9,)</f>
        <v>9</v>
      </c>
    </row>
    <row r="36" spans="1:6" x14ac:dyDescent="0.3">
      <c r="A36" t="s">
        <v>85</v>
      </c>
      <c r="B36" t="str">
        <f>VLOOKUP(A36,'Remote work mental helath'!$A$2:$T$1001,5,)</f>
        <v>IT</v>
      </c>
      <c r="C36" t="str">
        <f>VLOOKUP(A36,'Remote work mental helath'!$A$2:$T$1001,7,)</f>
        <v>Hybrid</v>
      </c>
      <c r="D36">
        <f>VLOOKUP(A36,'Remote work mental helath'!$A$2:$T$1001,6,)</f>
        <v>24</v>
      </c>
      <c r="E36">
        <f>VLOOKUP(A36,'Remote work mental helath'!$A$2:$T$1001,8,)</f>
        <v>22</v>
      </c>
      <c r="F36">
        <f>VLOOKUP(A36,'Remote work mental helath'!$A$2:$T$1001,9,)</f>
        <v>6</v>
      </c>
    </row>
    <row r="37" spans="1:6" x14ac:dyDescent="0.3">
      <c r="A37" t="s">
        <v>86</v>
      </c>
      <c r="B37" t="str">
        <f>VLOOKUP(A37,'Remote work mental helath'!$A$2:$T$1001,5,)</f>
        <v>Healthcare</v>
      </c>
      <c r="C37" t="str">
        <f>VLOOKUP(A37,'Remote work mental helath'!$A$2:$T$1001,7,)</f>
        <v>Hybrid</v>
      </c>
      <c r="D37">
        <f>VLOOKUP(A37,'Remote work mental helath'!$A$2:$T$1001,6,)</f>
        <v>28</v>
      </c>
      <c r="E37">
        <f>VLOOKUP(A37,'Remote work mental helath'!$A$2:$T$1001,8,)</f>
        <v>57</v>
      </c>
      <c r="F37">
        <f>VLOOKUP(A37,'Remote work mental helath'!$A$2:$T$1001,9,)</f>
        <v>8</v>
      </c>
    </row>
    <row r="38" spans="1:6" x14ac:dyDescent="0.3">
      <c r="A38" t="s">
        <v>87</v>
      </c>
      <c r="B38" t="str">
        <f>VLOOKUP(A38,'Remote work mental helath'!$A$2:$T$1001,5,)</f>
        <v>Finance</v>
      </c>
      <c r="C38" t="str">
        <f>VLOOKUP(A38,'Remote work mental helath'!$A$2:$T$1001,7,)</f>
        <v>Onsite</v>
      </c>
      <c r="D38">
        <f>VLOOKUP(A38,'Remote work mental helath'!$A$2:$T$1001,6,)</f>
        <v>10</v>
      </c>
      <c r="E38">
        <f>VLOOKUP(A38,'Remote work mental helath'!$A$2:$T$1001,8,)</f>
        <v>30</v>
      </c>
      <c r="F38">
        <f>VLOOKUP(A38,'Remote work mental helath'!$A$2:$T$1001,9,)</f>
        <v>12</v>
      </c>
    </row>
    <row r="39" spans="1:6" x14ac:dyDescent="0.3">
      <c r="A39" t="s">
        <v>88</v>
      </c>
      <c r="B39" t="str">
        <f>VLOOKUP(A39,'Remote work mental helath'!$A$2:$T$1001,5,)</f>
        <v>Healthcare</v>
      </c>
      <c r="C39" t="str">
        <f>VLOOKUP(A39,'Remote work mental helath'!$A$2:$T$1001,7,)</f>
        <v>Remote</v>
      </c>
      <c r="D39">
        <f>VLOOKUP(A39,'Remote work mental helath'!$A$2:$T$1001,6,)</f>
        <v>18</v>
      </c>
      <c r="E39">
        <f>VLOOKUP(A39,'Remote work mental helath'!$A$2:$T$1001,8,)</f>
        <v>47</v>
      </c>
      <c r="F39">
        <f>VLOOKUP(A39,'Remote work mental helath'!$A$2:$T$1001,9,)</f>
        <v>14</v>
      </c>
    </row>
    <row r="40" spans="1:6" x14ac:dyDescent="0.3">
      <c r="A40" t="s">
        <v>89</v>
      </c>
      <c r="B40" t="str">
        <f>VLOOKUP(A40,'Remote work mental helath'!$A$2:$T$1001,5,)</f>
        <v>IT</v>
      </c>
      <c r="C40" t="str">
        <f>VLOOKUP(A40,'Remote work mental helath'!$A$2:$T$1001,7,)</f>
        <v>Onsite</v>
      </c>
      <c r="D40">
        <f>VLOOKUP(A40,'Remote work mental helath'!$A$2:$T$1001,6,)</f>
        <v>21</v>
      </c>
      <c r="E40">
        <f>VLOOKUP(A40,'Remote work mental helath'!$A$2:$T$1001,8,)</f>
        <v>48</v>
      </c>
      <c r="F40">
        <f>VLOOKUP(A40,'Remote work mental helath'!$A$2:$T$1001,9,)</f>
        <v>12</v>
      </c>
    </row>
    <row r="41" spans="1:6" x14ac:dyDescent="0.3">
      <c r="A41" t="s">
        <v>90</v>
      </c>
      <c r="B41" t="str">
        <f>VLOOKUP(A41,'Remote work mental helath'!$A$2:$T$1001,5,)</f>
        <v>Consulting</v>
      </c>
      <c r="C41" t="str">
        <f>VLOOKUP(A41,'Remote work mental helath'!$A$2:$T$1001,7,)</f>
        <v>Hybrid</v>
      </c>
      <c r="D41">
        <f>VLOOKUP(A41,'Remote work mental helath'!$A$2:$T$1001,6,)</f>
        <v>20</v>
      </c>
      <c r="E41">
        <f>VLOOKUP(A41,'Remote work mental helath'!$A$2:$T$1001,8,)</f>
        <v>20</v>
      </c>
      <c r="F41">
        <f>VLOOKUP(A41,'Remote work mental helath'!$A$2:$T$1001,9,)</f>
        <v>1</v>
      </c>
    </row>
    <row r="42" spans="1:6" x14ac:dyDescent="0.3">
      <c r="A42" t="s">
        <v>91</v>
      </c>
      <c r="B42" t="str">
        <f>VLOOKUP(A42,'Remote work mental helath'!$A$2:$T$1001,5,)</f>
        <v>IT</v>
      </c>
      <c r="C42" t="str">
        <f>VLOOKUP(A42,'Remote work mental helath'!$A$2:$T$1001,7,)</f>
        <v>Remote</v>
      </c>
      <c r="D42">
        <f>VLOOKUP(A42,'Remote work mental helath'!$A$2:$T$1001,6,)</f>
        <v>22</v>
      </c>
      <c r="E42">
        <f>VLOOKUP(A42,'Remote work mental helath'!$A$2:$T$1001,8,)</f>
        <v>44</v>
      </c>
      <c r="F42">
        <f>VLOOKUP(A42,'Remote work mental helath'!$A$2:$T$1001,9,)</f>
        <v>15</v>
      </c>
    </row>
    <row r="43" spans="1:6" x14ac:dyDescent="0.3">
      <c r="A43" t="s">
        <v>92</v>
      </c>
      <c r="B43" t="str">
        <f>VLOOKUP(A43,'Remote work mental helath'!$A$2:$T$1001,5,)</f>
        <v>IT</v>
      </c>
      <c r="C43" t="str">
        <f>VLOOKUP(A43,'Remote work mental helath'!$A$2:$T$1001,7,)</f>
        <v>Onsite</v>
      </c>
      <c r="D43">
        <f>VLOOKUP(A43,'Remote work mental helath'!$A$2:$T$1001,6,)</f>
        <v>14</v>
      </c>
      <c r="E43">
        <f>VLOOKUP(A43,'Remote work mental helath'!$A$2:$T$1001,8,)</f>
        <v>29</v>
      </c>
      <c r="F43">
        <f>VLOOKUP(A43,'Remote work mental helath'!$A$2:$T$1001,9,)</f>
        <v>13</v>
      </c>
    </row>
    <row r="44" spans="1:6" x14ac:dyDescent="0.3">
      <c r="A44" t="s">
        <v>93</v>
      </c>
      <c r="B44" t="str">
        <f>VLOOKUP(A44,'Remote work mental helath'!$A$2:$T$1001,5,)</f>
        <v>Finance</v>
      </c>
      <c r="C44" t="str">
        <f>VLOOKUP(A44,'Remote work mental helath'!$A$2:$T$1001,7,)</f>
        <v>Remote</v>
      </c>
      <c r="D44">
        <f>VLOOKUP(A44,'Remote work mental helath'!$A$2:$T$1001,6,)</f>
        <v>26</v>
      </c>
      <c r="E44">
        <f>VLOOKUP(A44,'Remote work mental helath'!$A$2:$T$1001,8,)</f>
        <v>58</v>
      </c>
      <c r="F44">
        <f>VLOOKUP(A44,'Remote work mental helath'!$A$2:$T$1001,9,)</f>
        <v>6</v>
      </c>
    </row>
    <row r="45" spans="1:6" x14ac:dyDescent="0.3">
      <c r="A45" t="s">
        <v>94</v>
      </c>
      <c r="B45" t="str">
        <f>VLOOKUP(A45,'Remote work mental helath'!$A$2:$T$1001,5,)</f>
        <v>Manufacturing</v>
      </c>
      <c r="C45" t="str">
        <f>VLOOKUP(A45,'Remote work mental helath'!$A$2:$T$1001,7,)</f>
        <v>Remote</v>
      </c>
      <c r="D45">
        <f>VLOOKUP(A45,'Remote work mental helath'!$A$2:$T$1001,6,)</f>
        <v>12</v>
      </c>
      <c r="E45">
        <f>VLOOKUP(A45,'Remote work mental helath'!$A$2:$T$1001,8,)</f>
        <v>53</v>
      </c>
      <c r="F45">
        <f>VLOOKUP(A45,'Remote work mental helath'!$A$2:$T$1001,9,)</f>
        <v>12</v>
      </c>
    </row>
    <row r="46" spans="1:6" x14ac:dyDescent="0.3">
      <c r="A46" t="s">
        <v>95</v>
      </c>
      <c r="B46" t="str">
        <f>VLOOKUP(A46,'Remote work mental helath'!$A$2:$T$1001,5,)</f>
        <v>Retail</v>
      </c>
      <c r="C46" t="str">
        <f>VLOOKUP(A46,'Remote work mental helath'!$A$2:$T$1001,7,)</f>
        <v>Remote</v>
      </c>
      <c r="D46">
        <f>VLOOKUP(A46,'Remote work mental helath'!$A$2:$T$1001,6,)</f>
        <v>13</v>
      </c>
      <c r="E46">
        <f>VLOOKUP(A46,'Remote work mental helath'!$A$2:$T$1001,8,)</f>
        <v>23</v>
      </c>
      <c r="F46">
        <f>VLOOKUP(A46,'Remote work mental helath'!$A$2:$T$1001,9,)</f>
        <v>6</v>
      </c>
    </row>
    <row r="47" spans="1:6" x14ac:dyDescent="0.3">
      <c r="A47" t="s">
        <v>96</v>
      </c>
      <c r="B47" t="str">
        <f>VLOOKUP(A47,'Remote work mental helath'!$A$2:$T$1001,5,)</f>
        <v>Retail</v>
      </c>
      <c r="C47" t="str">
        <f>VLOOKUP(A47,'Remote work mental helath'!$A$2:$T$1001,7,)</f>
        <v>Remote</v>
      </c>
      <c r="D47">
        <f>VLOOKUP(A47,'Remote work mental helath'!$A$2:$T$1001,6,)</f>
        <v>24</v>
      </c>
      <c r="E47">
        <f>VLOOKUP(A47,'Remote work mental helath'!$A$2:$T$1001,8,)</f>
        <v>42</v>
      </c>
      <c r="F47">
        <f>VLOOKUP(A47,'Remote work mental helath'!$A$2:$T$1001,9,)</f>
        <v>8</v>
      </c>
    </row>
    <row r="48" spans="1:6" x14ac:dyDescent="0.3">
      <c r="A48" t="s">
        <v>97</v>
      </c>
      <c r="B48" t="str">
        <f>VLOOKUP(A48,'Remote work mental helath'!$A$2:$T$1001,5,)</f>
        <v>Education</v>
      </c>
      <c r="C48" t="str">
        <f>VLOOKUP(A48,'Remote work mental helath'!$A$2:$T$1001,7,)</f>
        <v>Remote</v>
      </c>
      <c r="D48">
        <f>VLOOKUP(A48,'Remote work mental helath'!$A$2:$T$1001,6,)</f>
        <v>33</v>
      </c>
      <c r="E48">
        <f>VLOOKUP(A48,'Remote work mental helath'!$A$2:$T$1001,8,)</f>
        <v>35</v>
      </c>
      <c r="F48">
        <f>VLOOKUP(A48,'Remote work mental helath'!$A$2:$T$1001,9,)</f>
        <v>15</v>
      </c>
    </row>
    <row r="49" spans="1:6" x14ac:dyDescent="0.3">
      <c r="A49" t="s">
        <v>98</v>
      </c>
      <c r="B49" t="str">
        <f>VLOOKUP(A49,'Remote work mental helath'!$A$2:$T$1001,5,)</f>
        <v>Consulting</v>
      </c>
      <c r="C49" t="str">
        <f>VLOOKUP(A49,'Remote work mental helath'!$A$2:$T$1001,7,)</f>
        <v>Remote</v>
      </c>
      <c r="D49">
        <f>VLOOKUP(A49,'Remote work mental helath'!$A$2:$T$1001,6,)</f>
        <v>4</v>
      </c>
      <c r="E49">
        <f>VLOOKUP(A49,'Remote work mental helath'!$A$2:$T$1001,8,)</f>
        <v>39</v>
      </c>
      <c r="F49">
        <f>VLOOKUP(A49,'Remote work mental helath'!$A$2:$T$1001,9,)</f>
        <v>2</v>
      </c>
    </row>
    <row r="50" spans="1:6" x14ac:dyDescent="0.3">
      <c r="A50" t="s">
        <v>99</v>
      </c>
      <c r="B50" t="str">
        <f>VLOOKUP(A50,'Remote work mental helath'!$A$2:$T$1001,5,)</f>
        <v>Healthcare</v>
      </c>
      <c r="C50" t="str">
        <f>VLOOKUP(A50,'Remote work mental helath'!$A$2:$T$1001,7,)</f>
        <v>Onsite</v>
      </c>
      <c r="D50">
        <f>VLOOKUP(A50,'Remote work mental helath'!$A$2:$T$1001,6,)</f>
        <v>7</v>
      </c>
      <c r="E50">
        <f>VLOOKUP(A50,'Remote work mental helath'!$A$2:$T$1001,8,)</f>
        <v>29</v>
      </c>
      <c r="F50">
        <f>VLOOKUP(A50,'Remote work mental helath'!$A$2:$T$1001,9,)</f>
        <v>9</v>
      </c>
    </row>
    <row r="51" spans="1:6" x14ac:dyDescent="0.3">
      <c r="A51" t="s">
        <v>100</v>
      </c>
      <c r="B51" t="str">
        <f>VLOOKUP(A51,'Remote work mental helath'!$A$2:$T$1001,5,)</f>
        <v>Retail</v>
      </c>
      <c r="C51" t="str">
        <f>VLOOKUP(A51,'Remote work mental helath'!$A$2:$T$1001,7,)</f>
        <v>Onsite</v>
      </c>
      <c r="D51">
        <f>VLOOKUP(A51,'Remote work mental helath'!$A$2:$T$1001,6,)</f>
        <v>11</v>
      </c>
      <c r="E51">
        <f>VLOOKUP(A51,'Remote work mental helath'!$A$2:$T$1001,8,)</f>
        <v>37</v>
      </c>
      <c r="F51">
        <f>VLOOKUP(A51,'Remote work mental helath'!$A$2:$T$1001,9,)</f>
        <v>3</v>
      </c>
    </row>
    <row r="52" spans="1:6" x14ac:dyDescent="0.3">
      <c r="A52" t="s">
        <v>101</v>
      </c>
      <c r="B52" t="str">
        <f>VLOOKUP(A52,'Remote work mental helath'!$A$2:$T$1001,5,)</f>
        <v>Manufacturing</v>
      </c>
      <c r="C52" t="str">
        <f>VLOOKUP(A52,'Remote work mental helath'!$A$2:$T$1001,7,)</f>
        <v>Onsite</v>
      </c>
      <c r="D52">
        <f>VLOOKUP(A52,'Remote work mental helath'!$A$2:$T$1001,6,)</f>
        <v>34</v>
      </c>
      <c r="E52">
        <f>VLOOKUP(A52,'Remote work mental helath'!$A$2:$T$1001,8,)</f>
        <v>28</v>
      </c>
      <c r="F52">
        <f>VLOOKUP(A52,'Remote work mental helath'!$A$2:$T$1001,9,)</f>
        <v>10</v>
      </c>
    </row>
    <row r="53" spans="1:6" x14ac:dyDescent="0.3">
      <c r="A53" t="s">
        <v>102</v>
      </c>
      <c r="B53" t="str">
        <f>VLOOKUP(A53,'Remote work mental helath'!$A$2:$T$1001,5,)</f>
        <v>Consulting</v>
      </c>
      <c r="C53" t="str">
        <f>VLOOKUP(A53,'Remote work mental helath'!$A$2:$T$1001,7,)</f>
        <v>Remote</v>
      </c>
      <c r="D53">
        <f>VLOOKUP(A53,'Remote work mental helath'!$A$2:$T$1001,6,)</f>
        <v>25</v>
      </c>
      <c r="E53">
        <f>VLOOKUP(A53,'Remote work mental helath'!$A$2:$T$1001,8,)</f>
        <v>31</v>
      </c>
      <c r="F53">
        <f>VLOOKUP(A53,'Remote work mental helath'!$A$2:$T$1001,9,)</f>
        <v>9</v>
      </c>
    </row>
    <row r="54" spans="1:6" x14ac:dyDescent="0.3">
      <c r="A54" t="s">
        <v>103</v>
      </c>
      <c r="B54" t="str">
        <f>VLOOKUP(A54,'Remote work mental helath'!$A$2:$T$1001,5,)</f>
        <v>Retail</v>
      </c>
      <c r="C54" t="str">
        <f>VLOOKUP(A54,'Remote work mental helath'!$A$2:$T$1001,7,)</f>
        <v>Onsite</v>
      </c>
      <c r="D54">
        <f>VLOOKUP(A54,'Remote work mental helath'!$A$2:$T$1001,6,)</f>
        <v>3</v>
      </c>
      <c r="E54">
        <f>VLOOKUP(A54,'Remote work mental helath'!$A$2:$T$1001,8,)</f>
        <v>26</v>
      </c>
      <c r="F54">
        <f>VLOOKUP(A54,'Remote work mental helath'!$A$2:$T$1001,9,)</f>
        <v>14</v>
      </c>
    </row>
    <row r="55" spans="1:6" x14ac:dyDescent="0.3">
      <c r="A55" t="s">
        <v>104</v>
      </c>
      <c r="B55" t="str">
        <f>VLOOKUP(A55,'Remote work mental helath'!$A$2:$T$1001,5,)</f>
        <v>Healthcare</v>
      </c>
      <c r="C55" t="str">
        <f>VLOOKUP(A55,'Remote work mental helath'!$A$2:$T$1001,7,)</f>
        <v>Onsite</v>
      </c>
      <c r="D55">
        <f>VLOOKUP(A55,'Remote work mental helath'!$A$2:$T$1001,6,)</f>
        <v>34</v>
      </c>
      <c r="E55">
        <f>VLOOKUP(A55,'Remote work mental helath'!$A$2:$T$1001,8,)</f>
        <v>46</v>
      </c>
      <c r="F55">
        <f>VLOOKUP(A55,'Remote work mental helath'!$A$2:$T$1001,9,)</f>
        <v>15</v>
      </c>
    </row>
    <row r="56" spans="1:6" x14ac:dyDescent="0.3">
      <c r="A56" t="s">
        <v>105</v>
      </c>
      <c r="B56" t="str">
        <f>VLOOKUP(A56,'Remote work mental helath'!$A$2:$T$1001,5,)</f>
        <v>Education</v>
      </c>
      <c r="C56" t="str">
        <f>VLOOKUP(A56,'Remote work mental helath'!$A$2:$T$1001,7,)</f>
        <v>Hybrid</v>
      </c>
      <c r="D56">
        <f>VLOOKUP(A56,'Remote work mental helath'!$A$2:$T$1001,6,)</f>
        <v>5</v>
      </c>
      <c r="E56">
        <f>VLOOKUP(A56,'Remote work mental helath'!$A$2:$T$1001,8,)</f>
        <v>55</v>
      </c>
      <c r="F56">
        <f>VLOOKUP(A56,'Remote work mental helath'!$A$2:$T$1001,9,)</f>
        <v>6</v>
      </c>
    </row>
    <row r="57" spans="1:6" x14ac:dyDescent="0.3">
      <c r="A57" t="s">
        <v>106</v>
      </c>
      <c r="B57" t="str">
        <f>VLOOKUP(A57,'Remote work mental helath'!$A$2:$T$1001,5,)</f>
        <v>Education</v>
      </c>
      <c r="C57" t="str">
        <f>VLOOKUP(A57,'Remote work mental helath'!$A$2:$T$1001,7,)</f>
        <v>Hybrid</v>
      </c>
      <c r="D57">
        <f>VLOOKUP(A57,'Remote work mental helath'!$A$2:$T$1001,6,)</f>
        <v>8</v>
      </c>
      <c r="E57">
        <f>VLOOKUP(A57,'Remote work mental helath'!$A$2:$T$1001,8,)</f>
        <v>47</v>
      </c>
      <c r="F57">
        <f>VLOOKUP(A57,'Remote work mental helath'!$A$2:$T$1001,9,)</f>
        <v>12</v>
      </c>
    </row>
    <row r="58" spans="1:6" x14ac:dyDescent="0.3">
      <c r="A58" t="s">
        <v>107</v>
      </c>
      <c r="B58" t="str">
        <f>VLOOKUP(A58,'Remote work mental helath'!$A$2:$T$1001,5,)</f>
        <v>IT</v>
      </c>
      <c r="C58" t="str">
        <f>VLOOKUP(A58,'Remote work mental helath'!$A$2:$T$1001,7,)</f>
        <v>Remote</v>
      </c>
      <c r="D58">
        <f>VLOOKUP(A58,'Remote work mental helath'!$A$2:$T$1001,6,)</f>
        <v>14</v>
      </c>
      <c r="E58">
        <f>VLOOKUP(A58,'Remote work mental helath'!$A$2:$T$1001,8,)</f>
        <v>48</v>
      </c>
      <c r="F58">
        <f>VLOOKUP(A58,'Remote work mental helath'!$A$2:$T$1001,9,)</f>
        <v>13</v>
      </c>
    </row>
    <row r="59" spans="1:6" x14ac:dyDescent="0.3">
      <c r="A59" t="s">
        <v>108</v>
      </c>
      <c r="B59" t="str">
        <f>VLOOKUP(A59,'Remote work mental helath'!$A$2:$T$1001,5,)</f>
        <v>IT</v>
      </c>
      <c r="C59" t="str">
        <f>VLOOKUP(A59,'Remote work mental helath'!$A$2:$T$1001,7,)</f>
        <v>Onsite</v>
      </c>
      <c r="D59">
        <f>VLOOKUP(A59,'Remote work mental helath'!$A$2:$T$1001,6,)</f>
        <v>7</v>
      </c>
      <c r="E59">
        <f>VLOOKUP(A59,'Remote work mental helath'!$A$2:$T$1001,8,)</f>
        <v>49</v>
      </c>
      <c r="F59">
        <f>VLOOKUP(A59,'Remote work mental helath'!$A$2:$T$1001,9,)</f>
        <v>6</v>
      </c>
    </row>
    <row r="60" spans="1:6" x14ac:dyDescent="0.3">
      <c r="A60" t="s">
        <v>109</v>
      </c>
      <c r="B60" t="str">
        <f>VLOOKUP(A60,'Remote work mental helath'!$A$2:$T$1001,5,)</f>
        <v>Manufacturing</v>
      </c>
      <c r="C60" t="str">
        <f>VLOOKUP(A60,'Remote work mental helath'!$A$2:$T$1001,7,)</f>
        <v>Remote</v>
      </c>
      <c r="D60">
        <f>VLOOKUP(A60,'Remote work mental helath'!$A$2:$T$1001,6,)</f>
        <v>31</v>
      </c>
      <c r="E60">
        <f>VLOOKUP(A60,'Remote work mental helath'!$A$2:$T$1001,8,)</f>
        <v>51</v>
      </c>
      <c r="F60">
        <f>VLOOKUP(A60,'Remote work mental helath'!$A$2:$T$1001,9,)</f>
        <v>4</v>
      </c>
    </row>
    <row r="61" spans="1:6" x14ac:dyDescent="0.3">
      <c r="A61" t="s">
        <v>110</v>
      </c>
      <c r="B61" t="str">
        <f>VLOOKUP(A61,'Remote work mental helath'!$A$2:$T$1001,5,)</f>
        <v>IT</v>
      </c>
      <c r="C61" t="str">
        <f>VLOOKUP(A61,'Remote work mental helath'!$A$2:$T$1001,7,)</f>
        <v>Remote</v>
      </c>
      <c r="D61">
        <f>VLOOKUP(A61,'Remote work mental helath'!$A$2:$T$1001,6,)</f>
        <v>17</v>
      </c>
      <c r="E61">
        <f>VLOOKUP(A61,'Remote work mental helath'!$A$2:$T$1001,8,)</f>
        <v>57</v>
      </c>
      <c r="F61">
        <f>VLOOKUP(A61,'Remote work mental helath'!$A$2:$T$1001,9,)</f>
        <v>13</v>
      </c>
    </row>
    <row r="62" spans="1:6" x14ac:dyDescent="0.3">
      <c r="A62" t="s">
        <v>111</v>
      </c>
      <c r="B62" t="str">
        <f>VLOOKUP(A62,'Remote work mental helath'!$A$2:$T$1001,5,)</f>
        <v>Consulting</v>
      </c>
      <c r="C62" t="str">
        <f>VLOOKUP(A62,'Remote work mental helath'!$A$2:$T$1001,7,)</f>
        <v>Hybrid</v>
      </c>
      <c r="D62">
        <f>VLOOKUP(A62,'Remote work mental helath'!$A$2:$T$1001,6,)</f>
        <v>4</v>
      </c>
      <c r="E62">
        <f>VLOOKUP(A62,'Remote work mental helath'!$A$2:$T$1001,8,)</f>
        <v>33</v>
      </c>
      <c r="F62">
        <f>VLOOKUP(A62,'Remote work mental helath'!$A$2:$T$1001,9,)</f>
        <v>14</v>
      </c>
    </row>
    <row r="63" spans="1:6" x14ac:dyDescent="0.3">
      <c r="A63" t="s">
        <v>112</v>
      </c>
      <c r="B63" t="str">
        <f>VLOOKUP(A63,'Remote work mental helath'!$A$2:$T$1001,5,)</f>
        <v>IT</v>
      </c>
      <c r="C63" t="str">
        <f>VLOOKUP(A63,'Remote work mental helath'!$A$2:$T$1001,7,)</f>
        <v>Remote</v>
      </c>
      <c r="D63">
        <f>VLOOKUP(A63,'Remote work mental helath'!$A$2:$T$1001,6,)</f>
        <v>14</v>
      </c>
      <c r="E63">
        <f>VLOOKUP(A63,'Remote work mental helath'!$A$2:$T$1001,8,)</f>
        <v>30</v>
      </c>
      <c r="F63">
        <f>VLOOKUP(A63,'Remote work mental helath'!$A$2:$T$1001,9,)</f>
        <v>15</v>
      </c>
    </row>
    <row r="64" spans="1:6" x14ac:dyDescent="0.3">
      <c r="A64" t="s">
        <v>113</v>
      </c>
      <c r="B64" t="str">
        <f>VLOOKUP(A64,'Remote work mental helath'!$A$2:$T$1001,5,)</f>
        <v>Finance</v>
      </c>
      <c r="C64" t="str">
        <f>VLOOKUP(A64,'Remote work mental helath'!$A$2:$T$1001,7,)</f>
        <v>Hybrid</v>
      </c>
      <c r="D64">
        <f>VLOOKUP(A64,'Remote work mental helath'!$A$2:$T$1001,6,)</f>
        <v>20</v>
      </c>
      <c r="E64">
        <f>VLOOKUP(A64,'Remote work mental helath'!$A$2:$T$1001,8,)</f>
        <v>28</v>
      </c>
      <c r="F64">
        <f>VLOOKUP(A64,'Remote work mental helath'!$A$2:$T$1001,9,)</f>
        <v>4</v>
      </c>
    </row>
    <row r="65" spans="1:6" x14ac:dyDescent="0.3">
      <c r="A65" t="s">
        <v>114</v>
      </c>
      <c r="B65" t="str">
        <f>VLOOKUP(A65,'Remote work mental helath'!$A$2:$T$1001,5,)</f>
        <v>Healthcare</v>
      </c>
      <c r="C65" t="str">
        <f>VLOOKUP(A65,'Remote work mental helath'!$A$2:$T$1001,7,)</f>
        <v>Onsite</v>
      </c>
      <c r="D65">
        <f>VLOOKUP(A65,'Remote work mental helath'!$A$2:$T$1001,6,)</f>
        <v>5</v>
      </c>
      <c r="E65">
        <f>VLOOKUP(A65,'Remote work mental helath'!$A$2:$T$1001,8,)</f>
        <v>31</v>
      </c>
      <c r="F65">
        <f>VLOOKUP(A65,'Remote work mental helath'!$A$2:$T$1001,9,)</f>
        <v>15</v>
      </c>
    </row>
    <row r="66" spans="1:6" x14ac:dyDescent="0.3">
      <c r="A66" t="s">
        <v>115</v>
      </c>
      <c r="B66" t="str">
        <f>VLOOKUP(A66,'Remote work mental helath'!$A$2:$T$1001,5,)</f>
        <v>Healthcare</v>
      </c>
      <c r="C66" t="str">
        <f>VLOOKUP(A66,'Remote work mental helath'!$A$2:$T$1001,7,)</f>
        <v>Hybrid</v>
      </c>
      <c r="D66">
        <f>VLOOKUP(A66,'Remote work mental helath'!$A$2:$T$1001,6,)</f>
        <v>18</v>
      </c>
      <c r="E66">
        <f>VLOOKUP(A66,'Remote work mental helath'!$A$2:$T$1001,8,)</f>
        <v>37</v>
      </c>
      <c r="F66">
        <f>VLOOKUP(A66,'Remote work mental helath'!$A$2:$T$1001,9,)</f>
        <v>0</v>
      </c>
    </row>
    <row r="67" spans="1:6" x14ac:dyDescent="0.3">
      <c r="A67" t="s">
        <v>116</v>
      </c>
      <c r="B67" t="str">
        <f>VLOOKUP(A67,'Remote work mental helath'!$A$2:$T$1001,5,)</f>
        <v>Finance</v>
      </c>
      <c r="C67" t="str">
        <f>VLOOKUP(A67,'Remote work mental helath'!$A$2:$T$1001,7,)</f>
        <v>Remote</v>
      </c>
      <c r="D67">
        <f>VLOOKUP(A67,'Remote work mental helath'!$A$2:$T$1001,6,)</f>
        <v>9</v>
      </c>
      <c r="E67">
        <f>VLOOKUP(A67,'Remote work mental helath'!$A$2:$T$1001,8,)</f>
        <v>31</v>
      </c>
      <c r="F67">
        <f>VLOOKUP(A67,'Remote work mental helath'!$A$2:$T$1001,9,)</f>
        <v>3</v>
      </c>
    </row>
    <row r="68" spans="1:6" x14ac:dyDescent="0.3">
      <c r="A68" t="s">
        <v>117</v>
      </c>
      <c r="B68" t="str">
        <f>VLOOKUP(A68,'Remote work mental helath'!$A$2:$T$1001,5,)</f>
        <v>IT</v>
      </c>
      <c r="C68" t="str">
        <f>VLOOKUP(A68,'Remote work mental helath'!$A$2:$T$1001,7,)</f>
        <v>Hybrid</v>
      </c>
      <c r="D68">
        <f>VLOOKUP(A68,'Remote work mental helath'!$A$2:$T$1001,6,)</f>
        <v>6</v>
      </c>
      <c r="E68">
        <f>VLOOKUP(A68,'Remote work mental helath'!$A$2:$T$1001,8,)</f>
        <v>46</v>
      </c>
      <c r="F68">
        <f>VLOOKUP(A68,'Remote work mental helath'!$A$2:$T$1001,9,)</f>
        <v>3</v>
      </c>
    </row>
    <row r="69" spans="1:6" x14ac:dyDescent="0.3">
      <c r="A69" t="s">
        <v>118</v>
      </c>
      <c r="B69" t="str">
        <f>VLOOKUP(A69,'Remote work mental helath'!$A$2:$T$1001,5,)</f>
        <v>Education</v>
      </c>
      <c r="C69" t="str">
        <f>VLOOKUP(A69,'Remote work mental helath'!$A$2:$T$1001,7,)</f>
        <v>Remote</v>
      </c>
      <c r="D69">
        <f>VLOOKUP(A69,'Remote work mental helath'!$A$2:$T$1001,6,)</f>
        <v>32</v>
      </c>
      <c r="E69">
        <f>VLOOKUP(A69,'Remote work mental helath'!$A$2:$T$1001,8,)</f>
        <v>20</v>
      </c>
      <c r="F69">
        <f>VLOOKUP(A69,'Remote work mental helath'!$A$2:$T$1001,9,)</f>
        <v>6</v>
      </c>
    </row>
    <row r="70" spans="1:6" x14ac:dyDescent="0.3">
      <c r="A70" t="s">
        <v>119</v>
      </c>
      <c r="B70" t="str">
        <f>VLOOKUP(A70,'Remote work mental helath'!$A$2:$T$1001,5,)</f>
        <v>Manufacturing</v>
      </c>
      <c r="C70" t="str">
        <f>VLOOKUP(A70,'Remote work mental helath'!$A$2:$T$1001,7,)</f>
        <v>Onsite</v>
      </c>
      <c r="D70">
        <f>VLOOKUP(A70,'Remote work mental helath'!$A$2:$T$1001,6,)</f>
        <v>23</v>
      </c>
      <c r="E70">
        <f>VLOOKUP(A70,'Remote work mental helath'!$A$2:$T$1001,8,)</f>
        <v>51</v>
      </c>
      <c r="F70">
        <f>VLOOKUP(A70,'Remote work mental helath'!$A$2:$T$1001,9,)</f>
        <v>8</v>
      </c>
    </row>
    <row r="71" spans="1:6" x14ac:dyDescent="0.3">
      <c r="A71" t="s">
        <v>120</v>
      </c>
      <c r="B71" t="str">
        <f>VLOOKUP(A71,'Remote work mental helath'!$A$2:$T$1001,5,)</f>
        <v>Finance</v>
      </c>
      <c r="C71" t="str">
        <f>VLOOKUP(A71,'Remote work mental helath'!$A$2:$T$1001,7,)</f>
        <v>Remote</v>
      </c>
      <c r="D71">
        <f>VLOOKUP(A71,'Remote work mental helath'!$A$2:$T$1001,6,)</f>
        <v>6</v>
      </c>
      <c r="E71">
        <f>VLOOKUP(A71,'Remote work mental helath'!$A$2:$T$1001,8,)</f>
        <v>28</v>
      </c>
      <c r="F71">
        <f>VLOOKUP(A71,'Remote work mental helath'!$A$2:$T$1001,9,)</f>
        <v>13</v>
      </c>
    </row>
    <row r="72" spans="1:6" x14ac:dyDescent="0.3">
      <c r="A72" t="s">
        <v>121</v>
      </c>
      <c r="B72" t="str">
        <f>VLOOKUP(A72,'Remote work mental helath'!$A$2:$T$1001,5,)</f>
        <v>Consulting</v>
      </c>
      <c r="C72" t="str">
        <f>VLOOKUP(A72,'Remote work mental helath'!$A$2:$T$1001,7,)</f>
        <v>Onsite</v>
      </c>
      <c r="D72">
        <f>VLOOKUP(A72,'Remote work mental helath'!$A$2:$T$1001,6,)</f>
        <v>23</v>
      </c>
      <c r="E72">
        <f>VLOOKUP(A72,'Remote work mental helath'!$A$2:$T$1001,8,)</f>
        <v>39</v>
      </c>
      <c r="F72">
        <f>VLOOKUP(A72,'Remote work mental helath'!$A$2:$T$1001,9,)</f>
        <v>4</v>
      </c>
    </row>
    <row r="73" spans="1:6" x14ac:dyDescent="0.3">
      <c r="A73" t="s">
        <v>122</v>
      </c>
      <c r="B73" t="str">
        <f>VLOOKUP(A73,'Remote work mental helath'!$A$2:$T$1001,5,)</f>
        <v>Consulting</v>
      </c>
      <c r="C73" t="str">
        <f>VLOOKUP(A73,'Remote work mental helath'!$A$2:$T$1001,7,)</f>
        <v>Remote</v>
      </c>
      <c r="D73">
        <f>VLOOKUP(A73,'Remote work mental helath'!$A$2:$T$1001,6,)</f>
        <v>25</v>
      </c>
      <c r="E73">
        <f>VLOOKUP(A73,'Remote work mental helath'!$A$2:$T$1001,8,)</f>
        <v>29</v>
      </c>
      <c r="F73">
        <f>VLOOKUP(A73,'Remote work mental helath'!$A$2:$T$1001,9,)</f>
        <v>13</v>
      </c>
    </row>
    <row r="74" spans="1:6" x14ac:dyDescent="0.3">
      <c r="A74" t="s">
        <v>123</v>
      </c>
      <c r="B74" t="str">
        <f>VLOOKUP(A74,'Remote work mental helath'!$A$2:$T$1001,5,)</f>
        <v>Retail</v>
      </c>
      <c r="C74" t="str">
        <f>VLOOKUP(A74,'Remote work mental helath'!$A$2:$T$1001,7,)</f>
        <v>Onsite</v>
      </c>
      <c r="D74">
        <f>VLOOKUP(A74,'Remote work mental helath'!$A$2:$T$1001,6,)</f>
        <v>15</v>
      </c>
      <c r="E74">
        <f>VLOOKUP(A74,'Remote work mental helath'!$A$2:$T$1001,8,)</f>
        <v>30</v>
      </c>
      <c r="F74">
        <f>VLOOKUP(A74,'Remote work mental helath'!$A$2:$T$1001,9,)</f>
        <v>14</v>
      </c>
    </row>
    <row r="75" spans="1:6" x14ac:dyDescent="0.3">
      <c r="A75" t="s">
        <v>124</v>
      </c>
      <c r="B75" t="str">
        <f>VLOOKUP(A75,'Remote work mental helath'!$A$2:$T$1001,5,)</f>
        <v>IT</v>
      </c>
      <c r="C75" t="str">
        <f>VLOOKUP(A75,'Remote work mental helath'!$A$2:$T$1001,7,)</f>
        <v>Hybrid</v>
      </c>
      <c r="D75">
        <f>VLOOKUP(A75,'Remote work mental helath'!$A$2:$T$1001,6,)</f>
        <v>29</v>
      </c>
      <c r="E75">
        <f>VLOOKUP(A75,'Remote work mental helath'!$A$2:$T$1001,8,)</f>
        <v>53</v>
      </c>
      <c r="F75">
        <f>VLOOKUP(A75,'Remote work mental helath'!$A$2:$T$1001,9,)</f>
        <v>7</v>
      </c>
    </row>
    <row r="76" spans="1:6" x14ac:dyDescent="0.3">
      <c r="A76" t="s">
        <v>125</v>
      </c>
      <c r="B76" t="str">
        <f>VLOOKUP(A76,'Remote work mental helath'!$A$2:$T$1001,5,)</f>
        <v>Consulting</v>
      </c>
      <c r="C76" t="str">
        <f>VLOOKUP(A76,'Remote work mental helath'!$A$2:$T$1001,7,)</f>
        <v>Onsite</v>
      </c>
      <c r="D76">
        <f>VLOOKUP(A76,'Remote work mental helath'!$A$2:$T$1001,6,)</f>
        <v>35</v>
      </c>
      <c r="E76">
        <f>VLOOKUP(A76,'Remote work mental helath'!$A$2:$T$1001,8,)</f>
        <v>57</v>
      </c>
      <c r="F76">
        <f>VLOOKUP(A76,'Remote work mental helath'!$A$2:$T$1001,9,)</f>
        <v>10</v>
      </c>
    </row>
    <row r="77" spans="1:6" x14ac:dyDescent="0.3">
      <c r="A77" t="s">
        <v>126</v>
      </c>
      <c r="B77" t="str">
        <f>VLOOKUP(A77,'Remote work mental helath'!$A$2:$T$1001,5,)</f>
        <v>Retail</v>
      </c>
      <c r="C77" t="str">
        <f>VLOOKUP(A77,'Remote work mental helath'!$A$2:$T$1001,7,)</f>
        <v>Onsite</v>
      </c>
      <c r="D77">
        <f>VLOOKUP(A77,'Remote work mental helath'!$A$2:$T$1001,6,)</f>
        <v>27</v>
      </c>
      <c r="E77">
        <f>VLOOKUP(A77,'Remote work mental helath'!$A$2:$T$1001,8,)</f>
        <v>49</v>
      </c>
      <c r="F77">
        <f>VLOOKUP(A77,'Remote work mental helath'!$A$2:$T$1001,9,)</f>
        <v>3</v>
      </c>
    </row>
    <row r="78" spans="1:6" x14ac:dyDescent="0.3">
      <c r="A78" t="s">
        <v>127</v>
      </c>
      <c r="B78" t="str">
        <f>VLOOKUP(A78,'Remote work mental helath'!$A$2:$T$1001,5,)</f>
        <v>Consulting</v>
      </c>
      <c r="C78" t="str">
        <f>VLOOKUP(A78,'Remote work mental helath'!$A$2:$T$1001,7,)</f>
        <v>Onsite</v>
      </c>
      <c r="D78">
        <f>VLOOKUP(A78,'Remote work mental helath'!$A$2:$T$1001,6,)</f>
        <v>4</v>
      </c>
      <c r="E78">
        <f>VLOOKUP(A78,'Remote work mental helath'!$A$2:$T$1001,8,)</f>
        <v>55</v>
      </c>
      <c r="F78">
        <f>VLOOKUP(A78,'Remote work mental helath'!$A$2:$T$1001,9,)</f>
        <v>8</v>
      </c>
    </row>
    <row r="79" spans="1:6" x14ac:dyDescent="0.3">
      <c r="A79" t="s">
        <v>128</v>
      </c>
      <c r="B79" t="str">
        <f>VLOOKUP(A79,'Remote work mental helath'!$A$2:$T$1001,5,)</f>
        <v>Healthcare</v>
      </c>
      <c r="C79" t="str">
        <f>VLOOKUP(A79,'Remote work mental helath'!$A$2:$T$1001,7,)</f>
        <v>Remote</v>
      </c>
      <c r="D79">
        <f>VLOOKUP(A79,'Remote work mental helath'!$A$2:$T$1001,6,)</f>
        <v>25</v>
      </c>
      <c r="E79">
        <f>VLOOKUP(A79,'Remote work mental helath'!$A$2:$T$1001,8,)</f>
        <v>37</v>
      </c>
      <c r="F79">
        <f>VLOOKUP(A79,'Remote work mental helath'!$A$2:$T$1001,9,)</f>
        <v>10</v>
      </c>
    </row>
    <row r="80" spans="1:6" x14ac:dyDescent="0.3">
      <c r="A80" t="s">
        <v>129</v>
      </c>
      <c r="B80" t="str">
        <f>VLOOKUP(A80,'Remote work mental helath'!$A$2:$T$1001,5,)</f>
        <v>Manufacturing</v>
      </c>
      <c r="C80" t="str">
        <f>VLOOKUP(A80,'Remote work mental helath'!$A$2:$T$1001,7,)</f>
        <v>Remote</v>
      </c>
      <c r="D80">
        <f>VLOOKUP(A80,'Remote work mental helath'!$A$2:$T$1001,6,)</f>
        <v>15</v>
      </c>
      <c r="E80">
        <f>VLOOKUP(A80,'Remote work mental helath'!$A$2:$T$1001,8,)</f>
        <v>51</v>
      </c>
      <c r="F80">
        <f>VLOOKUP(A80,'Remote work mental helath'!$A$2:$T$1001,9,)</f>
        <v>5</v>
      </c>
    </row>
    <row r="81" spans="1:6" x14ac:dyDescent="0.3">
      <c r="A81" t="s">
        <v>130</v>
      </c>
      <c r="B81" t="str">
        <f>VLOOKUP(A81,'Remote work mental helath'!$A$2:$T$1001,5,)</f>
        <v>Consulting</v>
      </c>
      <c r="C81" t="str">
        <f>VLOOKUP(A81,'Remote work mental helath'!$A$2:$T$1001,7,)</f>
        <v>Hybrid</v>
      </c>
      <c r="D81">
        <f>VLOOKUP(A81,'Remote work mental helath'!$A$2:$T$1001,6,)</f>
        <v>21</v>
      </c>
      <c r="E81">
        <f>VLOOKUP(A81,'Remote work mental helath'!$A$2:$T$1001,8,)</f>
        <v>21</v>
      </c>
      <c r="F81">
        <f>VLOOKUP(A81,'Remote work mental helath'!$A$2:$T$1001,9,)</f>
        <v>7</v>
      </c>
    </row>
    <row r="82" spans="1:6" x14ac:dyDescent="0.3">
      <c r="A82" t="s">
        <v>131</v>
      </c>
      <c r="B82" t="str">
        <f>VLOOKUP(A82,'Remote work mental helath'!$A$2:$T$1001,5,)</f>
        <v>Education</v>
      </c>
      <c r="C82" t="str">
        <f>VLOOKUP(A82,'Remote work mental helath'!$A$2:$T$1001,7,)</f>
        <v>Hybrid</v>
      </c>
      <c r="D82">
        <f>VLOOKUP(A82,'Remote work mental helath'!$A$2:$T$1001,6,)</f>
        <v>5</v>
      </c>
      <c r="E82">
        <f>VLOOKUP(A82,'Remote work mental helath'!$A$2:$T$1001,8,)</f>
        <v>21</v>
      </c>
      <c r="F82">
        <f>VLOOKUP(A82,'Remote work mental helath'!$A$2:$T$1001,9,)</f>
        <v>10</v>
      </c>
    </row>
    <row r="83" spans="1:6" x14ac:dyDescent="0.3">
      <c r="A83" t="s">
        <v>132</v>
      </c>
      <c r="B83" t="str">
        <f>VLOOKUP(A83,'Remote work mental helath'!$A$2:$T$1001,5,)</f>
        <v>Finance</v>
      </c>
      <c r="C83" t="str">
        <f>VLOOKUP(A83,'Remote work mental helath'!$A$2:$T$1001,7,)</f>
        <v>Onsite</v>
      </c>
      <c r="D83">
        <f>VLOOKUP(A83,'Remote work mental helath'!$A$2:$T$1001,6,)</f>
        <v>33</v>
      </c>
      <c r="E83">
        <f>VLOOKUP(A83,'Remote work mental helath'!$A$2:$T$1001,8,)</f>
        <v>44</v>
      </c>
      <c r="F83">
        <f>VLOOKUP(A83,'Remote work mental helath'!$A$2:$T$1001,9,)</f>
        <v>9</v>
      </c>
    </row>
    <row r="84" spans="1:6" x14ac:dyDescent="0.3">
      <c r="A84" t="s">
        <v>133</v>
      </c>
      <c r="B84" t="str">
        <f>VLOOKUP(A84,'Remote work mental helath'!$A$2:$T$1001,5,)</f>
        <v>Education</v>
      </c>
      <c r="C84" t="str">
        <f>VLOOKUP(A84,'Remote work mental helath'!$A$2:$T$1001,7,)</f>
        <v>Hybrid</v>
      </c>
      <c r="D84">
        <f>VLOOKUP(A84,'Remote work mental helath'!$A$2:$T$1001,6,)</f>
        <v>32</v>
      </c>
      <c r="E84">
        <f>VLOOKUP(A84,'Remote work mental helath'!$A$2:$T$1001,8,)</f>
        <v>26</v>
      </c>
      <c r="F84">
        <f>VLOOKUP(A84,'Remote work mental helath'!$A$2:$T$1001,9,)</f>
        <v>10</v>
      </c>
    </row>
    <row r="85" spans="1:6" x14ac:dyDescent="0.3">
      <c r="A85" t="s">
        <v>134</v>
      </c>
      <c r="B85" t="str">
        <f>VLOOKUP(A85,'Remote work mental helath'!$A$2:$T$1001,5,)</f>
        <v>Healthcare</v>
      </c>
      <c r="C85" t="str">
        <f>VLOOKUP(A85,'Remote work mental helath'!$A$2:$T$1001,7,)</f>
        <v>Hybrid</v>
      </c>
      <c r="D85">
        <f>VLOOKUP(A85,'Remote work mental helath'!$A$2:$T$1001,6,)</f>
        <v>15</v>
      </c>
      <c r="E85">
        <f>VLOOKUP(A85,'Remote work mental helath'!$A$2:$T$1001,8,)</f>
        <v>43</v>
      </c>
      <c r="F85">
        <f>VLOOKUP(A85,'Remote work mental helath'!$A$2:$T$1001,9,)</f>
        <v>6</v>
      </c>
    </row>
    <row r="86" spans="1:6" x14ac:dyDescent="0.3">
      <c r="A86" t="s">
        <v>135</v>
      </c>
      <c r="B86" t="str">
        <f>VLOOKUP(A86,'Remote work mental helath'!$A$2:$T$1001,5,)</f>
        <v>Retail</v>
      </c>
      <c r="C86" t="str">
        <f>VLOOKUP(A86,'Remote work mental helath'!$A$2:$T$1001,7,)</f>
        <v>Hybrid</v>
      </c>
      <c r="D86">
        <f>VLOOKUP(A86,'Remote work mental helath'!$A$2:$T$1001,6,)</f>
        <v>9</v>
      </c>
      <c r="E86">
        <f>VLOOKUP(A86,'Remote work mental helath'!$A$2:$T$1001,8,)</f>
        <v>42</v>
      </c>
      <c r="F86">
        <f>VLOOKUP(A86,'Remote work mental helath'!$A$2:$T$1001,9,)</f>
        <v>14</v>
      </c>
    </row>
    <row r="87" spans="1:6" x14ac:dyDescent="0.3">
      <c r="A87" t="s">
        <v>136</v>
      </c>
      <c r="B87" t="str">
        <f>VLOOKUP(A87,'Remote work mental helath'!$A$2:$T$1001,5,)</f>
        <v>Finance</v>
      </c>
      <c r="C87" t="str">
        <f>VLOOKUP(A87,'Remote work mental helath'!$A$2:$T$1001,7,)</f>
        <v>Hybrid</v>
      </c>
      <c r="D87">
        <f>VLOOKUP(A87,'Remote work mental helath'!$A$2:$T$1001,6,)</f>
        <v>20</v>
      </c>
      <c r="E87">
        <f>VLOOKUP(A87,'Remote work mental helath'!$A$2:$T$1001,8,)</f>
        <v>44</v>
      </c>
      <c r="F87">
        <f>VLOOKUP(A87,'Remote work mental helath'!$A$2:$T$1001,9,)</f>
        <v>8</v>
      </c>
    </row>
    <row r="88" spans="1:6" x14ac:dyDescent="0.3">
      <c r="A88" t="s">
        <v>137</v>
      </c>
      <c r="B88" t="str">
        <f>VLOOKUP(A88,'Remote work mental helath'!$A$2:$T$1001,5,)</f>
        <v>Manufacturing</v>
      </c>
      <c r="C88" t="str">
        <f>VLOOKUP(A88,'Remote work mental helath'!$A$2:$T$1001,7,)</f>
        <v>Onsite</v>
      </c>
      <c r="D88">
        <f>VLOOKUP(A88,'Remote work mental helath'!$A$2:$T$1001,6,)</f>
        <v>10</v>
      </c>
      <c r="E88">
        <f>VLOOKUP(A88,'Remote work mental helath'!$A$2:$T$1001,8,)</f>
        <v>27</v>
      </c>
      <c r="F88">
        <f>VLOOKUP(A88,'Remote work mental helath'!$A$2:$T$1001,9,)</f>
        <v>0</v>
      </c>
    </row>
    <row r="89" spans="1:6" x14ac:dyDescent="0.3">
      <c r="A89" t="s">
        <v>138</v>
      </c>
      <c r="B89" t="str">
        <f>VLOOKUP(A89,'Remote work mental helath'!$A$2:$T$1001,5,)</f>
        <v>Education</v>
      </c>
      <c r="C89" t="str">
        <f>VLOOKUP(A89,'Remote work mental helath'!$A$2:$T$1001,7,)</f>
        <v>Hybrid</v>
      </c>
      <c r="D89">
        <f>VLOOKUP(A89,'Remote work mental helath'!$A$2:$T$1001,6,)</f>
        <v>26</v>
      </c>
      <c r="E89">
        <f>VLOOKUP(A89,'Remote work mental helath'!$A$2:$T$1001,8,)</f>
        <v>43</v>
      </c>
      <c r="F89">
        <f>VLOOKUP(A89,'Remote work mental helath'!$A$2:$T$1001,9,)</f>
        <v>5</v>
      </c>
    </row>
    <row r="90" spans="1:6" x14ac:dyDescent="0.3">
      <c r="A90" t="s">
        <v>139</v>
      </c>
      <c r="B90" t="str">
        <f>VLOOKUP(A90,'Remote work mental helath'!$A$2:$T$1001,5,)</f>
        <v>Consulting</v>
      </c>
      <c r="C90" t="str">
        <f>VLOOKUP(A90,'Remote work mental helath'!$A$2:$T$1001,7,)</f>
        <v>Remote</v>
      </c>
      <c r="D90">
        <f>VLOOKUP(A90,'Remote work mental helath'!$A$2:$T$1001,6,)</f>
        <v>11</v>
      </c>
      <c r="E90">
        <f>VLOOKUP(A90,'Remote work mental helath'!$A$2:$T$1001,8,)</f>
        <v>38</v>
      </c>
      <c r="F90">
        <f>VLOOKUP(A90,'Remote work mental helath'!$A$2:$T$1001,9,)</f>
        <v>0</v>
      </c>
    </row>
    <row r="91" spans="1:6" x14ac:dyDescent="0.3">
      <c r="A91" t="s">
        <v>140</v>
      </c>
      <c r="B91" t="str">
        <f>VLOOKUP(A91,'Remote work mental helath'!$A$2:$T$1001,5,)</f>
        <v>Healthcare</v>
      </c>
      <c r="C91" t="str">
        <f>VLOOKUP(A91,'Remote work mental helath'!$A$2:$T$1001,7,)</f>
        <v>Hybrid</v>
      </c>
      <c r="D91">
        <f>VLOOKUP(A91,'Remote work mental helath'!$A$2:$T$1001,6,)</f>
        <v>23</v>
      </c>
      <c r="E91">
        <f>VLOOKUP(A91,'Remote work mental helath'!$A$2:$T$1001,8,)</f>
        <v>38</v>
      </c>
      <c r="F91">
        <f>VLOOKUP(A91,'Remote work mental helath'!$A$2:$T$1001,9,)</f>
        <v>4</v>
      </c>
    </row>
    <row r="92" spans="1:6" x14ac:dyDescent="0.3">
      <c r="A92" t="s">
        <v>141</v>
      </c>
      <c r="B92" t="str">
        <f>VLOOKUP(A92,'Remote work mental helath'!$A$2:$T$1001,5,)</f>
        <v>Retail</v>
      </c>
      <c r="C92" t="str">
        <f>VLOOKUP(A92,'Remote work mental helath'!$A$2:$T$1001,7,)</f>
        <v>Onsite</v>
      </c>
      <c r="D92">
        <f>VLOOKUP(A92,'Remote work mental helath'!$A$2:$T$1001,6,)</f>
        <v>2</v>
      </c>
      <c r="E92">
        <f>VLOOKUP(A92,'Remote work mental helath'!$A$2:$T$1001,8,)</f>
        <v>57</v>
      </c>
      <c r="F92">
        <f>VLOOKUP(A92,'Remote work mental helath'!$A$2:$T$1001,9,)</f>
        <v>4</v>
      </c>
    </row>
    <row r="93" spans="1:6" x14ac:dyDescent="0.3">
      <c r="A93" t="s">
        <v>142</v>
      </c>
      <c r="B93" t="str">
        <f>VLOOKUP(A93,'Remote work mental helath'!$A$2:$T$1001,5,)</f>
        <v>Manufacturing</v>
      </c>
      <c r="C93" t="str">
        <f>VLOOKUP(A93,'Remote work mental helath'!$A$2:$T$1001,7,)</f>
        <v>Onsite</v>
      </c>
      <c r="D93">
        <f>VLOOKUP(A93,'Remote work mental helath'!$A$2:$T$1001,6,)</f>
        <v>9</v>
      </c>
      <c r="E93">
        <f>VLOOKUP(A93,'Remote work mental helath'!$A$2:$T$1001,8,)</f>
        <v>60</v>
      </c>
      <c r="F93">
        <f>VLOOKUP(A93,'Remote work mental helath'!$A$2:$T$1001,9,)</f>
        <v>3</v>
      </c>
    </row>
    <row r="94" spans="1:6" x14ac:dyDescent="0.3">
      <c r="A94" t="s">
        <v>143</v>
      </c>
      <c r="B94" t="str">
        <f>VLOOKUP(A94,'Remote work mental helath'!$A$2:$T$1001,5,)</f>
        <v>IT</v>
      </c>
      <c r="C94" t="str">
        <f>VLOOKUP(A94,'Remote work mental helath'!$A$2:$T$1001,7,)</f>
        <v>Onsite</v>
      </c>
      <c r="D94">
        <f>VLOOKUP(A94,'Remote work mental helath'!$A$2:$T$1001,6,)</f>
        <v>31</v>
      </c>
      <c r="E94">
        <f>VLOOKUP(A94,'Remote work mental helath'!$A$2:$T$1001,8,)</f>
        <v>29</v>
      </c>
      <c r="F94">
        <f>VLOOKUP(A94,'Remote work mental helath'!$A$2:$T$1001,9,)</f>
        <v>0</v>
      </c>
    </row>
    <row r="95" spans="1:6" x14ac:dyDescent="0.3">
      <c r="A95" t="s">
        <v>144</v>
      </c>
      <c r="B95" t="str">
        <f>VLOOKUP(A95,'Remote work mental helath'!$A$2:$T$1001,5,)</f>
        <v>Education</v>
      </c>
      <c r="C95" t="str">
        <f>VLOOKUP(A95,'Remote work mental helath'!$A$2:$T$1001,7,)</f>
        <v>Remote</v>
      </c>
      <c r="D95">
        <f>VLOOKUP(A95,'Remote work mental helath'!$A$2:$T$1001,6,)</f>
        <v>34</v>
      </c>
      <c r="E95">
        <f>VLOOKUP(A95,'Remote work mental helath'!$A$2:$T$1001,8,)</f>
        <v>54</v>
      </c>
      <c r="F95">
        <f>VLOOKUP(A95,'Remote work mental helath'!$A$2:$T$1001,9,)</f>
        <v>12</v>
      </c>
    </row>
    <row r="96" spans="1:6" x14ac:dyDescent="0.3">
      <c r="A96" t="s">
        <v>145</v>
      </c>
      <c r="B96" t="str">
        <f>VLOOKUP(A96,'Remote work mental helath'!$A$2:$T$1001,5,)</f>
        <v>Education</v>
      </c>
      <c r="C96" t="str">
        <f>VLOOKUP(A96,'Remote work mental helath'!$A$2:$T$1001,7,)</f>
        <v>Onsite</v>
      </c>
      <c r="D96">
        <f>VLOOKUP(A96,'Remote work mental helath'!$A$2:$T$1001,6,)</f>
        <v>11</v>
      </c>
      <c r="E96">
        <f>VLOOKUP(A96,'Remote work mental helath'!$A$2:$T$1001,8,)</f>
        <v>31</v>
      </c>
      <c r="F96">
        <f>VLOOKUP(A96,'Remote work mental helath'!$A$2:$T$1001,9,)</f>
        <v>11</v>
      </c>
    </row>
    <row r="97" spans="1:6" x14ac:dyDescent="0.3">
      <c r="A97" t="s">
        <v>146</v>
      </c>
      <c r="B97" t="str">
        <f>VLOOKUP(A97,'Remote work mental helath'!$A$2:$T$1001,5,)</f>
        <v>Manufacturing</v>
      </c>
      <c r="C97" t="str">
        <f>VLOOKUP(A97,'Remote work mental helath'!$A$2:$T$1001,7,)</f>
        <v>Remote</v>
      </c>
      <c r="D97">
        <f>VLOOKUP(A97,'Remote work mental helath'!$A$2:$T$1001,6,)</f>
        <v>2</v>
      </c>
      <c r="E97">
        <f>VLOOKUP(A97,'Remote work mental helath'!$A$2:$T$1001,8,)</f>
        <v>54</v>
      </c>
      <c r="F97">
        <f>VLOOKUP(A97,'Remote work mental helath'!$A$2:$T$1001,9,)</f>
        <v>8</v>
      </c>
    </row>
    <row r="98" spans="1:6" x14ac:dyDescent="0.3">
      <c r="A98" t="s">
        <v>147</v>
      </c>
      <c r="B98" t="str">
        <f>VLOOKUP(A98,'Remote work mental helath'!$A$2:$T$1001,5,)</f>
        <v>Healthcare</v>
      </c>
      <c r="C98" t="str">
        <f>VLOOKUP(A98,'Remote work mental helath'!$A$2:$T$1001,7,)</f>
        <v>Hybrid</v>
      </c>
      <c r="D98">
        <f>VLOOKUP(A98,'Remote work mental helath'!$A$2:$T$1001,6,)</f>
        <v>31</v>
      </c>
      <c r="E98">
        <f>VLOOKUP(A98,'Remote work mental helath'!$A$2:$T$1001,8,)</f>
        <v>33</v>
      </c>
      <c r="F98">
        <f>VLOOKUP(A98,'Remote work mental helath'!$A$2:$T$1001,9,)</f>
        <v>11</v>
      </c>
    </row>
    <row r="99" spans="1:6" x14ac:dyDescent="0.3">
      <c r="A99" t="s">
        <v>148</v>
      </c>
      <c r="B99" t="str">
        <f>VLOOKUP(A99,'Remote work mental helath'!$A$2:$T$1001,5,)</f>
        <v>IT</v>
      </c>
      <c r="C99" t="str">
        <f>VLOOKUP(A99,'Remote work mental helath'!$A$2:$T$1001,7,)</f>
        <v>Hybrid</v>
      </c>
      <c r="D99">
        <f>VLOOKUP(A99,'Remote work mental helath'!$A$2:$T$1001,6,)</f>
        <v>32</v>
      </c>
      <c r="E99">
        <f>VLOOKUP(A99,'Remote work mental helath'!$A$2:$T$1001,8,)</f>
        <v>25</v>
      </c>
      <c r="F99">
        <f>VLOOKUP(A99,'Remote work mental helath'!$A$2:$T$1001,9,)</f>
        <v>1</v>
      </c>
    </row>
    <row r="100" spans="1:6" x14ac:dyDescent="0.3">
      <c r="A100" t="s">
        <v>149</v>
      </c>
      <c r="B100" t="str">
        <f>VLOOKUP(A100,'Remote work mental helath'!$A$2:$T$1001,5,)</f>
        <v>Healthcare</v>
      </c>
      <c r="C100" t="str">
        <f>VLOOKUP(A100,'Remote work mental helath'!$A$2:$T$1001,7,)</f>
        <v>Onsite</v>
      </c>
      <c r="D100">
        <f>VLOOKUP(A100,'Remote work mental helath'!$A$2:$T$1001,6,)</f>
        <v>19</v>
      </c>
      <c r="E100">
        <f>VLOOKUP(A100,'Remote work mental helath'!$A$2:$T$1001,8,)</f>
        <v>21</v>
      </c>
      <c r="F100">
        <f>VLOOKUP(A100,'Remote work mental helath'!$A$2:$T$1001,9,)</f>
        <v>15</v>
      </c>
    </row>
    <row r="101" spans="1:6" x14ac:dyDescent="0.3">
      <c r="A101" t="s">
        <v>150</v>
      </c>
      <c r="B101" t="str">
        <f>VLOOKUP(A101,'Remote work mental helath'!$A$2:$T$1001,5,)</f>
        <v>IT</v>
      </c>
      <c r="C101" t="str">
        <f>VLOOKUP(A101,'Remote work mental helath'!$A$2:$T$1001,7,)</f>
        <v>Hybrid</v>
      </c>
      <c r="D101">
        <f>VLOOKUP(A101,'Remote work mental helath'!$A$2:$T$1001,6,)</f>
        <v>12</v>
      </c>
      <c r="E101">
        <f>VLOOKUP(A101,'Remote work mental helath'!$A$2:$T$1001,8,)</f>
        <v>45</v>
      </c>
      <c r="F101">
        <f>VLOOKUP(A101,'Remote work mental helath'!$A$2:$T$1001,9,)</f>
        <v>10</v>
      </c>
    </row>
    <row r="102" spans="1:6" x14ac:dyDescent="0.3">
      <c r="A102" t="s">
        <v>151</v>
      </c>
      <c r="B102" t="str">
        <f>VLOOKUP(A102,'Remote work mental helath'!$A$2:$T$1001,5,)</f>
        <v>Manufacturing</v>
      </c>
      <c r="C102" t="str">
        <f>VLOOKUP(A102,'Remote work mental helath'!$A$2:$T$1001,7,)</f>
        <v>Onsite</v>
      </c>
      <c r="D102">
        <f>VLOOKUP(A102,'Remote work mental helath'!$A$2:$T$1001,6,)</f>
        <v>32</v>
      </c>
      <c r="E102">
        <f>VLOOKUP(A102,'Remote work mental helath'!$A$2:$T$1001,8,)</f>
        <v>53</v>
      </c>
      <c r="F102">
        <f>VLOOKUP(A102,'Remote work mental helath'!$A$2:$T$1001,9,)</f>
        <v>5</v>
      </c>
    </row>
    <row r="103" spans="1:6" x14ac:dyDescent="0.3">
      <c r="A103" t="s">
        <v>152</v>
      </c>
      <c r="B103" t="str">
        <f>VLOOKUP(A103,'Remote work mental helath'!$A$2:$T$1001,5,)</f>
        <v>Consulting</v>
      </c>
      <c r="C103" t="str">
        <f>VLOOKUP(A103,'Remote work mental helath'!$A$2:$T$1001,7,)</f>
        <v>Hybrid</v>
      </c>
      <c r="D103">
        <f>VLOOKUP(A103,'Remote work mental helath'!$A$2:$T$1001,6,)</f>
        <v>9</v>
      </c>
      <c r="E103">
        <f>VLOOKUP(A103,'Remote work mental helath'!$A$2:$T$1001,8,)</f>
        <v>46</v>
      </c>
      <c r="F103">
        <f>VLOOKUP(A103,'Remote work mental helath'!$A$2:$T$1001,9,)</f>
        <v>12</v>
      </c>
    </row>
    <row r="104" spans="1:6" x14ac:dyDescent="0.3">
      <c r="A104" t="s">
        <v>153</v>
      </c>
      <c r="B104" t="str">
        <f>VLOOKUP(A104,'Remote work mental helath'!$A$2:$T$1001,5,)</f>
        <v>IT</v>
      </c>
      <c r="C104" t="str">
        <f>VLOOKUP(A104,'Remote work mental helath'!$A$2:$T$1001,7,)</f>
        <v>Hybrid</v>
      </c>
      <c r="D104">
        <f>VLOOKUP(A104,'Remote work mental helath'!$A$2:$T$1001,6,)</f>
        <v>3</v>
      </c>
      <c r="E104">
        <f>VLOOKUP(A104,'Remote work mental helath'!$A$2:$T$1001,8,)</f>
        <v>22</v>
      </c>
      <c r="F104">
        <f>VLOOKUP(A104,'Remote work mental helath'!$A$2:$T$1001,9,)</f>
        <v>9</v>
      </c>
    </row>
    <row r="105" spans="1:6" x14ac:dyDescent="0.3">
      <c r="A105" t="s">
        <v>154</v>
      </c>
      <c r="B105" t="str">
        <f>VLOOKUP(A105,'Remote work mental helath'!$A$2:$T$1001,5,)</f>
        <v>Finance</v>
      </c>
      <c r="C105" t="str">
        <f>VLOOKUP(A105,'Remote work mental helath'!$A$2:$T$1001,7,)</f>
        <v>Hybrid</v>
      </c>
      <c r="D105">
        <f>VLOOKUP(A105,'Remote work mental helath'!$A$2:$T$1001,6,)</f>
        <v>18</v>
      </c>
      <c r="E105">
        <f>VLOOKUP(A105,'Remote work mental helath'!$A$2:$T$1001,8,)</f>
        <v>60</v>
      </c>
      <c r="F105">
        <f>VLOOKUP(A105,'Remote work mental helath'!$A$2:$T$1001,9,)</f>
        <v>12</v>
      </c>
    </row>
    <row r="106" spans="1:6" x14ac:dyDescent="0.3">
      <c r="A106" t="s">
        <v>155</v>
      </c>
      <c r="B106" t="str">
        <f>VLOOKUP(A106,'Remote work mental helath'!$A$2:$T$1001,5,)</f>
        <v>Education</v>
      </c>
      <c r="C106" t="str">
        <f>VLOOKUP(A106,'Remote work mental helath'!$A$2:$T$1001,7,)</f>
        <v>Hybrid</v>
      </c>
      <c r="D106">
        <f>VLOOKUP(A106,'Remote work mental helath'!$A$2:$T$1001,6,)</f>
        <v>30</v>
      </c>
      <c r="E106">
        <f>VLOOKUP(A106,'Remote work mental helath'!$A$2:$T$1001,8,)</f>
        <v>42</v>
      </c>
      <c r="F106">
        <f>VLOOKUP(A106,'Remote work mental helath'!$A$2:$T$1001,9,)</f>
        <v>2</v>
      </c>
    </row>
    <row r="107" spans="1:6" x14ac:dyDescent="0.3">
      <c r="A107" t="s">
        <v>156</v>
      </c>
      <c r="B107" t="str">
        <f>VLOOKUP(A107,'Remote work mental helath'!$A$2:$T$1001,5,)</f>
        <v>Healthcare</v>
      </c>
      <c r="C107" t="str">
        <f>VLOOKUP(A107,'Remote work mental helath'!$A$2:$T$1001,7,)</f>
        <v>Onsite</v>
      </c>
      <c r="D107">
        <f>VLOOKUP(A107,'Remote work mental helath'!$A$2:$T$1001,6,)</f>
        <v>18</v>
      </c>
      <c r="E107">
        <f>VLOOKUP(A107,'Remote work mental helath'!$A$2:$T$1001,8,)</f>
        <v>60</v>
      </c>
      <c r="F107">
        <f>VLOOKUP(A107,'Remote work mental helath'!$A$2:$T$1001,9,)</f>
        <v>2</v>
      </c>
    </row>
    <row r="108" spans="1:6" x14ac:dyDescent="0.3">
      <c r="A108" t="s">
        <v>157</v>
      </c>
      <c r="B108" t="str">
        <f>VLOOKUP(A108,'Remote work mental helath'!$A$2:$T$1001,5,)</f>
        <v>IT</v>
      </c>
      <c r="C108" t="str">
        <f>VLOOKUP(A108,'Remote work mental helath'!$A$2:$T$1001,7,)</f>
        <v>Onsite</v>
      </c>
      <c r="D108">
        <f>VLOOKUP(A108,'Remote work mental helath'!$A$2:$T$1001,6,)</f>
        <v>25</v>
      </c>
      <c r="E108">
        <f>VLOOKUP(A108,'Remote work mental helath'!$A$2:$T$1001,8,)</f>
        <v>35</v>
      </c>
      <c r="F108">
        <f>VLOOKUP(A108,'Remote work mental helath'!$A$2:$T$1001,9,)</f>
        <v>14</v>
      </c>
    </row>
    <row r="109" spans="1:6" x14ac:dyDescent="0.3">
      <c r="A109" t="s">
        <v>158</v>
      </c>
      <c r="B109" t="str">
        <f>VLOOKUP(A109,'Remote work mental helath'!$A$2:$T$1001,5,)</f>
        <v>Healthcare</v>
      </c>
      <c r="C109" t="str">
        <f>VLOOKUP(A109,'Remote work mental helath'!$A$2:$T$1001,7,)</f>
        <v>Hybrid</v>
      </c>
      <c r="D109">
        <f>VLOOKUP(A109,'Remote work mental helath'!$A$2:$T$1001,6,)</f>
        <v>27</v>
      </c>
      <c r="E109">
        <f>VLOOKUP(A109,'Remote work mental helath'!$A$2:$T$1001,8,)</f>
        <v>44</v>
      </c>
      <c r="F109">
        <f>VLOOKUP(A109,'Remote work mental helath'!$A$2:$T$1001,9,)</f>
        <v>2</v>
      </c>
    </row>
    <row r="110" spans="1:6" x14ac:dyDescent="0.3">
      <c r="A110" t="s">
        <v>159</v>
      </c>
      <c r="B110" t="str">
        <f>VLOOKUP(A110,'Remote work mental helath'!$A$2:$T$1001,5,)</f>
        <v>Healthcare</v>
      </c>
      <c r="C110" t="str">
        <f>VLOOKUP(A110,'Remote work mental helath'!$A$2:$T$1001,7,)</f>
        <v>Remote</v>
      </c>
      <c r="D110">
        <f>VLOOKUP(A110,'Remote work mental helath'!$A$2:$T$1001,6,)</f>
        <v>2</v>
      </c>
      <c r="E110">
        <f>VLOOKUP(A110,'Remote work mental helath'!$A$2:$T$1001,8,)</f>
        <v>50</v>
      </c>
      <c r="F110">
        <f>VLOOKUP(A110,'Remote work mental helath'!$A$2:$T$1001,9,)</f>
        <v>2</v>
      </c>
    </row>
    <row r="111" spans="1:6" x14ac:dyDescent="0.3">
      <c r="A111" t="s">
        <v>160</v>
      </c>
      <c r="B111" t="str">
        <f>VLOOKUP(A111,'Remote work mental helath'!$A$2:$T$1001,5,)</f>
        <v>Finance</v>
      </c>
      <c r="C111" t="str">
        <f>VLOOKUP(A111,'Remote work mental helath'!$A$2:$T$1001,7,)</f>
        <v>Remote</v>
      </c>
      <c r="D111">
        <f>VLOOKUP(A111,'Remote work mental helath'!$A$2:$T$1001,6,)</f>
        <v>4</v>
      </c>
      <c r="E111">
        <f>VLOOKUP(A111,'Remote work mental helath'!$A$2:$T$1001,8,)</f>
        <v>22</v>
      </c>
      <c r="F111">
        <f>VLOOKUP(A111,'Remote work mental helath'!$A$2:$T$1001,9,)</f>
        <v>7</v>
      </c>
    </row>
    <row r="112" spans="1:6" x14ac:dyDescent="0.3">
      <c r="A112" t="s">
        <v>161</v>
      </c>
      <c r="B112" t="str">
        <f>VLOOKUP(A112,'Remote work mental helath'!$A$2:$T$1001,5,)</f>
        <v>Education</v>
      </c>
      <c r="C112" t="str">
        <f>VLOOKUP(A112,'Remote work mental helath'!$A$2:$T$1001,7,)</f>
        <v>Hybrid</v>
      </c>
      <c r="D112">
        <f>VLOOKUP(A112,'Remote work mental helath'!$A$2:$T$1001,6,)</f>
        <v>29</v>
      </c>
      <c r="E112">
        <f>VLOOKUP(A112,'Remote work mental helath'!$A$2:$T$1001,8,)</f>
        <v>29</v>
      </c>
      <c r="F112">
        <f>VLOOKUP(A112,'Remote work mental helath'!$A$2:$T$1001,9,)</f>
        <v>13</v>
      </c>
    </row>
    <row r="113" spans="1:6" x14ac:dyDescent="0.3">
      <c r="A113" t="s">
        <v>162</v>
      </c>
      <c r="B113" t="str">
        <f>VLOOKUP(A113,'Remote work mental helath'!$A$2:$T$1001,5,)</f>
        <v>Finance</v>
      </c>
      <c r="C113" t="str">
        <f>VLOOKUP(A113,'Remote work mental helath'!$A$2:$T$1001,7,)</f>
        <v>Remote</v>
      </c>
      <c r="D113">
        <f>VLOOKUP(A113,'Remote work mental helath'!$A$2:$T$1001,6,)</f>
        <v>30</v>
      </c>
      <c r="E113">
        <f>VLOOKUP(A113,'Remote work mental helath'!$A$2:$T$1001,8,)</f>
        <v>34</v>
      </c>
      <c r="F113">
        <f>VLOOKUP(A113,'Remote work mental helath'!$A$2:$T$1001,9,)</f>
        <v>8</v>
      </c>
    </row>
    <row r="114" spans="1:6" x14ac:dyDescent="0.3">
      <c r="A114" t="s">
        <v>163</v>
      </c>
      <c r="B114" t="str">
        <f>VLOOKUP(A114,'Remote work mental helath'!$A$2:$T$1001,5,)</f>
        <v>Retail</v>
      </c>
      <c r="C114" t="str">
        <f>VLOOKUP(A114,'Remote work mental helath'!$A$2:$T$1001,7,)</f>
        <v>Remote</v>
      </c>
      <c r="D114">
        <f>VLOOKUP(A114,'Remote work mental helath'!$A$2:$T$1001,6,)</f>
        <v>10</v>
      </c>
      <c r="E114">
        <f>VLOOKUP(A114,'Remote work mental helath'!$A$2:$T$1001,8,)</f>
        <v>30</v>
      </c>
      <c r="F114">
        <f>VLOOKUP(A114,'Remote work mental helath'!$A$2:$T$1001,9,)</f>
        <v>7</v>
      </c>
    </row>
    <row r="115" spans="1:6" x14ac:dyDescent="0.3">
      <c r="A115" t="s">
        <v>164</v>
      </c>
      <c r="B115" t="str">
        <f>VLOOKUP(A115,'Remote work mental helath'!$A$2:$T$1001,5,)</f>
        <v>Retail</v>
      </c>
      <c r="C115" t="str">
        <f>VLOOKUP(A115,'Remote work mental helath'!$A$2:$T$1001,7,)</f>
        <v>Onsite</v>
      </c>
      <c r="D115">
        <f>VLOOKUP(A115,'Remote work mental helath'!$A$2:$T$1001,6,)</f>
        <v>21</v>
      </c>
      <c r="E115">
        <f>VLOOKUP(A115,'Remote work mental helath'!$A$2:$T$1001,8,)</f>
        <v>53</v>
      </c>
      <c r="F115">
        <f>VLOOKUP(A115,'Remote work mental helath'!$A$2:$T$1001,9,)</f>
        <v>0</v>
      </c>
    </row>
    <row r="116" spans="1:6" x14ac:dyDescent="0.3">
      <c r="A116" t="s">
        <v>165</v>
      </c>
      <c r="B116" t="str">
        <f>VLOOKUP(A116,'Remote work mental helath'!$A$2:$T$1001,5,)</f>
        <v>Healthcare</v>
      </c>
      <c r="C116" t="str">
        <f>VLOOKUP(A116,'Remote work mental helath'!$A$2:$T$1001,7,)</f>
        <v>Remote</v>
      </c>
      <c r="D116">
        <f>VLOOKUP(A116,'Remote work mental helath'!$A$2:$T$1001,6,)</f>
        <v>25</v>
      </c>
      <c r="E116">
        <f>VLOOKUP(A116,'Remote work mental helath'!$A$2:$T$1001,8,)</f>
        <v>29</v>
      </c>
      <c r="F116">
        <f>VLOOKUP(A116,'Remote work mental helath'!$A$2:$T$1001,9,)</f>
        <v>5</v>
      </c>
    </row>
    <row r="117" spans="1:6" x14ac:dyDescent="0.3">
      <c r="A117" t="s">
        <v>166</v>
      </c>
      <c r="B117" t="str">
        <f>VLOOKUP(A117,'Remote work mental helath'!$A$2:$T$1001,5,)</f>
        <v>Education</v>
      </c>
      <c r="C117" t="str">
        <f>VLOOKUP(A117,'Remote work mental helath'!$A$2:$T$1001,7,)</f>
        <v>Onsite</v>
      </c>
      <c r="D117">
        <f>VLOOKUP(A117,'Remote work mental helath'!$A$2:$T$1001,6,)</f>
        <v>35</v>
      </c>
      <c r="E117">
        <f>VLOOKUP(A117,'Remote work mental helath'!$A$2:$T$1001,8,)</f>
        <v>27</v>
      </c>
      <c r="F117">
        <f>VLOOKUP(A117,'Remote work mental helath'!$A$2:$T$1001,9,)</f>
        <v>1</v>
      </c>
    </row>
    <row r="118" spans="1:6" x14ac:dyDescent="0.3">
      <c r="A118" t="s">
        <v>167</v>
      </c>
      <c r="B118" t="str">
        <f>VLOOKUP(A118,'Remote work mental helath'!$A$2:$T$1001,5,)</f>
        <v>Finance</v>
      </c>
      <c r="C118" t="str">
        <f>VLOOKUP(A118,'Remote work mental helath'!$A$2:$T$1001,7,)</f>
        <v>Onsite</v>
      </c>
      <c r="D118">
        <f>VLOOKUP(A118,'Remote work mental helath'!$A$2:$T$1001,6,)</f>
        <v>5</v>
      </c>
      <c r="E118">
        <f>VLOOKUP(A118,'Remote work mental helath'!$A$2:$T$1001,8,)</f>
        <v>44</v>
      </c>
      <c r="F118">
        <f>VLOOKUP(A118,'Remote work mental helath'!$A$2:$T$1001,9,)</f>
        <v>14</v>
      </c>
    </row>
    <row r="119" spans="1:6" x14ac:dyDescent="0.3">
      <c r="A119" t="s">
        <v>168</v>
      </c>
      <c r="B119" t="str">
        <f>VLOOKUP(A119,'Remote work mental helath'!$A$2:$T$1001,5,)</f>
        <v>Education</v>
      </c>
      <c r="C119" t="str">
        <f>VLOOKUP(A119,'Remote work mental helath'!$A$2:$T$1001,7,)</f>
        <v>Remote</v>
      </c>
      <c r="D119">
        <f>VLOOKUP(A119,'Remote work mental helath'!$A$2:$T$1001,6,)</f>
        <v>25</v>
      </c>
      <c r="E119">
        <f>VLOOKUP(A119,'Remote work mental helath'!$A$2:$T$1001,8,)</f>
        <v>42</v>
      </c>
      <c r="F119">
        <f>VLOOKUP(A119,'Remote work mental helath'!$A$2:$T$1001,9,)</f>
        <v>13</v>
      </c>
    </row>
    <row r="120" spans="1:6" x14ac:dyDescent="0.3">
      <c r="A120" t="s">
        <v>169</v>
      </c>
      <c r="B120" t="str">
        <f>VLOOKUP(A120,'Remote work mental helath'!$A$2:$T$1001,5,)</f>
        <v>Manufacturing</v>
      </c>
      <c r="C120" t="str">
        <f>VLOOKUP(A120,'Remote work mental helath'!$A$2:$T$1001,7,)</f>
        <v>Hybrid</v>
      </c>
      <c r="D120">
        <f>VLOOKUP(A120,'Remote work mental helath'!$A$2:$T$1001,6,)</f>
        <v>1</v>
      </c>
      <c r="E120">
        <f>VLOOKUP(A120,'Remote work mental helath'!$A$2:$T$1001,8,)</f>
        <v>22</v>
      </c>
      <c r="F120">
        <f>VLOOKUP(A120,'Remote work mental helath'!$A$2:$T$1001,9,)</f>
        <v>4</v>
      </c>
    </row>
    <row r="121" spans="1:6" x14ac:dyDescent="0.3">
      <c r="A121" t="s">
        <v>170</v>
      </c>
      <c r="B121" t="str">
        <f>VLOOKUP(A121,'Remote work mental helath'!$A$2:$T$1001,5,)</f>
        <v>Consulting</v>
      </c>
      <c r="C121" t="str">
        <f>VLOOKUP(A121,'Remote work mental helath'!$A$2:$T$1001,7,)</f>
        <v>Hybrid</v>
      </c>
      <c r="D121">
        <f>VLOOKUP(A121,'Remote work mental helath'!$A$2:$T$1001,6,)</f>
        <v>27</v>
      </c>
      <c r="E121">
        <f>VLOOKUP(A121,'Remote work mental helath'!$A$2:$T$1001,8,)</f>
        <v>34</v>
      </c>
      <c r="F121">
        <f>VLOOKUP(A121,'Remote work mental helath'!$A$2:$T$1001,9,)</f>
        <v>13</v>
      </c>
    </row>
    <row r="122" spans="1:6" x14ac:dyDescent="0.3">
      <c r="A122" t="s">
        <v>171</v>
      </c>
      <c r="B122" t="str">
        <f>VLOOKUP(A122,'Remote work mental helath'!$A$2:$T$1001,5,)</f>
        <v>Manufacturing</v>
      </c>
      <c r="C122" t="str">
        <f>VLOOKUP(A122,'Remote work mental helath'!$A$2:$T$1001,7,)</f>
        <v>Onsite</v>
      </c>
      <c r="D122">
        <f>VLOOKUP(A122,'Remote work mental helath'!$A$2:$T$1001,6,)</f>
        <v>29</v>
      </c>
      <c r="E122">
        <f>VLOOKUP(A122,'Remote work mental helath'!$A$2:$T$1001,8,)</f>
        <v>51</v>
      </c>
      <c r="F122">
        <f>VLOOKUP(A122,'Remote work mental helath'!$A$2:$T$1001,9,)</f>
        <v>13</v>
      </c>
    </row>
    <row r="123" spans="1:6" x14ac:dyDescent="0.3">
      <c r="A123" t="s">
        <v>172</v>
      </c>
      <c r="B123" t="str">
        <f>VLOOKUP(A123,'Remote work mental helath'!$A$2:$T$1001,5,)</f>
        <v>Retail</v>
      </c>
      <c r="C123" t="str">
        <f>VLOOKUP(A123,'Remote work mental helath'!$A$2:$T$1001,7,)</f>
        <v>Hybrid</v>
      </c>
      <c r="D123">
        <f>VLOOKUP(A123,'Remote work mental helath'!$A$2:$T$1001,6,)</f>
        <v>18</v>
      </c>
      <c r="E123">
        <f>VLOOKUP(A123,'Remote work mental helath'!$A$2:$T$1001,8,)</f>
        <v>48</v>
      </c>
      <c r="F123">
        <f>VLOOKUP(A123,'Remote work mental helath'!$A$2:$T$1001,9,)</f>
        <v>6</v>
      </c>
    </row>
    <row r="124" spans="1:6" x14ac:dyDescent="0.3">
      <c r="A124" t="s">
        <v>173</v>
      </c>
      <c r="B124" t="str">
        <f>VLOOKUP(A124,'Remote work mental helath'!$A$2:$T$1001,5,)</f>
        <v>Healthcare</v>
      </c>
      <c r="C124" t="str">
        <f>VLOOKUP(A124,'Remote work mental helath'!$A$2:$T$1001,7,)</f>
        <v>Onsite</v>
      </c>
      <c r="D124">
        <f>VLOOKUP(A124,'Remote work mental helath'!$A$2:$T$1001,6,)</f>
        <v>35</v>
      </c>
      <c r="E124">
        <f>VLOOKUP(A124,'Remote work mental helath'!$A$2:$T$1001,8,)</f>
        <v>30</v>
      </c>
      <c r="F124">
        <f>VLOOKUP(A124,'Remote work mental helath'!$A$2:$T$1001,9,)</f>
        <v>10</v>
      </c>
    </row>
    <row r="125" spans="1:6" x14ac:dyDescent="0.3">
      <c r="A125" t="s">
        <v>174</v>
      </c>
      <c r="B125" t="str">
        <f>VLOOKUP(A125,'Remote work mental helath'!$A$2:$T$1001,5,)</f>
        <v>Consulting</v>
      </c>
      <c r="C125" t="str">
        <f>VLOOKUP(A125,'Remote work mental helath'!$A$2:$T$1001,7,)</f>
        <v>Onsite</v>
      </c>
      <c r="D125">
        <f>VLOOKUP(A125,'Remote work mental helath'!$A$2:$T$1001,6,)</f>
        <v>14</v>
      </c>
      <c r="E125">
        <f>VLOOKUP(A125,'Remote work mental helath'!$A$2:$T$1001,8,)</f>
        <v>59</v>
      </c>
      <c r="F125">
        <f>VLOOKUP(A125,'Remote work mental helath'!$A$2:$T$1001,9,)</f>
        <v>7</v>
      </c>
    </row>
    <row r="126" spans="1:6" x14ac:dyDescent="0.3">
      <c r="A126" t="s">
        <v>175</v>
      </c>
      <c r="B126" t="str">
        <f>VLOOKUP(A126,'Remote work mental helath'!$A$2:$T$1001,5,)</f>
        <v>Manufacturing</v>
      </c>
      <c r="C126" t="str">
        <f>VLOOKUP(A126,'Remote work mental helath'!$A$2:$T$1001,7,)</f>
        <v>Remote</v>
      </c>
      <c r="D126">
        <f>VLOOKUP(A126,'Remote work mental helath'!$A$2:$T$1001,6,)</f>
        <v>27</v>
      </c>
      <c r="E126">
        <f>VLOOKUP(A126,'Remote work mental helath'!$A$2:$T$1001,8,)</f>
        <v>26</v>
      </c>
      <c r="F126">
        <f>VLOOKUP(A126,'Remote work mental helath'!$A$2:$T$1001,9,)</f>
        <v>14</v>
      </c>
    </row>
    <row r="127" spans="1:6" x14ac:dyDescent="0.3">
      <c r="A127" t="s">
        <v>176</v>
      </c>
      <c r="B127" t="str">
        <f>VLOOKUP(A127,'Remote work mental helath'!$A$2:$T$1001,5,)</f>
        <v>Finance</v>
      </c>
      <c r="C127" t="str">
        <f>VLOOKUP(A127,'Remote work mental helath'!$A$2:$T$1001,7,)</f>
        <v>Hybrid</v>
      </c>
      <c r="D127">
        <f>VLOOKUP(A127,'Remote work mental helath'!$A$2:$T$1001,6,)</f>
        <v>27</v>
      </c>
      <c r="E127">
        <f>VLOOKUP(A127,'Remote work mental helath'!$A$2:$T$1001,8,)</f>
        <v>60</v>
      </c>
      <c r="F127">
        <f>VLOOKUP(A127,'Remote work mental helath'!$A$2:$T$1001,9,)</f>
        <v>1</v>
      </c>
    </row>
    <row r="128" spans="1:6" x14ac:dyDescent="0.3">
      <c r="A128" t="s">
        <v>177</v>
      </c>
      <c r="B128" t="str">
        <f>VLOOKUP(A128,'Remote work mental helath'!$A$2:$T$1001,5,)</f>
        <v>Retail</v>
      </c>
      <c r="C128" t="str">
        <f>VLOOKUP(A128,'Remote work mental helath'!$A$2:$T$1001,7,)</f>
        <v>Onsite</v>
      </c>
      <c r="D128">
        <f>VLOOKUP(A128,'Remote work mental helath'!$A$2:$T$1001,6,)</f>
        <v>8</v>
      </c>
      <c r="E128">
        <f>VLOOKUP(A128,'Remote work mental helath'!$A$2:$T$1001,8,)</f>
        <v>38</v>
      </c>
      <c r="F128">
        <f>VLOOKUP(A128,'Remote work mental helath'!$A$2:$T$1001,9,)</f>
        <v>2</v>
      </c>
    </row>
    <row r="129" spans="1:6" x14ac:dyDescent="0.3">
      <c r="A129" t="s">
        <v>178</v>
      </c>
      <c r="B129" t="str">
        <f>VLOOKUP(A129,'Remote work mental helath'!$A$2:$T$1001,5,)</f>
        <v>Finance</v>
      </c>
      <c r="C129" t="str">
        <f>VLOOKUP(A129,'Remote work mental helath'!$A$2:$T$1001,7,)</f>
        <v>Remote</v>
      </c>
      <c r="D129">
        <f>VLOOKUP(A129,'Remote work mental helath'!$A$2:$T$1001,6,)</f>
        <v>21</v>
      </c>
      <c r="E129">
        <f>VLOOKUP(A129,'Remote work mental helath'!$A$2:$T$1001,8,)</f>
        <v>34</v>
      </c>
      <c r="F129">
        <f>VLOOKUP(A129,'Remote work mental helath'!$A$2:$T$1001,9,)</f>
        <v>0</v>
      </c>
    </row>
    <row r="130" spans="1:6" x14ac:dyDescent="0.3">
      <c r="A130" t="s">
        <v>179</v>
      </c>
      <c r="B130" t="str">
        <f>VLOOKUP(A130,'Remote work mental helath'!$A$2:$T$1001,5,)</f>
        <v>Consulting</v>
      </c>
      <c r="C130" t="str">
        <f>VLOOKUP(A130,'Remote work mental helath'!$A$2:$T$1001,7,)</f>
        <v>Onsite</v>
      </c>
      <c r="D130">
        <f>VLOOKUP(A130,'Remote work mental helath'!$A$2:$T$1001,6,)</f>
        <v>15</v>
      </c>
      <c r="E130">
        <f>VLOOKUP(A130,'Remote work mental helath'!$A$2:$T$1001,8,)</f>
        <v>46</v>
      </c>
      <c r="F130">
        <f>VLOOKUP(A130,'Remote work mental helath'!$A$2:$T$1001,9,)</f>
        <v>12</v>
      </c>
    </row>
    <row r="131" spans="1:6" x14ac:dyDescent="0.3">
      <c r="A131" t="s">
        <v>180</v>
      </c>
      <c r="B131" t="str">
        <f>VLOOKUP(A131,'Remote work mental helath'!$A$2:$T$1001,5,)</f>
        <v>Retail</v>
      </c>
      <c r="C131" t="str">
        <f>VLOOKUP(A131,'Remote work mental helath'!$A$2:$T$1001,7,)</f>
        <v>Hybrid</v>
      </c>
      <c r="D131">
        <f>VLOOKUP(A131,'Remote work mental helath'!$A$2:$T$1001,6,)</f>
        <v>21</v>
      </c>
      <c r="E131">
        <f>VLOOKUP(A131,'Remote work mental helath'!$A$2:$T$1001,8,)</f>
        <v>35</v>
      </c>
      <c r="F131">
        <f>VLOOKUP(A131,'Remote work mental helath'!$A$2:$T$1001,9,)</f>
        <v>2</v>
      </c>
    </row>
    <row r="132" spans="1:6" x14ac:dyDescent="0.3">
      <c r="A132" t="s">
        <v>181</v>
      </c>
      <c r="B132" t="str">
        <f>VLOOKUP(A132,'Remote work mental helath'!$A$2:$T$1001,5,)</f>
        <v>Education</v>
      </c>
      <c r="C132" t="str">
        <f>VLOOKUP(A132,'Remote work mental helath'!$A$2:$T$1001,7,)</f>
        <v>Remote</v>
      </c>
      <c r="D132">
        <f>VLOOKUP(A132,'Remote work mental helath'!$A$2:$T$1001,6,)</f>
        <v>16</v>
      </c>
      <c r="E132">
        <f>VLOOKUP(A132,'Remote work mental helath'!$A$2:$T$1001,8,)</f>
        <v>23</v>
      </c>
      <c r="F132">
        <f>VLOOKUP(A132,'Remote work mental helath'!$A$2:$T$1001,9,)</f>
        <v>9</v>
      </c>
    </row>
    <row r="133" spans="1:6" x14ac:dyDescent="0.3">
      <c r="A133" t="s">
        <v>182</v>
      </c>
      <c r="B133" t="str">
        <f>VLOOKUP(A133,'Remote work mental helath'!$A$2:$T$1001,5,)</f>
        <v>Manufacturing</v>
      </c>
      <c r="C133" t="str">
        <f>VLOOKUP(A133,'Remote work mental helath'!$A$2:$T$1001,7,)</f>
        <v>Remote</v>
      </c>
      <c r="D133">
        <f>VLOOKUP(A133,'Remote work mental helath'!$A$2:$T$1001,6,)</f>
        <v>26</v>
      </c>
      <c r="E133">
        <f>VLOOKUP(A133,'Remote work mental helath'!$A$2:$T$1001,8,)</f>
        <v>28</v>
      </c>
      <c r="F133">
        <f>VLOOKUP(A133,'Remote work mental helath'!$A$2:$T$1001,9,)</f>
        <v>15</v>
      </c>
    </row>
    <row r="134" spans="1:6" x14ac:dyDescent="0.3">
      <c r="A134" t="s">
        <v>183</v>
      </c>
      <c r="B134" t="str">
        <f>VLOOKUP(A134,'Remote work mental helath'!$A$2:$T$1001,5,)</f>
        <v>Retail</v>
      </c>
      <c r="C134" t="str">
        <f>VLOOKUP(A134,'Remote work mental helath'!$A$2:$T$1001,7,)</f>
        <v>Onsite</v>
      </c>
      <c r="D134">
        <f>VLOOKUP(A134,'Remote work mental helath'!$A$2:$T$1001,6,)</f>
        <v>4</v>
      </c>
      <c r="E134">
        <f>VLOOKUP(A134,'Remote work mental helath'!$A$2:$T$1001,8,)</f>
        <v>57</v>
      </c>
      <c r="F134">
        <f>VLOOKUP(A134,'Remote work mental helath'!$A$2:$T$1001,9,)</f>
        <v>10</v>
      </c>
    </row>
    <row r="135" spans="1:6" x14ac:dyDescent="0.3">
      <c r="A135" t="s">
        <v>184</v>
      </c>
      <c r="B135" t="str">
        <f>VLOOKUP(A135,'Remote work mental helath'!$A$2:$T$1001,5,)</f>
        <v>Manufacturing</v>
      </c>
      <c r="C135" t="str">
        <f>VLOOKUP(A135,'Remote work mental helath'!$A$2:$T$1001,7,)</f>
        <v>Hybrid</v>
      </c>
      <c r="D135">
        <f>VLOOKUP(A135,'Remote work mental helath'!$A$2:$T$1001,6,)</f>
        <v>29</v>
      </c>
      <c r="E135">
        <f>VLOOKUP(A135,'Remote work mental helath'!$A$2:$T$1001,8,)</f>
        <v>29</v>
      </c>
      <c r="F135">
        <f>VLOOKUP(A135,'Remote work mental helath'!$A$2:$T$1001,9,)</f>
        <v>4</v>
      </c>
    </row>
    <row r="136" spans="1:6" x14ac:dyDescent="0.3">
      <c r="A136" t="s">
        <v>185</v>
      </c>
      <c r="B136" t="str">
        <f>VLOOKUP(A136,'Remote work mental helath'!$A$2:$T$1001,5,)</f>
        <v>Finance</v>
      </c>
      <c r="C136" t="str">
        <f>VLOOKUP(A136,'Remote work mental helath'!$A$2:$T$1001,7,)</f>
        <v>Hybrid</v>
      </c>
      <c r="D136">
        <f>VLOOKUP(A136,'Remote work mental helath'!$A$2:$T$1001,6,)</f>
        <v>2</v>
      </c>
      <c r="E136">
        <f>VLOOKUP(A136,'Remote work mental helath'!$A$2:$T$1001,8,)</f>
        <v>39</v>
      </c>
      <c r="F136">
        <f>VLOOKUP(A136,'Remote work mental helath'!$A$2:$T$1001,9,)</f>
        <v>1</v>
      </c>
    </row>
    <row r="137" spans="1:6" x14ac:dyDescent="0.3">
      <c r="A137" t="s">
        <v>186</v>
      </c>
      <c r="B137" t="str">
        <f>VLOOKUP(A137,'Remote work mental helath'!$A$2:$T$1001,5,)</f>
        <v>IT</v>
      </c>
      <c r="C137" t="str">
        <f>VLOOKUP(A137,'Remote work mental helath'!$A$2:$T$1001,7,)</f>
        <v>Remote</v>
      </c>
      <c r="D137">
        <f>VLOOKUP(A137,'Remote work mental helath'!$A$2:$T$1001,6,)</f>
        <v>26</v>
      </c>
      <c r="E137">
        <f>VLOOKUP(A137,'Remote work mental helath'!$A$2:$T$1001,8,)</f>
        <v>46</v>
      </c>
      <c r="F137">
        <f>VLOOKUP(A137,'Remote work mental helath'!$A$2:$T$1001,9,)</f>
        <v>4</v>
      </c>
    </row>
    <row r="138" spans="1:6" x14ac:dyDescent="0.3">
      <c r="A138" t="s">
        <v>187</v>
      </c>
      <c r="B138" t="str">
        <f>VLOOKUP(A138,'Remote work mental helath'!$A$2:$T$1001,5,)</f>
        <v>Healthcare</v>
      </c>
      <c r="C138" t="str">
        <f>VLOOKUP(A138,'Remote work mental helath'!$A$2:$T$1001,7,)</f>
        <v>Remote</v>
      </c>
      <c r="D138">
        <f>VLOOKUP(A138,'Remote work mental helath'!$A$2:$T$1001,6,)</f>
        <v>14</v>
      </c>
      <c r="E138">
        <f>VLOOKUP(A138,'Remote work mental helath'!$A$2:$T$1001,8,)</f>
        <v>26</v>
      </c>
      <c r="F138">
        <f>VLOOKUP(A138,'Remote work mental helath'!$A$2:$T$1001,9,)</f>
        <v>9</v>
      </c>
    </row>
    <row r="139" spans="1:6" x14ac:dyDescent="0.3">
      <c r="A139" t="s">
        <v>188</v>
      </c>
      <c r="B139" t="str">
        <f>VLOOKUP(A139,'Remote work mental helath'!$A$2:$T$1001,5,)</f>
        <v>IT</v>
      </c>
      <c r="C139" t="str">
        <f>VLOOKUP(A139,'Remote work mental helath'!$A$2:$T$1001,7,)</f>
        <v>Remote</v>
      </c>
      <c r="D139">
        <f>VLOOKUP(A139,'Remote work mental helath'!$A$2:$T$1001,6,)</f>
        <v>10</v>
      </c>
      <c r="E139">
        <f>VLOOKUP(A139,'Remote work mental helath'!$A$2:$T$1001,8,)</f>
        <v>32</v>
      </c>
      <c r="F139">
        <f>VLOOKUP(A139,'Remote work mental helath'!$A$2:$T$1001,9,)</f>
        <v>4</v>
      </c>
    </row>
    <row r="140" spans="1:6" x14ac:dyDescent="0.3">
      <c r="A140" t="s">
        <v>189</v>
      </c>
      <c r="B140" t="str">
        <f>VLOOKUP(A140,'Remote work mental helath'!$A$2:$T$1001,5,)</f>
        <v>Education</v>
      </c>
      <c r="C140" t="str">
        <f>VLOOKUP(A140,'Remote work mental helath'!$A$2:$T$1001,7,)</f>
        <v>Remote</v>
      </c>
      <c r="D140">
        <f>VLOOKUP(A140,'Remote work mental helath'!$A$2:$T$1001,6,)</f>
        <v>34</v>
      </c>
      <c r="E140">
        <f>VLOOKUP(A140,'Remote work mental helath'!$A$2:$T$1001,8,)</f>
        <v>30</v>
      </c>
      <c r="F140">
        <f>VLOOKUP(A140,'Remote work mental helath'!$A$2:$T$1001,9,)</f>
        <v>11</v>
      </c>
    </row>
    <row r="141" spans="1:6" x14ac:dyDescent="0.3">
      <c r="A141" t="s">
        <v>190</v>
      </c>
      <c r="B141" t="str">
        <f>VLOOKUP(A141,'Remote work mental helath'!$A$2:$T$1001,5,)</f>
        <v>Education</v>
      </c>
      <c r="C141" t="str">
        <f>VLOOKUP(A141,'Remote work mental helath'!$A$2:$T$1001,7,)</f>
        <v>Hybrid</v>
      </c>
      <c r="D141">
        <f>VLOOKUP(A141,'Remote work mental helath'!$A$2:$T$1001,6,)</f>
        <v>11</v>
      </c>
      <c r="E141">
        <f>VLOOKUP(A141,'Remote work mental helath'!$A$2:$T$1001,8,)</f>
        <v>48</v>
      </c>
      <c r="F141">
        <f>VLOOKUP(A141,'Remote work mental helath'!$A$2:$T$1001,9,)</f>
        <v>3</v>
      </c>
    </row>
    <row r="142" spans="1:6" x14ac:dyDescent="0.3">
      <c r="A142" t="s">
        <v>191</v>
      </c>
      <c r="B142" t="str">
        <f>VLOOKUP(A142,'Remote work mental helath'!$A$2:$T$1001,5,)</f>
        <v>Education</v>
      </c>
      <c r="C142" t="str">
        <f>VLOOKUP(A142,'Remote work mental helath'!$A$2:$T$1001,7,)</f>
        <v>Onsite</v>
      </c>
      <c r="D142">
        <f>VLOOKUP(A142,'Remote work mental helath'!$A$2:$T$1001,6,)</f>
        <v>12</v>
      </c>
      <c r="E142">
        <f>VLOOKUP(A142,'Remote work mental helath'!$A$2:$T$1001,8,)</f>
        <v>44</v>
      </c>
      <c r="F142">
        <f>VLOOKUP(A142,'Remote work mental helath'!$A$2:$T$1001,9,)</f>
        <v>13</v>
      </c>
    </row>
    <row r="143" spans="1:6" x14ac:dyDescent="0.3">
      <c r="A143" t="s">
        <v>192</v>
      </c>
      <c r="B143" t="str">
        <f>VLOOKUP(A143,'Remote work mental helath'!$A$2:$T$1001,5,)</f>
        <v>Healthcare</v>
      </c>
      <c r="C143" t="str">
        <f>VLOOKUP(A143,'Remote work mental helath'!$A$2:$T$1001,7,)</f>
        <v>Hybrid</v>
      </c>
      <c r="D143">
        <f>VLOOKUP(A143,'Remote work mental helath'!$A$2:$T$1001,6,)</f>
        <v>29</v>
      </c>
      <c r="E143">
        <f>VLOOKUP(A143,'Remote work mental helath'!$A$2:$T$1001,8,)</f>
        <v>49</v>
      </c>
      <c r="F143">
        <f>VLOOKUP(A143,'Remote work mental helath'!$A$2:$T$1001,9,)</f>
        <v>15</v>
      </c>
    </row>
    <row r="144" spans="1:6" x14ac:dyDescent="0.3">
      <c r="A144" t="s">
        <v>193</v>
      </c>
      <c r="B144" t="str">
        <f>VLOOKUP(A144,'Remote work mental helath'!$A$2:$T$1001,5,)</f>
        <v>Manufacturing</v>
      </c>
      <c r="C144" t="str">
        <f>VLOOKUP(A144,'Remote work mental helath'!$A$2:$T$1001,7,)</f>
        <v>Hybrid</v>
      </c>
      <c r="D144">
        <f>VLOOKUP(A144,'Remote work mental helath'!$A$2:$T$1001,6,)</f>
        <v>11</v>
      </c>
      <c r="E144">
        <f>VLOOKUP(A144,'Remote work mental helath'!$A$2:$T$1001,8,)</f>
        <v>23</v>
      </c>
      <c r="F144">
        <f>VLOOKUP(A144,'Remote work mental helath'!$A$2:$T$1001,9,)</f>
        <v>0</v>
      </c>
    </row>
    <row r="145" spans="1:6" x14ac:dyDescent="0.3">
      <c r="A145" t="s">
        <v>194</v>
      </c>
      <c r="B145" t="str">
        <f>VLOOKUP(A145,'Remote work mental helath'!$A$2:$T$1001,5,)</f>
        <v>Finance</v>
      </c>
      <c r="C145" t="str">
        <f>VLOOKUP(A145,'Remote work mental helath'!$A$2:$T$1001,7,)</f>
        <v>Onsite</v>
      </c>
      <c r="D145">
        <f>VLOOKUP(A145,'Remote work mental helath'!$A$2:$T$1001,6,)</f>
        <v>3</v>
      </c>
      <c r="E145">
        <f>VLOOKUP(A145,'Remote work mental helath'!$A$2:$T$1001,8,)</f>
        <v>33</v>
      </c>
      <c r="F145">
        <f>VLOOKUP(A145,'Remote work mental helath'!$A$2:$T$1001,9,)</f>
        <v>6</v>
      </c>
    </row>
    <row r="146" spans="1:6" x14ac:dyDescent="0.3">
      <c r="A146" t="s">
        <v>195</v>
      </c>
      <c r="B146" t="str">
        <f>VLOOKUP(A146,'Remote work mental helath'!$A$2:$T$1001,5,)</f>
        <v>Education</v>
      </c>
      <c r="C146" t="str">
        <f>VLOOKUP(A146,'Remote work mental helath'!$A$2:$T$1001,7,)</f>
        <v>Remote</v>
      </c>
      <c r="D146">
        <f>VLOOKUP(A146,'Remote work mental helath'!$A$2:$T$1001,6,)</f>
        <v>18</v>
      </c>
      <c r="E146">
        <f>VLOOKUP(A146,'Remote work mental helath'!$A$2:$T$1001,8,)</f>
        <v>35</v>
      </c>
      <c r="F146">
        <f>VLOOKUP(A146,'Remote work mental helath'!$A$2:$T$1001,9,)</f>
        <v>15</v>
      </c>
    </row>
    <row r="147" spans="1:6" x14ac:dyDescent="0.3">
      <c r="A147" t="s">
        <v>196</v>
      </c>
      <c r="B147" t="str">
        <f>VLOOKUP(A147,'Remote work mental helath'!$A$2:$T$1001,5,)</f>
        <v>Consulting</v>
      </c>
      <c r="C147" t="str">
        <f>VLOOKUP(A147,'Remote work mental helath'!$A$2:$T$1001,7,)</f>
        <v>Remote</v>
      </c>
      <c r="D147">
        <f>VLOOKUP(A147,'Remote work mental helath'!$A$2:$T$1001,6,)</f>
        <v>5</v>
      </c>
      <c r="E147">
        <f>VLOOKUP(A147,'Remote work mental helath'!$A$2:$T$1001,8,)</f>
        <v>41</v>
      </c>
      <c r="F147">
        <f>VLOOKUP(A147,'Remote work mental helath'!$A$2:$T$1001,9,)</f>
        <v>8</v>
      </c>
    </row>
    <row r="148" spans="1:6" x14ac:dyDescent="0.3">
      <c r="A148" t="s">
        <v>197</v>
      </c>
      <c r="B148" t="str">
        <f>VLOOKUP(A148,'Remote work mental helath'!$A$2:$T$1001,5,)</f>
        <v>Healthcare</v>
      </c>
      <c r="C148" t="str">
        <f>VLOOKUP(A148,'Remote work mental helath'!$A$2:$T$1001,7,)</f>
        <v>Hybrid</v>
      </c>
      <c r="D148">
        <f>VLOOKUP(A148,'Remote work mental helath'!$A$2:$T$1001,6,)</f>
        <v>3</v>
      </c>
      <c r="E148">
        <f>VLOOKUP(A148,'Remote work mental helath'!$A$2:$T$1001,8,)</f>
        <v>34</v>
      </c>
      <c r="F148">
        <f>VLOOKUP(A148,'Remote work mental helath'!$A$2:$T$1001,9,)</f>
        <v>12</v>
      </c>
    </row>
    <row r="149" spans="1:6" x14ac:dyDescent="0.3">
      <c r="A149" t="s">
        <v>198</v>
      </c>
      <c r="B149" t="str">
        <f>VLOOKUP(A149,'Remote work mental helath'!$A$2:$T$1001,5,)</f>
        <v>Finance</v>
      </c>
      <c r="C149" t="str">
        <f>VLOOKUP(A149,'Remote work mental helath'!$A$2:$T$1001,7,)</f>
        <v>Remote</v>
      </c>
      <c r="D149">
        <f>VLOOKUP(A149,'Remote work mental helath'!$A$2:$T$1001,6,)</f>
        <v>14</v>
      </c>
      <c r="E149">
        <f>VLOOKUP(A149,'Remote work mental helath'!$A$2:$T$1001,8,)</f>
        <v>44</v>
      </c>
      <c r="F149">
        <f>VLOOKUP(A149,'Remote work mental helath'!$A$2:$T$1001,9,)</f>
        <v>10</v>
      </c>
    </row>
    <row r="150" spans="1:6" x14ac:dyDescent="0.3">
      <c r="A150" t="s">
        <v>199</v>
      </c>
      <c r="B150" t="str">
        <f>VLOOKUP(A150,'Remote work mental helath'!$A$2:$T$1001,5,)</f>
        <v>IT</v>
      </c>
      <c r="C150" t="str">
        <f>VLOOKUP(A150,'Remote work mental helath'!$A$2:$T$1001,7,)</f>
        <v>Onsite</v>
      </c>
      <c r="D150">
        <f>VLOOKUP(A150,'Remote work mental helath'!$A$2:$T$1001,6,)</f>
        <v>10</v>
      </c>
      <c r="E150">
        <f>VLOOKUP(A150,'Remote work mental helath'!$A$2:$T$1001,8,)</f>
        <v>52</v>
      </c>
      <c r="F150">
        <f>VLOOKUP(A150,'Remote work mental helath'!$A$2:$T$1001,9,)</f>
        <v>8</v>
      </c>
    </row>
    <row r="151" spans="1:6" x14ac:dyDescent="0.3">
      <c r="A151" t="s">
        <v>200</v>
      </c>
      <c r="B151" t="str">
        <f>VLOOKUP(A151,'Remote work mental helath'!$A$2:$T$1001,5,)</f>
        <v>Consulting</v>
      </c>
      <c r="C151" t="str">
        <f>VLOOKUP(A151,'Remote work mental helath'!$A$2:$T$1001,7,)</f>
        <v>Onsite</v>
      </c>
      <c r="D151">
        <f>VLOOKUP(A151,'Remote work mental helath'!$A$2:$T$1001,6,)</f>
        <v>17</v>
      </c>
      <c r="E151">
        <f>VLOOKUP(A151,'Remote work mental helath'!$A$2:$T$1001,8,)</f>
        <v>57</v>
      </c>
      <c r="F151">
        <f>VLOOKUP(A151,'Remote work mental helath'!$A$2:$T$1001,9,)</f>
        <v>11</v>
      </c>
    </row>
    <row r="152" spans="1:6" x14ac:dyDescent="0.3">
      <c r="A152" t="s">
        <v>201</v>
      </c>
      <c r="B152" t="str">
        <f>VLOOKUP(A152,'Remote work mental helath'!$A$2:$T$1001,5,)</f>
        <v>Consulting</v>
      </c>
      <c r="C152" t="str">
        <f>VLOOKUP(A152,'Remote work mental helath'!$A$2:$T$1001,7,)</f>
        <v>Remote</v>
      </c>
      <c r="D152">
        <f>VLOOKUP(A152,'Remote work mental helath'!$A$2:$T$1001,6,)</f>
        <v>34</v>
      </c>
      <c r="E152">
        <f>VLOOKUP(A152,'Remote work mental helath'!$A$2:$T$1001,8,)</f>
        <v>32</v>
      </c>
      <c r="F152">
        <f>VLOOKUP(A152,'Remote work mental helath'!$A$2:$T$1001,9,)</f>
        <v>15</v>
      </c>
    </row>
    <row r="153" spans="1:6" x14ac:dyDescent="0.3">
      <c r="A153" t="s">
        <v>202</v>
      </c>
      <c r="B153" t="str">
        <f>VLOOKUP(A153,'Remote work mental helath'!$A$2:$T$1001,5,)</f>
        <v>Consulting</v>
      </c>
      <c r="C153" t="str">
        <f>VLOOKUP(A153,'Remote work mental helath'!$A$2:$T$1001,7,)</f>
        <v>Remote</v>
      </c>
      <c r="D153">
        <f>VLOOKUP(A153,'Remote work mental helath'!$A$2:$T$1001,6,)</f>
        <v>20</v>
      </c>
      <c r="E153">
        <f>VLOOKUP(A153,'Remote work mental helath'!$A$2:$T$1001,8,)</f>
        <v>31</v>
      </c>
      <c r="F153">
        <f>VLOOKUP(A153,'Remote work mental helath'!$A$2:$T$1001,9,)</f>
        <v>6</v>
      </c>
    </row>
    <row r="154" spans="1:6" x14ac:dyDescent="0.3">
      <c r="A154" t="s">
        <v>203</v>
      </c>
      <c r="B154" t="str">
        <f>VLOOKUP(A154,'Remote work mental helath'!$A$2:$T$1001,5,)</f>
        <v>Healthcare</v>
      </c>
      <c r="C154" t="str">
        <f>VLOOKUP(A154,'Remote work mental helath'!$A$2:$T$1001,7,)</f>
        <v>Hybrid</v>
      </c>
      <c r="D154">
        <f>VLOOKUP(A154,'Remote work mental helath'!$A$2:$T$1001,6,)</f>
        <v>29</v>
      </c>
      <c r="E154">
        <f>VLOOKUP(A154,'Remote work mental helath'!$A$2:$T$1001,8,)</f>
        <v>58</v>
      </c>
      <c r="F154">
        <f>VLOOKUP(A154,'Remote work mental helath'!$A$2:$T$1001,9,)</f>
        <v>15</v>
      </c>
    </row>
    <row r="155" spans="1:6" x14ac:dyDescent="0.3">
      <c r="A155" t="s">
        <v>204</v>
      </c>
      <c r="B155" t="str">
        <f>VLOOKUP(A155,'Remote work mental helath'!$A$2:$T$1001,5,)</f>
        <v>Consulting</v>
      </c>
      <c r="C155" t="str">
        <f>VLOOKUP(A155,'Remote work mental helath'!$A$2:$T$1001,7,)</f>
        <v>Remote</v>
      </c>
      <c r="D155">
        <f>VLOOKUP(A155,'Remote work mental helath'!$A$2:$T$1001,6,)</f>
        <v>31</v>
      </c>
      <c r="E155">
        <f>VLOOKUP(A155,'Remote work mental helath'!$A$2:$T$1001,8,)</f>
        <v>26</v>
      </c>
      <c r="F155">
        <f>VLOOKUP(A155,'Remote work mental helath'!$A$2:$T$1001,9,)</f>
        <v>9</v>
      </c>
    </row>
    <row r="156" spans="1:6" x14ac:dyDescent="0.3">
      <c r="A156" t="s">
        <v>205</v>
      </c>
      <c r="B156" t="str">
        <f>VLOOKUP(A156,'Remote work mental helath'!$A$2:$T$1001,5,)</f>
        <v>Consulting</v>
      </c>
      <c r="C156" t="str">
        <f>VLOOKUP(A156,'Remote work mental helath'!$A$2:$T$1001,7,)</f>
        <v>Remote</v>
      </c>
      <c r="D156">
        <f>VLOOKUP(A156,'Remote work mental helath'!$A$2:$T$1001,6,)</f>
        <v>17</v>
      </c>
      <c r="E156">
        <f>VLOOKUP(A156,'Remote work mental helath'!$A$2:$T$1001,8,)</f>
        <v>57</v>
      </c>
      <c r="F156">
        <f>VLOOKUP(A156,'Remote work mental helath'!$A$2:$T$1001,9,)</f>
        <v>5</v>
      </c>
    </row>
    <row r="157" spans="1:6" x14ac:dyDescent="0.3">
      <c r="A157" t="s">
        <v>206</v>
      </c>
      <c r="B157" t="str">
        <f>VLOOKUP(A157,'Remote work mental helath'!$A$2:$T$1001,5,)</f>
        <v>Healthcare</v>
      </c>
      <c r="C157" t="str">
        <f>VLOOKUP(A157,'Remote work mental helath'!$A$2:$T$1001,7,)</f>
        <v>Onsite</v>
      </c>
      <c r="D157">
        <f>VLOOKUP(A157,'Remote work mental helath'!$A$2:$T$1001,6,)</f>
        <v>31</v>
      </c>
      <c r="E157">
        <f>VLOOKUP(A157,'Remote work mental helath'!$A$2:$T$1001,8,)</f>
        <v>20</v>
      </c>
      <c r="F157">
        <f>VLOOKUP(A157,'Remote work mental helath'!$A$2:$T$1001,9,)</f>
        <v>8</v>
      </c>
    </row>
    <row r="158" spans="1:6" x14ac:dyDescent="0.3">
      <c r="A158" t="s">
        <v>207</v>
      </c>
      <c r="B158" t="str">
        <f>VLOOKUP(A158,'Remote work mental helath'!$A$2:$T$1001,5,)</f>
        <v>Finance</v>
      </c>
      <c r="C158" t="str">
        <f>VLOOKUP(A158,'Remote work mental helath'!$A$2:$T$1001,7,)</f>
        <v>Hybrid</v>
      </c>
      <c r="D158">
        <f>VLOOKUP(A158,'Remote work mental helath'!$A$2:$T$1001,6,)</f>
        <v>23</v>
      </c>
      <c r="E158">
        <f>VLOOKUP(A158,'Remote work mental helath'!$A$2:$T$1001,8,)</f>
        <v>26</v>
      </c>
      <c r="F158">
        <f>VLOOKUP(A158,'Remote work mental helath'!$A$2:$T$1001,9,)</f>
        <v>0</v>
      </c>
    </row>
    <row r="159" spans="1:6" x14ac:dyDescent="0.3">
      <c r="A159" t="s">
        <v>208</v>
      </c>
      <c r="B159" t="str">
        <f>VLOOKUP(A159,'Remote work mental helath'!$A$2:$T$1001,5,)</f>
        <v>Finance</v>
      </c>
      <c r="C159" t="str">
        <f>VLOOKUP(A159,'Remote work mental helath'!$A$2:$T$1001,7,)</f>
        <v>Hybrid</v>
      </c>
      <c r="D159">
        <f>VLOOKUP(A159,'Remote work mental helath'!$A$2:$T$1001,6,)</f>
        <v>21</v>
      </c>
      <c r="E159">
        <f>VLOOKUP(A159,'Remote work mental helath'!$A$2:$T$1001,8,)</f>
        <v>43</v>
      </c>
      <c r="F159">
        <f>VLOOKUP(A159,'Remote work mental helath'!$A$2:$T$1001,9,)</f>
        <v>15</v>
      </c>
    </row>
    <row r="160" spans="1:6" x14ac:dyDescent="0.3">
      <c r="A160" t="s">
        <v>209</v>
      </c>
      <c r="B160" t="str">
        <f>VLOOKUP(A160,'Remote work mental helath'!$A$2:$T$1001,5,)</f>
        <v>Manufacturing</v>
      </c>
      <c r="C160" t="str">
        <f>VLOOKUP(A160,'Remote work mental helath'!$A$2:$T$1001,7,)</f>
        <v>Onsite</v>
      </c>
      <c r="D160">
        <f>VLOOKUP(A160,'Remote work mental helath'!$A$2:$T$1001,6,)</f>
        <v>6</v>
      </c>
      <c r="E160">
        <f>VLOOKUP(A160,'Remote work mental helath'!$A$2:$T$1001,8,)</f>
        <v>50</v>
      </c>
      <c r="F160">
        <f>VLOOKUP(A160,'Remote work mental helath'!$A$2:$T$1001,9,)</f>
        <v>14</v>
      </c>
    </row>
    <row r="161" spans="1:6" x14ac:dyDescent="0.3">
      <c r="A161" t="s">
        <v>210</v>
      </c>
      <c r="B161" t="str">
        <f>VLOOKUP(A161,'Remote work mental helath'!$A$2:$T$1001,5,)</f>
        <v>Healthcare</v>
      </c>
      <c r="C161" t="str">
        <f>VLOOKUP(A161,'Remote work mental helath'!$A$2:$T$1001,7,)</f>
        <v>Onsite</v>
      </c>
      <c r="D161">
        <f>VLOOKUP(A161,'Remote work mental helath'!$A$2:$T$1001,6,)</f>
        <v>14</v>
      </c>
      <c r="E161">
        <f>VLOOKUP(A161,'Remote work mental helath'!$A$2:$T$1001,8,)</f>
        <v>52</v>
      </c>
      <c r="F161">
        <f>VLOOKUP(A161,'Remote work mental helath'!$A$2:$T$1001,9,)</f>
        <v>0</v>
      </c>
    </row>
    <row r="162" spans="1:6" x14ac:dyDescent="0.3">
      <c r="A162" t="s">
        <v>211</v>
      </c>
      <c r="B162" t="str">
        <f>VLOOKUP(A162,'Remote work mental helath'!$A$2:$T$1001,5,)</f>
        <v>IT</v>
      </c>
      <c r="C162" t="str">
        <f>VLOOKUP(A162,'Remote work mental helath'!$A$2:$T$1001,7,)</f>
        <v>Hybrid</v>
      </c>
      <c r="D162">
        <f>VLOOKUP(A162,'Remote work mental helath'!$A$2:$T$1001,6,)</f>
        <v>34</v>
      </c>
      <c r="E162">
        <f>VLOOKUP(A162,'Remote work mental helath'!$A$2:$T$1001,8,)</f>
        <v>37</v>
      </c>
      <c r="F162">
        <f>VLOOKUP(A162,'Remote work mental helath'!$A$2:$T$1001,9,)</f>
        <v>1</v>
      </c>
    </row>
    <row r="163" spans="1:6" x14ac:dyDescent="0.3">
      <c r="A163" t="s">
        <v>212</v>
      </c>
      <c r="B163" t="str">
        <f>VLOOKUP(A163,'Remote work mental helath'!$A$2:$T$1001,5,)</f>
        <v>Education</v>
      </c>
      <c r="C163" t="str">
        <f>VLOOKUP(A163,'Remote work mental helath'!$A$2:$T$1001,7,)</f>
        <v>Hybrid</v>
      </c>
      <c r="D163">
        <f>VLOOKUP(A163,'Remote work mental helath'!$A$2:$T$1001,6,)</f>
        <v>24</v>
      </c>
      <c r="E163">
        <f>VLOOKUP(A163,'Remote work mental helath'!$A$2:$T$1001,8,)</f>
        <v>38</v>
      </c>
      <c r="F163">
        <f>VLOOKUP(A163,'Remote work mental helath'!$A$2:$T$1001,9,)</f>
        <v>0</v>
      </c>
    </row>
    <row r="164" spans="1:6" x14ac:dyDescent="0.3">
      <c r="A164" t="s">
        <v>213</v>
      </c>
      <c r="B164" t="str">
        <f>VLOOKUP(A164,'Remote work mental helath'!$A$2:$T$1001,5,)</f>
        <v>Consulting</v>
      </c>
      <c r="C164" t="str">
        <f>VLOOKUP(A164,'Remote work mental helath'!$A$2:$T$1001,7,)</f>
        <v>Hybrid</v>
      </c>
      <c r="D164">
        <f>VLOOKUP(A164,'Remote work mental helath'!$A$2:$T$1001,6,)</f>
        <v>3</v>
      </c>
      <c r="E164">
        <f>VLOOKUP(A164,'Remote work mental helath'!$A$2:$T$1001,8,)</f>
        <v>55</v>
      </c>
      <c r="F164">
        <f>VLOOKUP(A164,'Remote work mental helath'!$A$2:$T$1001,9,)</f>
        <v>11</v>
      </c>
    </row>
    <row r="165" spans="1:6" x14ac:dyDescent="0.3">
      <c r="A165" t="s">
        <v>214</v>
      </c>
      <c r="B165" t="str">
        <f>VLOOKUP(A165,'Remote work mental helath'!$A$2:$T$1001,5,)</f>
        <v>Manufacturing</v>
      </c>
      <c r="C165" t="str">
        <f>VLOOKUP(A165,'Remote work mental helath'!$A$2:$T$1001,7,)</f>
        <v>Hybrid</v>
      </c>
      <c r="D165">
        <f>VLOOKUP(A165,'Remote work mental helath'!$A$2:$T$1001,6,)</f>
        <v>5</v>
      </c>
      <c r="E165">
        <f>VLOOKUP(A165,'Remote work mental helath'!$A$2:$T$1001,8,)</f>
        <v>53</v>
      </c>
      <c r="F165">
        <f>VLOOKUP(A165,'Remote work mental helath'!$A$2:$T$1001,9,)</f>
        <v>14</v>
      </c>
    </row>
    <row r="166" spans="1:6" x14ac:dyDescent="0.3">
      <c r="A166" t="s">
        <v>215</v>
      </c>
      <c r="B166" t="str">
        <f>VLOOKUP(A166,'Remote work mental helath'!$A$2:$T$1001,5,)</f>
        <v>Healthcare</v>
      </c>
      <c r="C166" t="str">
        <f>VLOOKUP(A166,'Remote work mental helath'!$A$2:$T$1001,7,)</f>
        <v>Onsite</v>
      </c>
      <c r="D166">
        <f>VLOOKUP(A166,'Remote work mental helath'!$A$2:$T$1001,6,)</f>
        <v>11</v>
      </c>
      <c r="E166">
        <f>VLOOKUP(A166,'Remote work mental helath'!$A$2:$T$1001,8,)</f>
        <v>20</v>
      </c>
      <c r="F166">
        <f>VLOOKUP(A166,'Remote work mental helath'!$A$2:$T$1001,9,)</f>
        <v>13</v>
      </c>
    </row>
    <row r="167" spans="1:6" x14ac:dyDescent="0.3">
      <c r="A167" t="s">
        <v>216</v>
      </c>
      <c r="B167" t="str">
        <f>VLOOKUP(A167,'Remote work mental helath'!$A$2:$T$1001,5,)</f>
        <v>Manufacturing</v>
      </c>
      <c r="C167" t="str">
        <f>VLOOKUP(A167,'Remote work mental helath'!$A$2:$T$1001,7,)</f>
        <v>Hybrid</v>
      </c>
      <c r="D167">
        <f>VLOOKUP(A167,'Remote work mental helath'!$A$2:$T$1001,6,)</f>
        <v>10</v>
      </c>
      <c r="E167">
        <f>VLOOKUP(A167,'Remote work mental helath'!$A$2:$T$1001,8,)</f>
        <v>46</v>
      </c>
      <c r="F167">
        <f>VLOOKUP(A167,'Remote work mental helath'!$A$2:$T$1001,9,)</f>
        <v>1</v>
      </c>
    </row>
    <row r="168" spans="1:6" x14ac:dyDescent="0.3">
      <c r="A168" t="s">
        <v>217</v>
      </c>
      <c r="B168" t="str">
        <f>VLOOKUP(A168,'Remote work mental helath'!$A$2:$T$1001,5,)</f>
        <v>Education</v>
      </c>
      <c r="C168" t="str">
        <f>VLOOKUP(A168,'Remote work mental helath'!$A$2:$T$1001,7,)</f>
        <v>Onsite</v>
      </c>
      <c r="D168">
        <f>VLOOKUP(A168,'Remote work mental helath'!$A$2:$T$1001,6,)</f>
        <v>35</v>
      </c>
      <c r="E168">
        <f>VLOOKUP(A168,'Remote work mental helath'!$A$2:$T$1001,8,)</f>
        <v>30</v>
      </c>
      <c r="F168">
        <f>VLOOKUP(A168,'Remote work mental helath'!$A$2:$T$1001,9,)</f>
        <v>8</v>
      </c>
    </row>
    <row r="169" spans="1:6" x14ac:dyDescent="0.3">
      <c r="A169" t="s">
        <v>218</v>
      </c>
      <c r="B169" t="str">
        <f>VLOOKUP(A169,'Remote work mental helath'!$A$2:$T$1001,5,)</f>
        <v>Retail</v>
      </c>
      <c r="C169" t="str">
        <f>VLOOKUP(A169,'Remote work mental helath'!$A$2:$T$1001,7,)</f>
        <v>Remote</v>
      </c>
      <c r="D169">
        <f>VLOOKUP(A169,'Remote work mental helath'!$A$2:$T$1001,6,)</f>
        <v>27</v>
      </c>
      <c r="E169">
        <f>VLOOKUP(A169,'Remote work mental helath'!$A$2:$T$1001,8,)</f>
        <v>50</v>
      </c>
      <c r="F169">
        <f>VLOOKUP(A169,'Remote work mental helath'!$A$2:$T$1001,9,)</f>
        <v>8</v>
      </c>
    </row>
    <row r="170" spans="1:6" x14ac:dyDescent="0.3">
      <c r="A170" t="s">
        <v>219</v>
      </c>
      <c r="B170" t="str">
        <f>VLOOKUP(A170,'Remote work mental helath'!$A$2:$T$1001,5,)</f>
        <v>Healthcare</v>
      </c>
      <c r="C170" t="str">
        <f>VLOOKUP(A170,'Remote work mental helath'!$A$2:$T$1001,7,)</f>
        <v>Remote</v>
      </c>
      <c r="D170">
        <f>VLOOKUP(A170,'Remote work mental helath'!$A$2:$T$1001,6,)</f>
        <v>15</v>
      </c>
      <c r="E170">
        <f>VLOOKUP(A170,'Remote work mental helath'!$A$2:$T$1001,8,)</f>
        <v>50</v>
      </c>
      <c r="F170">
        <f>VLOOKUP(A170,'Remote work mental helath'!$A$2:$T$1001,9,)</f>
        <v>13</v>
      </c>
    </row>
    <row r="171" spans="1:6" x14ac:dyDescent="0.3">
      <c r="A171" t="s">
        <v>220</v>
      </c>
      <c r="B171" t="str">
        <f>VLOOKUP(A171,'Remote work mental helath'!$A$2:$T$1001,5,)</f>
        <v>Manufacturing</v>
      </c>
      <c r="C171" t="str">
        <f>VLOOKUP(A171,'Remote work mental helath'!$A$2:$T$1001,7,)</f>
        <v>Hybrid</v>
      </c>
      <c r="D171">
        <f>VLOOKUP(A171,'Remote work mental helath'!$A$2:$T$1001,6,)</f>
        <v>10</v>
      </c>
      <c r="E171">
        <f>VLOOKUP(A171,'Remote work mental helath'!$A$2:$T$1001,8,)</f>
        <v>50</v>
      </c>
      <c r="F171">
        <f>VLOOKUP(A171,'Remote work mental helath'!$A$2:$T$1001,9,)</f>
        <v>0</v>
      </c>
    </row>
    <row r="172" spans="1:6" x14ac:dyDescent="0.3">
      <c r="A172" t="s">
        <v>221</v>
      </c>
      <c r="B172" t="str">
        <f>VLOOKUP(A172,'Remote work mental helath'!$A$2:$T$1001,5,)</f>
        <v>Retail</v>
      </c>
      <c r="C172" t="str">
        <f>VLOOKUP(A172,'Remote work mental helath'!$A$2:$T$1001,7,)</f>
        <v>Remote</v>
      </c>
      <c r="D172">
        <f>VLOOKUP(A172,'Remote work mental helath'!$A$2:$T$1001,6,)</f>
        <v>19</v>
      </c>
      <c r="E172">
        <f>VLOOKUP(A172,'Remote work mental helath'!$A$2:$T$1001,8,)</f>
        <v>23</v>
      </c>
      <c r="F172">
        <f>VLOOKUP(A172,'Remote work mental helath'!$A$2:$T$1001,9,)</f>
        <v>7</v>
      </c>
    </row>
    <row r="173" spans="1:6" x14ac:dyDescent="0.3">
      <c r="A173" t="s">
        <v>222</v>
      </c>
      <c r="B173" t="str">
        <f>VLOOKUP(A173,'Remote work mental helath'!$A$2:$T$1001,5,)</f>
        <v>Retail</v>
      </c>
      <c r="C173" t="str">
        <f>VLOOKUP(A173,'Remote work mental helath'!$A$2:$T$1001,7,)</f>
        <v>Onsite</v>
      </c>
      <c r="D173">
        <f>VLOOKUP(A173,'Remote work mental helath'!$A$2:$T$1001,6,)</f>
        <v>33</v>
      </c>
      <c r="E173">
        <f>VLOOKUP(A173,'Remote work mental helath'!$A$2:$T$1001,8,)</f>
        <v>45</v>
      </c>
      <c r="F173">
        <f>VLOOKUP(A173,'Remote work mental helath'!$A$2:$T$1001,9,)</f>
        <v>3</v>
      </c>
    </row>
    <row r="174" spans="1:6" x14ac:dyDescent="0.3">
      <c r="A174" t="s">
        <v>223</v>
      </c>
      <c r="B174" t="str">
        <f>VLOOKUP(A174,'Remote work mental helath'!$A$2:$T$1001,5,)</f>
        <v>Finance</v>
      </c>
      <c r="C174" t="str">
        <f>VLOOKUP(A174,'Remote work mental helath'!$A$2:$T$1001,7,)</f>
        <v>Hybrid</v>
      </c>
      <c r="D174">
        <f>VLOOKUP(A174,'Remote work mental helath'!$A$2:$T$1001,6,)</f>
        <v>11</v>
      </c>
      <c r="E174">
        <f>VLOOKUP(A174,'Remote work mental helath'!$A$2:$T$1001,8,)</f>
        <v>25</v>
      </c>
      <c r="F174">
        <f>VLOOKUP(A174,'Remote work mental helath'!$A$2:$T$1001,9,)</f>
        <v>4</v>
      </c>
    </row>
    <row r="175" spans="1:6" x14ac:dyDescent="0.3">
      <c r="A175" t="s">
        <v>224</v>
      </c>
      <c r="B175" t="str">
        <f>VLOOKUP(A175,'Remote work mental helath'!$A$2:$T$1001,5,)</f>
        <v>Manufacturing</v>
      </c>
      <c r="C175" t="str">
        <f>VLOOKUP(A175,'Remote work mental helath'!$A$2:$T$1001,7,)</f>
        <v>Remote</v>
      </c>
      <c r="D175">
        <f>VLOOKUP(A175,'Remote work mental helath'!$A$2:$T$1001,6,)</f>
        <v>35</v>
      </c>
      <c r="E175">
        <f>VLOOKUP(A175,'Remote work mental helath'!$A$2:$T$1001,8,)</f>
        <v>36</v>
      </c>
      <c r="F175">
        <f>VLOOKUP(A175,'Remote work mental helath'!$A$2:$T$1001,9,)</f>
        <v>9</v>
      </c>
    </row>
    <row r="176" spans="1:6" x14ac:dyDescent="0.3">
      <c r="A176" t="s">
        <v>225</v>
      </c>
      <c r="B176" t="str">
        <f>VLOOKUP(A176,'Remote work mental helath'!$A$2:$T$1001,5,)</f>
        <v>Education</v>
      </c>
      <c r="C176" t="str">
        <f>VLOOKUP(A176,'Remote work mental helath'!$A$2:$T$1001,7,)</f>
        <v>Onsite</v>
      </c>
      <c r="D176">
        <f>VLOOKUP(A176,'Remote work mental helath'!$A$2:$T$1001,6,)</f>
        <v>10</v>
      </c>
      <c r="E176">
        <f>VLOOKUP(A176,'Remote work mental helath'!$A$2:$T$1001,8,)</f>
        <v>60</v>
      </c>
      <c r="F176">
        <f>VLOOKUP(A176,'Remote work mental helath'!$A$2:$T$1001,9,)</f>
        <v>3</v>
      </c>
    </row>
    <row r="177" spans="1:6" x14ac:dyDescent="0.3">
      <c r="A177" t="s">
        <v>226</v>
      </c>
      <c r="B177" t="str">
        <f>VLOOKUP(A177,'Remote work mental helath'!$A$2:$T$1001,5,)</f>
        <v>Healthcare</v>
      </c>
      <c r="C177" t="str">
        <f>VLOOKUP(A177,'Remote work mental helath'!$A$2:$T$1001,7,)</f>
        <v>Remote</v>
      </c>
      <c r="D177">
        <f>VLOOKUP(A177,'Remote work mental helath'!$A$2:$T$1001,6,)</f>
        <v>12</v>
      </c>
      <c r="E177">
        <f>VLOOKUP(A177,'Remote work mental helath'!$A$2:$T$1001,8,)</f>
        <v>35</v>
      </c>
      <c r="F177">
        <f>VLOOKUP(A177,'Remote work mental helath'!$A$2:$T$1001,9,)</f>
        <v>7</v>
      </c>
    </row>
    <row r="178" spans="1:6" x14ac:dyDescent="0.3">
      <c r="A178" t="s">
        <v>227</v>
      </c>
      <c r="B178" t="str">
        <f>VLOOKUP(A178,'Remote work mental helath'!$A$2:$T$1001,5,)</f>
        <v>Manufacturing</v>
      </c>
      <c r="C178" t="str">
        <f>VLOOKUP(A178,'Remote work mental helath'!$A$2:$T$1001,7,)</f>
        <v>Hybrid</v>
      </c>
      <c r="D178">
        <f>VLOOKUP(A178,'Remote work mental helath'!$A$2:$T$1001,6,)</f>
        <v>14</v>
      </c>
      <c r="E178">
        <f>VLOOKUP(A178,'Remote work mental helath'!$A$2:$T$1001,8,)</f>
        <v>55</v>
      </c>
      <c r="F178">
        <f>VLOOKUP(A178,'Remote work mental helath'!$A$2:$T$1001,9,)</f>
        <v>12</v>
      </c>
    </row>
    <row r="179" spans="1:6" x14ac:dyDescent="0.3">
      <c r="A179" t="s">
        <v>228</v>
      </c>
      <c r="B179" t="str">
        <f>VLOOKUP(A179,'Remote work mental helath'!$A$2:$T$1001,5,)</f>
        <v>Finance</v>
      </c>
      <c r="C179" t="str">
        <f>VLOOKUP(A179,'Remote work mental helath'!$A$2:$T$1001,7,)</f>
        <v>Onsite</v>
      </c>
      <c r="D179">
        <f>VLOOKUP(A179,'Remote work mental helath'!$A$2:$T$1001,6,)</f>
        <v>31</v>
      </c>
      <c r="E179">
        <f>VLOOKUP(A179,'Remote work mental helath'!$A$2:$T$1001,8,)</f>
        <v>47</v>
      </c>
      <c r="F179">
        <f>VLOOKUP(A179,'Remote work mental helath'!$A$2:$T$1001,9,)</f>
        <v>10</v>
      </c>
    </row>
    <row r="180" spans="1:6" x14ac:dyDescent="0.3">
      <c r="A180" t="s">
        <v>229</v>
      </c>
      <c r="B180" t="str">
        <f>VLOOKUP(A180,'Remote work mental helath'!$A$2:$T$1001,5,)</f>
        <v>Healthcare</v>
      </c>
      <c r="C180" t="str">
        <f>VLOOKUP(A180,'Remote work mental helath'!$A$2:$T$1001,7,)</f>
        <v>Hybrid</v>
      </c>
      <c r="D180">
        <f>VLOOKUP(A180,'Remote work mental helath'!$A$2:$T$1001,6,)</f>
        <v>32</v>
      </c>
      <c r="E180">
        <f>VLOOKUP(A180,'Remote work mental helath'!$A$2:$T$1001,8,)</f>
        <v>57</v>
      </c>
      <c r="F180">
        <f>VLOOKUP(A180,'Remote work mental helath'!$A$2:$T$1001,9,)</f>
        <v>10</v>
      </c>
    </row>
    <row r="181" spans="1:6" x14ac:dyDescent="0.3">
      <c r="A181" t="s">
        <v>230</v>
      </c>
      <c r="B181" t="str">
        <f>VLOOKUP(A181,'Remote work mental helath'!$A$2:$T$1001,5,)</f>
        <v>Education</v>
      </c>
      <c r="C181" t="str">
        <f>VLOOKUP(A181,'Remote work mental helath'!$A$2:$T$1001,7,)</f>
        <v>Hybrid</v>
      </c>
      <c r="D181">
        <f>VLOOKUP(A181,'Remote work mental helath'!$A$2:$T$1001,6,)</f>
        <v>17</v>
      </c>
      <c r="E181">
        <f>VLOOKUP(A181,'Remote work mental helath'!$A$2:$T$1001,8,)</f>
        <v>22</v>
      </c>
      <c r="F181">
        <f>VLOOKUP(A181,'Remote work mental helath'!$A$2:$T$1001,9,)</f>
        <v>9</v>
      </c>
    </row>
    <row r="182" spans="1:6" x14ac:dyDescent="0.3">
      <c r="A182" t="s">
        <v>231</v>
      </c>
      <c r="B182" t="str">
        <f>VLOOKUP(A182,'Remote work mental helath'!$A$2:$T$1001,5,)</f>
        <v>IT</v>
      </c>
      <c r="C182" t="str">
        <f>VLOOKUP(A182,'Remote work mental helath'!$A$2:$T$1001,7,)</f>
        <v>Remote</v>
      </c>
      <c r="D182">
        <f>VLOOKUP(A182,'Remote work mental helath'!$A$2:$T$1001,6,)</f>
        <v>22</v>
      </c>
      <c r="E182">
        <f>VLOOKUP(A182,'Remote work mental helath'!$A$2:$T$1001,8,)</f>
        <v>43</v>
      </c>
      <c r="F182">
        <f>VLOOKUP(A182,'Remote work mental helath'!$A$2:$T$1001,9,)</f>
        <v>5</v>
      </c>
    </row>
    <row r="183" spans="1:6" x14ac:dyDescent="0.3">
      <c r="A183" t="s">
        <v>232</v>
      </c>
      <c r="B183" t="str">
        <f>VLOOKUP(A183,'Remote work mental helath'!$A$2:$T$1001,5,)</f>
        <v>Consulting</v>
      </c>
      <c r="C183" t="str">
        <f>VLOOKUP(A183,'Remote work mental helath'!$A$2:$T$1001,7,)</f>
        <v>Remote</v>
      </c>
      <c r="D183">
        <f>VLOOKUP(A183,'Remote work mental helath'!$A$2:$T$1001,6,)</f>
        <v>29</v>
      </c>
      <c r="E183">
        <f>VLOOKUP(A183,'Remote work mental helath'!$A$2:$T$1001,8,)</f>
        <v>45</v>
      </c>
      <c r="F183">
        <f>VLOOKUP(A183,'Remote work mental helath'!$A$2:$T$1001,9,)</f>
        <v>9</v>
      </c>
    </row>
    <row r="184" spans="1:6" x14ac:dyDescent="0.3">
      <c r="A184" t="s">
        <v>233</v>
      </c>
      <c r="B184" t="str">
        <f>VLOOKUP(A184,'Remote work mental helath'!$A$2:$T$1001,5,)</f>
        <v>Healthcare</v>
      </c>
      <c r="C184" t="str">
        <f>VLOOKUP(A184,'Remote work mental helath'!$A$2:$T$1001,7,)</f>
        <v>Onsite</v>
      </c>
      <c r="D184">
        <f>VLOOKUP(A184,'Remote work mental helath'!$A$2:$T$1001,6,)</f>
        <v>21</v>
      </c>
      <c r="E184">
        <f>VLOOKUP(A184,'Remote work mental helath'!$A$2:$T$1001,8,)</f>
        <v>56</v>
      </c>
      <c r="F184">
        <f>VLOOKUP(A184,'Remote work mental helath'!$A$2:$T$1001,9,)</f>
        <v>14</v>
      </c>
    </row>
    <row r="185" spans="1:6" x14ac:dyDescent="0.3">
      <c r="A185" t="s">
        <v>234</v>
      </c>
      <c r="B185" t="str">
        <f>VLOOKUP(A185,'Remote work mental helath'!$A$2:$T$1001,5,)</f>
        <v>IT</v>
      </c>
      <c r="C185" t="str">
        <f>VLOOKUP(A185,'Remote work mental helath'!$A$2:$T$1001,7,)</f>
        <v>Onsite</v>
      </c>
      <c r="D185">
        <f>VLOOKUP(A185,'Remote work mental helath'!$A$2:$T$1001,6,)</f>
        <v>22</v>
      </c>
      <c r="E185">
        <f>VLOOKUP(A185,'Remote work mental helath'!$A$2:$T$1001,8,)</f>
        <v>46</v>
      </c>
      <c r="F185">
        <f>VLOOKUP(A185,'Remote work mental helath'!$A$2:$T$1001,9,)</f>
        <v>14</v>
      </c>
    </row>
    <row r="186" spans="1:6" x14ac:dyDescent="0.3">
      <c r="A186" t="s">
        <v>235</v>
      </c>
      <c r="B186" t="str">
        <f>VLOOKUP(A186,'Remote work mental helath'!$A$2:$T$1001,5,)</f>
        <v>Manufacturing</v>
      </c>
      <c r="C186" t="str">
        <f>VLOOKUP(A186,'Remote work mental helath'!$A$2:$T$1001,7,)</f>
        <v>Hybrid</v>
      </c>
      <c r="D186">
        <f>VLOOKUP(A186,'Remote work mental helath'!$A$2:$T$1001,6,)</f>
        <v>13</v>
      </c>
      <c r="E186">
        <f>VLOOKUP(A186,'Remote work mental helath'!$A$2:$T$1001,8,)</f>
        <v>60</v>
      </c>
      <c r="F186">
        <f>VLOOKUP(A186,'Remote work mental helath'!$A$2:$T$1001,9,)</f>
        <v>0</v>
      </c>
    </row>
    <row r="187" spans="1:6" x14ac:dyDescent="0.3">
      <c r="A187" t="s">
        <v>236</v>
      </c>
      <c r="B187" t="str">
        <f>VLOOKUP(A187,'Remote work mental helath'!$A$2:$T$1001,5,)</f>
        <v>Consulting</v>
      </c>
      <c r="C187" t="str">
        <f>VLOOKUP(A187,'Remote work mental helath'!$A$2:$T$1001,7,)</f>
        <v>Remote</v>
      </c>
      <c r="D187">
        <f>VLOOKUP(A187,'Remote work mental helath'!$A$2:$T$1001,6,)</f>
        <v>12</v>
      </c>
      <c r="E187">
        <f>VLOOKUP(A187,'Remote work mental helath'!$A$2:$T$1001,8,)</f>
        <v>32</v>
      </c>
      <c r="F187">
        <f>VLOOKUP(A187,'Remote work mental helath'!$A$2:$T$1001,9,)</f>
        <v>9</v>
      </c>
    </row>
    <row r="188" spans="1:6" x14ac:dyDescent="0.3">
      <c r="A188" t="s">
        <v>237</v>
      </c>
      <c r="B188" t="str">
        <f>VLOOKUP(A188,'Remote work mental helath'!$A$2:$T$1001,5,)</f>
        <v>Manufacturing</v>
      </c>
      <c r="C188" t="str">
        <f>VLOOKUP(A188,'Remote work mental helath'!$A$2:$T$1001,7,)</f>
        <v>Hybrid</v>
      </c>
      <c r="D188">
        <f>VLOOKUP(A188,'Remote work mental helath'!$A$2:$T$1001,6,)</f>
        <v>11</v>
      </c>
      <c r="E188">
        <f>VLOOKUP(A188,'Remote work mental helath'!$A$2:$T$1001,8,)</f>
        <v>59</v>
      </c>
      <c r="F188">
        <f>VLOOKUP(A188,'Remote work mental helath'!$A$2:$T$1001,9,)</f>
        <v>13</v>
      </c>
    </row>
    <row r="189" spans="1:6" x14ac:dyDescent="0.3">
      <c r="A189" t="s">
        <v>238</v>
      </c>
      <c r="B189" t="str">
        <f>VLOOKUP(A189,'Remote work mental helath'!$A$2:$T$1001,5,)</f>
        <v>Consulting</v>
      </c>
      <c r="C189" t="str">
        <f>VLOOKUP(A189,'Remote work mental helath'!$A$2:$T$1001,7,)</f>
        <v>Onsite</v>
      </c>
      <c r="D189">
        <f>VLOOKUP(A189,'Remote work mental helath'!$A$2:$T$1001,6,)</f>
        <v>17</v>
      </c>
      <c r="E189">
        <f>VLOOKUP(A189,'Remote work mental helath'!$A$2:$T$1001,8,)</f>
        <v>60</v>
      </c>
      <c r="F189">
        <f>VLOOKUP(A189,'Remote work mental helath'!$A$2:$T$1001,9,)</f>
        <v>13</v>
      </c>
    </row>
    <row r="190" spans="1:6" x14ac:dyDescent="0.3">
      <c r="A190" t="s">
        <v>239</v>
      </c>
      <c r="B190" t="str">
        <f>VLOOKUP(A190,'Remote work mental helath'!$A$2:$T$1001,5,)</f>
        <v>IT</v>
      </c>
      <c r="C190" t="str">
        <f>VLOOKUP(A190,'Remote work mental helath'!$A$2:$T$1001,7,)</f>
        <v>Hybrid</v>
      </c>
      <c r="D190">
        <f>VLOOKUP(A190,'Remote work mental helath'!$A$2:$T$1001,6,)</f>
        <v>35</v>
      </c>
      <c r="E190">
        <f>VLOOKUP(A190,'Remote work mental helath'!$A$2:$T$1001,8,)</f>
        <v>43</v>
      </c>
      <c r="F190">
        <f>VLOOKUP(A190,'Remote work mental helath'!$A$2:$T$1001,9,)</f>
        <v>4</v>
      </c>
    </row>
    <row r="191" spans="1:6" x14ac:dyDescent="0.3">
      <c r="A191" t="s">
        <v>240</v>
      </c>
      <c r="B191" t="str">
        <f>VLOOKUP(A191,'Remote work mental helath'!$A$2:$T$1001,5,)</f>
        <v>Education</v>
      </c>
      <c r="C191" t="str">
        <f>VLOOKUP(A191,'Remote work mental helath'!$A$2:$T$1001,7,)</f>
        <v>Remote</v>
      </c>
      <c r="D191">
        <f>VLOOKUP(A191,'Remote work mental helath'!$A$2:$T$1001,6,)</f>
        <v>15</v>
      </c>
      <c r="E191">
        <f>VLOOKUP(A191,'Remote work mental helath'!$A$2:$T$1001,8,)</f>
        <v>33</v>
      </c>
      <c r="F191">
        <f>VLOOKUP(A191,'Remote work mental helath'!$A$2:$T$1001,9,)</f>
        <v>8</v>
      </c>
    </row>
    <row r="192" spans="1:6" x14ac:dyDescent="0.3">
      <c r="A192" t="s">
        <v>241</v>
      </c>
      <c r="B192" t="str">
        <f>VLOOKUP(A192,'Remote work mental helath'!$A$2:$T$1001,5,)</f>
        <v>Finance</v>
      </c>
      <c r="C192" t="str">
        <f>VLOOKUP(A192,'Remote work mental helath'!$A$2:$T$1001,7,)</f>
        <v>Hybrid</v>
      </c>
      <c r="D192">
        <f>VLOOKUP(A192,'Remote work mental helath'!$A$2:$T$1001,6,)</f>
        <v>11</v>
      </c>
      <c r="E192">
        <f>VLOOKUP(A192,'Remote work mental helath'!$A$2:$T$1001,8,)</f>
        <v>20</v>
      </c>
      <c r="F192">
        <f>VLOOKUP(A192,'Remote work mental helath'!$A$2:$T$1001,9,)</f>
        <v>14</v>
      </c>
    </row>
    <row r="193" spans="1:6" x14ac:dyDescent="0.3">
      <c r="A193" t="s">
        <v>242</v>
      </c>
      <c r="B193" t="str">
        <f>VLOOKUP(A193,'Remote work mental helath'!$A$2:$T$1001,5,)</f>
        <v>Retail</v>
      </c>
      <c r="C193" t="str">
        <f>VLOOKUP(A193,'Remote work mental helath'!$A$2:$T$1001,7,)</f>
        <v>Hybrid</v>
      </c>
      <c r="D193">
        <f>VLOOKUP(A193,'Remote work mental helath'!$A$2:$T$1001,6,)</f>
        <v>16</v>
      </c>
      <c r="E193">
        <f>VLOOKUP(A193,'Remote work mental helath'!$A$2:$T$1001,8,)</f>
        <v>27</v>
      </c>
      <c r="F193">
        <f>VLOOKUP(A193,'Remote work mental helath'!$A$2:$T$1001,9,)</f>
        <v>2</v>
      </c>
    </row>
    <row r="194" spans="1:6" x14ac:dyDescent="0.3">
      <c r="A194" t="s">
        <v>243</v>
      </c>
      <c r="B194" t="str">
        <f>VLOOKUP(A194,'Remote work mental helath'!$A$2:$T$1001,5,)</f>
        <v>Healthcare</v>
      </c>
      <c r="C194" t="str">
        <f>VLOOKUP(A194,'Remote work mental helath'!$A$2:$T$1001,7,)</f>
        <v>Onsite</v>
      </c>
      <c r="D194">
        <f>VLOOKUP(A194,'Remote work mental helath'!$A$2:$T$1001,6,)</f>
        <v>4</v>
      </c>
      <c r="E194">
        <f>VLOOKUP(A194,'Remote work mental helath'!$A$2:$T$1001,8,)</f>
        <v>43</v>
      </c>
      <c r="F194">
        <f>VLOOKUP(A194,'Remote work mental helath'!$A$2:$T$1001,9,)</f>
        <v>1</v>
      </c>
    </row>
    <row r="195" spans="1:6" x14ac:dyDescent="0.3">
      <c r="A195" t="s">
        <v>244</v>
      </c>
      <c r="B195" t="str">
        <f>VLOOKUP(A195,'Remote work mental helath'!$A$2:$T$1001,5,)</f>
        <v>IT</v>
      </c>
      <c r="C195" t="str">
        <f>VLOOKUP(A195,'Remote work mental helath'!$A$2:$T$1001,7,)</f>
        <v>Onsite</v>
      </c>
      <c r="D195">
        <f>VLOOKUP(A195,'Remote work mental helath'!$A$2:$T$1001,6,)</f>
        <v>29</v>
      </c>
      <c r="E195">
        <f>VLOOKUP(A195,'Remote work mental helath'!$A$2:$T$1001,8,)</f>
        <v>23</v>
      </c>
      <c r="F195">
        <f>VLOOKUP(A195,'Remote work mental helath'!$A$2:$T$1001,9,)</f>
        <v>12</v>
      </c>
    </row>
    <row r="196" spans="1:6" x14ac:dyDescent="0.3">
      <c r="A196" t="s">
        <v>245</v>
      </c>
      <c r="B196" t="str">
        <f>VLOOKUP(A196,'Remote work mental helath'!$A$2:$T$1001,5,)</f>
        <v>Education</v>
      </c>
      <c r="C196" t="str">
        <f>VLOOKUP(A196,'Remote work mental helath'!$A$2:$T$1001,7,)</f>
        <v>Onsite</v>
      </c>
      <c r="D196">
        <f>VLOOKUP(A196,'Remote work mental helath'!$A$2:$T$1001,6,)</f>
        <v>22</v>
      </c>
      <c r="E196">
        <f>VLOOKUP(A196,'Remote work mental helath'!$A$2:$T$1001,8,)</f>
        <v>29</v>
      </c>
      <c r="F196">
        <f>VLOOKUP(A196,'Remote work mental helath'!$A$2:$T$1001,9,)</f>
        <v>0</v>
      </c>
    </row>
    <row r="197" spans="1:6" x14ac:dyDescent="0.3">
      <c r="A197" t="s">
        <v>246</v>
      </c>
      <c r="B197" t="str">
        <f>VLOOKUP(A197,'Remote work mental helath'!$A$2:$T$1001,5,)</f>
        <v>Education</v>
      </c>
      <c r="C197" t="str">
        <f>VLOOKUP(A197,'Remote work mental helath'!$A$2:$T$1001,7,)</f>
        <v>Remote</v>
      </c>
      <c r="D197">
        <f>VLOOKUP(A197,'Remote work mental helath'!$A$2:$T$1001,6,)</f>
        <v>7</v>
      </c>
      <c r="E197">
        <f>VLOOKUP(A197,'Remote work mental helath'!$A$2:$T$1001,8,)</f>
        <v>47</v>
      </c>
      <c r="F197">
        <f>VLOOKUP(A197,'Remote work mental helath'!$A$2:$T$1001,9,)</f>
        <v>0</v>
      </c>
    </row>
    <row r="198" spans="1:6" x14ac:dyDescent="0.3">
      <c r="A198" t="s">
        <v>247</v>
      </c>
      <c r="B198" t="str">
        <f>VLOOKUP(A198,'Remote work mental helath'!$A$2:$T$1001,5,)</f>
        <v>Healthcare</v>
      </c>
      <c r="C198" t="str">
        <f>VLOOKUP(A198,'Remote work mental helath'!$A$2:$T$1001,7,)</f>
        <v>Onsite</v>
      </c>
      <c r="D198">
        <f>VLOOKUP(A198,'Remote work mental helath'!$A$2:$T$1001,6,)</f>
        <v>28</v>
      </c>
      <c r="E198">
        <f>VLOOKUP(A198,'Remote work mental helath'!$A$2:$T$1001,8,)</f>
        <v>46</v>
      </c>
      <c r="F198">
        <f>VLOOKUP(A198,'Remote work mental helath'!$A$2:$T$1001,9,)</f>
        <v>12</v>
      </c>
    </row>
    <row r="199" spans="1:6" x14ac:dyDescent="0.3">
      <c r="A199" t="s">
        <v>248</v>
      </c>
      <c r="B199" t="str">
        <f>VLOOKUP(A199,'Remote work mental helath'!$A$2:$T$1001,5,)</f>
        <v>Manufacturing</v>
      </c>
      <c r="C199" t="str">
        <f>VLOOKUP(A199,'Remote work mental helath'!$A$2:$T$1001,7,)</f>
        <v>Hybrid</v>
      </c>
      <c r="D199">
        <f>VLOOKUP(A199,'Remote work mental helath'!$A$2:$T$1001,6,)</f>
        <v>13</v>
      </c>
      <c r="E199">
        <f>VLOOKUP(A199,'Remote work mental helath'!$A$2:$T$1001,8,)</f>
        <v>40</v>
      </c>
      <c r="F199">
        <f>VLOOKUP(A199,'Remote work mental helath'!$A$2:$T$1001,9,)</f>
        <v>2</v>
      </c>
    </row>
    <row r="200" spans="1:6" x14ac:dyDescent="0.3">
      <c r="A200" t="s">
        <v>249</v>
      </c>
      <c r="B200" t="str">
        <f>VLOOKUP(A200,'Remote work mental helath'!$A$2:$T$1001,5,)</f>
        <v>Retail</v>
      </c>
      <c r="C200" t="str">
        <f>VLOOKUP(A200,'Remote work mental helath'!$A$2:$T$1001,7,)</f>
        <v>Remote</v>
      </c>
      <c r="D200">
        <f>VLOOKUP(A200,'Remote work mental helath'!$A$2:$T$1001,6,)</f>
        <v>7</v>
      </c>
      <c r="E200">
        <f>VLOOKUP(A200,'Remote work mental helath'!$A$2:$T$1001,8,)</f>
        <v>47</v>
      </c>
      <c r="F200">
        <f>VLOOKUP(A200,'Remote work mental helath'!$A$2:$T$1001,9,)</f>
        <v>0</v>
      </c>
    </row>
    <row r="201" spans="1:6" x14ac:dyDescent="0.3">
      <c r="A201" t="s">
        <v>250</v>
      </c>
      <c r="B201" t="str">
        <f>VLOOKUP(A201,'Remote work mental helath'!$A$2:$T$1001,5,)</f>
        <v>Finance</v>
      </c>
      <c r="C201" t="str">
        <f>VLOOKUP(A201,'Remote work mental helath'!$A$2:$T$1001,7,)</f>
        <v>Remote</v>
      </c>
      <c r="D201">
        <f>VLOOKUP(A201,'Remote work mental helath'!$A$2:$T$1001,6,)</f>
        <v>3</v>
      </c>
      <c r="E201">
        <f>VLOOKUP(A201,'Remote work mental helath'!$A$2:$T$1001,8,)</f>
        <v>53</v>
      </c>
      <c r="F201">
        <f>VLOOKUP(A201,'Remote work mental helath'!$A$2:$T$1001,9,)</f>
        <v>7</v>
      </c>
    </row>
    <row r="202" spans="1:6" x14ac:dyDescent="0.3">
      <c r="A202" t="s">
        <v>251</v>
      </c>
      <c r="B202" t="str">
        <f>VLOOKUP(A202,'Remote work mental helath'!$A$2:$T$1001,5,)</f>
        <v>Education</v>
      </c>
      <c r="C202" t="str">
        <f>VLOOKUP(A202,'Remote work mental helath'!$A$2:$T$1001,7,)</f>
        <v>Hybrid</v>
      </c>
      <c r="D202">
        <f>VLOOKUP(A202,'Remote work mental helath'!$A$2:$T$1001,6,)</f>
        <v>3</v>
      </c>
      <c r="E202">
        <f>VLOOKUP(A202,'Remote work mental helath'!$A$2:$T$1001,8,)</f>
        <v>55</v>
      </c>
      <c r="F202">
        <f>VLOOKUP(A202,'Remote work mental helath'!$A$2:$T$1001,9,)</f>
        <v>14</v>
      </c>
    </row>
    <row r="203" spans="1:6" x14ac:dyDescent="0.3">
      <c r="A203" t="s">
        <v>252</v>
      </c>
      <c r="B203" t="str">
        <f>VLOOKUP(A203,'Remote work mental helath'!$A$2:$T$1001,5,)</f>
        <v>Retail</v>
      </c>
      <c r="C203" t="str">
        <f>VLOOKUP(A203,'Remote work mental helath'!$A$2:$T$1001,7,)</f>
        <v>Remote</v>
      </c>
      <c r="D203">
        <f>VLOOKUP(A203,'Remote work mental helath'!$A$2:$T$1001,6,)</f>
        <v>2</v>
      </c>
      <c r="E203">
        <f>VLOOKUP(A203,'Remote work mental helath'!$A$2:$T$1001,8,)</f>
        <v>40</v>
      </c>
      <c r="F203">
        <f>VLOOKUP(A203,'Remote work mental helath'!$A$2:$T$1001,9,)</f>
        <v>1</v>
      </c>
    </row>
    <row r="204" spans="1:6" x14ac:dyDescent="0.3">
      <c r="A204" t="s">
        <v>253</v>
      </c>
      <c r="B204" t="str">
        <f>VLOOKUP(A204,'Remote work mental helath'!$A$2:$T$1001,5,)</f>
        <v>IT</v>
      </c>
      <c r="C204" t="str">
        <f>VLOOKUP(A204,'Remote work mental helath'!$A$2:$T$1001,7,)</f>
        <v>Hybrid</v>
      </c>
      <c r="D204">
        <f>VLOOKUP(A204,'Remote work mental helath'!$A$2:$T$1001,6,)</f>
        <v>32</v>
      </c>
      <c r="E204">
        <f>VLOOKUP(A204,'Remote work mental helath'!$A$2:$T$1001,8,)</f>
        <v>28</v>
      </c>
      <c r="F204">
        <f>VLOOKUP(A204,'Remote work mental helath'!$A$2:$T$1001,9,)</f>
        <v>8</v>
      </c>
    </row>
    <row r="205" spans="1:6" x14ac:dyDescent="0.3">
      <c r="A205" t="s">
        <v>254</v>
      </c>
      <c r="B205" t="str">
        <f>VLOOKUP(A205,'Remote work mental helath'!$A$2:$T$1001,5,)</f>
        <v>Consulting</v>
      </c>
      <c r="C205" t="str">
        <f>VLOOKUP(A205,'Remote work mental helath'!$A$2:$T$1001,7,)</f>
        <v>Hybrid</v>
      </c>
      <c r="D205">
        <f>VLOOKUP(A205,'Remote work mental helath'!$A$2:$T$1001,6,)</f>
        <v>18</v>
      </c>
      <c r="E205">
        <f>VLOOKUP(A205,'Remote work mental helath'!$A$2:$T$1001,8,)</f>
        <v>39</v>
      </c>
      <c r="F205">
        <f>VLOOKUP(A205,'Remote work mental helath'!$A$2:$T$1001,9,)</f>
        <v>14</v>
      </c>
    </row>
    <row r="206" spans="1:6" x14ac:dyDescent="0.3">
      <c r="A206" t="s">
        <v>255</v>
      </c>
      <c r="B206" t="str">
        <f>VLOOKUP(A206,'Remote work mental helath'!$A$2:$T$1001,5,)</f>
        <v>IT</v>
      </c>
      <c r="C206" t="str">
        <f>VLOOKUP(A206,'Remote work mental helath'!$A$2:$T$1001,7,)</f>
        <v>Onsite</v>
      </c>
      <c r="D206">
        <f>VLOOKUP(A206,'Remote work mental helath'!$A$2:$T$1001,6,)</f>
        <v>14</v>
      </c>
      <c r="E206">
        <f>VLOOKUP(A206,'Remote work mental helath'!$A$2:$T$1001,8,)</f>
        <v>41</v>
      </c>
      <c r="F206">
        <f>VLOOKUP(A206,'Remote work mental helath'!$A$2:$T$1001,9,)</f>
        <v>5</v>
      </c>
    </row>
    <row r="207" spans="1:6" x14ac:dyDescent="0.3">
      <c r="A207" t="s">
        <v>256</v>
      </c>
      <c r="B207" t="str">
        <f>VLOOKUP(A207,'Remote work mental helath'!$A$2:$T$1001,5,)</f>
        <v>Finance</v>
      </c>
      <c r="C207" t="str">
        <f>VLOOKUP(A207,'Remote work mental helath'!$A$2:$T$1001,7,)</f>
        <v>Onsite</v>
      </c>
      <c r="D207">
        <f>VLOOKUP(A207,'Remote work mental helath'!$A$2:$T$1001,6,)</f>
        <v>5</v>
      </c>
      <c r="E207">
        <f>VLOOKUP(A207,'Remote work mental helath'!$A$2:$T$1001,8,)</f>
        <v>21</v>
      </c>
      <c r="F207">
        <f>VLOOKUP(A207,'Remote work mental helath'!$A$2:$T$1001,9,)</f>
        <v>3</v>
      </c>
    </row>
    <row r="208" spans="1:6" x14ac:dyDescent="0.3">
      <c r="A208" t="s">
        <v>257</v>
      </c>
      <c r="B208" t="str">
        <f>VLOOKUP(A208,'Remote work mental helath'!$A$2:$T$1001,5,)</f>
        <v>IT</v>
      </c>
      <c r="C208" t="str">
        <f>VLOOKUP(A208,'Remote work mental helath'!$A$2:$T$1001,7,)</f>
        <v>Onsite</v>
      </c>
      <c r="D208">
        <f>VLOOKUP(A208,'Remote work mental helath'!$A$2:$T$1001,6,)</f>
        <v>12</v>
      </c>
      <c r="E208">
        <f>VLOOKUP(A208,'Remote work mental helath'!$A$2:$T$1001,8,)</f>
        <v>34</v>
      </c>
      <c r="F208">
        <f>VLOOKUP(A208,'Remote work mental helath'!$A$2:$T$1001,9,)</f>
        <v>11</v>
      </c>
    </row>
    <row r="209" spans="1:6" x14ac:dyDescent="0.3">
      <c r="A209" t="s">
        <v>258</v>
      </c>
      <c r="B209" t="str">
        <f>VLOOKUP(A209,'Remote work mental helath'!$A$2:$T$1001,5,)</f>
        <v>Retail</v>
      </c>
      <c r="C209" t="str">
        <f>VLOOKUP(A209,'Remote work mental helath'!$A$2:$T$1001,7,)</f>
        <v>Remote</v>
      </c>
      <c r="D209">
        <f>VLOOKUP(A209,'Remote work mental helath'!$A$2:$T$1001,6,)</f>
        <v>2</v>
      </c>
      <c r="E209">
        <f>VLOOKUP(A209,'Remote work mental helath'!$A$2:$T$1001,8,)</f>
        <v>36</v>
      </c>
      <c r="F209">
        <f>VLOOKUP(A209,'Remote work mental helath'!$A$2:$T$1001,9,)</f>
        <v>14</v>
      </c>
    </row>
    <row r="210" spans="1:6" x14ac:dyDescent="0.3">
      <c r="A210" t="s">
        <v>259</v>
      </c>
      <c r="B210" t="str">
        <f>VLOOKUP(A210,'Remote work mental helath'!$A$2:$T$1001,5,)</f>
        <v>Manufacturing</v>
      </c>
      <c r="C210" t="str">
        <f>VLOOKUP(A210,'Remote work mental helath'!$A$2:$T$1001,7,)</f>
        <v>Remote</v>
      </c>
      <c r="D210">
        <f>VLOOKUP(A210,'Remote work mental helath'!$A$2:$T$1001,6,)</f>
        <v>19</v>
      </c>
      <c r="E210">
        <f>VLOOKUP(A210,'Remote work mental helath'!$A$2:$T$1001,8,)</f>
        <v>32</v>
      </c>
      <c r="F210">
        <f>VLOOKUP(A210,'Remote work mental helath'!$A$2:$T$1001,9,)</f>
        <v>2</v>
      </c>
    </row>
    <row r="211" spans="1:6" x14ac:dyDescent="0.3">
      <c r="A211" t="s">
        <v>260</v>
      </c>
      <c r="B211" t="str">
        <f>VLOOKUP(A211,'Remote work mental helath'!$A$2:$T$1001,5,)</f>
        <v>Consulting</v>
      </c>
      <c r="C211" t="str">
        <f>VLOOKUP(A211,'Remote work mental helath'!$A$2:$T$1001,7,)</f>
        <v>Hybrid</v>
      </c>
      <c r="D211">
        <f>VLOOKUP(A211,'Remote work mental helath'!$A$2:$T$1001,6,)</f>
        <v>7</v>
      </c>
      <c r="E211">
        <f>VLOOKUP(A211,'Remote work mental helath'!$A$2:$T$1001,8,)</f>
        <v>21</v>
      </c>
      <c r="F211">
        <f>VLOOKUP(A211,'Remote work mental helath'!$A$2:$T$1001,9,)</f>
        <v>8</v>
      </c>
    </row>
    <row r="212" spans="1:6" x14ac:dyDescent="0.3">
      <c r="A212" t="s">
        <v>261</v>
      </c>
      <c r="B212" t="str">
        <f>VLOOKUP(A212,'Remote work mental helath'!$A$2:$T$1001,5,)</f>
        <v>Manufacturing</v>
      </c>
      <c r="C212" t="str">
        <f>VLOOKUP(A212,'Remote work mental helath'!$A$2:$T$1001,7,)</f>
        <v>Onsite</v>
      </c>
      <c r="D212">
        <f>VLOOKUP(A212,'Remote work mental helath'!$A$2:$T$1001,6,)</f>
        <v>31</v>
      </c>
      <c r="E212">
        <f>VLOOKUP(A212,'Remote work mental helath'!$A$2:$T$1001,8,)</f>
        <v>56</v>
      </c>
      <c r="F212">
        <f>VLOOKUP(A212,'Remote work mental helath'!$A$2:$T$1001,9,)</f>
        <v>3</v>
      </c>
    </row>
    <row r="213" spans="1:6" x14ac:dyDescent="0.3">
      <c r="A213" t="s">
        <v>262</v>
      </c>
      <c r="B213" t="str">
        <f>VLOOKUP(A213,'Remote work mental helath'!$A$2:$T$1001,5,)</f>
        <v>Manufacturing</v>
      </c>
      <c r="C213" t="str">
        <f>VLOOKUP(A213,'Remote work mental helath'!$A$2:$T$1001,7,)</f>
        <v>Onsite</v>
      </c>
      <c r="D213">
        <f>VLOOKUP(A213,'Remote work mental helath'!$A$2:$T$1001,6,)</f>
        <v>33</v>
      </c>
      <c r="E213">
        <f>VLOOKUP(A213,'Remote work mental helath'!$A$2:$T$1001,8,)</f>
        <v>58</v>
      </c>
      <c r="F213">
        <f>VLOOKUP(A213,'Remote work mental helath'!$A$2:$T$1001,9,)</f>
        <v>8</v>
      </c>
    </row>
    <row r="214" spans="1:6" x14ac:dyDescent="0.3">
      <c r="A214" t="s">
        <v>263</v>
      </c>
      <c r="B214" t="str">
        <f>VLOOKUP(A214,'Remote work mental helath'!$A$2:$T$1001,5,)</f>
        <v>Manufacturing</v>
      </c>
      <c r="C214" t="str">
        <f>VLOOKUP(A214,'Remote work mental helath'!$A$2:$T$1001,7,)</f>
        <v>Onsite</v>
      </c>
      <c r="D214">
        <f>VLOOKUP(A214,'Remote work mental helath'!$A$2:$T$1001,6,)</f>
        <v>11</v>
      </c>
      <c r="E214">
        <f>VLOOKUP(A214,'Remote work mental helath'!$A$2:$T$1001,8,)</f>
        <v>35</v>
      </c>
      <c r="F214">
        <f>VLOOKUP(A214,'Remote work mental helath'!$A$2:$T$1001,9,)</f>
        <v>8</v>
      </c>
    </row>
    <row r="215" spans="1:6" x14ac:dyDescent="0.3">
      <c r="A215" t="s">
        <v>264</v>
      </c>
      <c r="B215" t="str">
        <f>VLOOKUP(A215,'Remote work mental helath'!$A$2:$T$1001,5,)</f>
        <v>Healthcare</v>
      </c>
      <c r="C215" t="str">
        <f>VLOOKUP(A215,'Remote work mental helath'!$A$2:$T$1001,7,)</f>
        <v>Hybrid</v>
      </c>
      <c r="D215">
        <f>VLOOKUP(A215,'Remote work mental helath'!$A$2:$T$1001,6,)</f>
        <v>22</v>
      </c>
      <c r="E215">
        <f>VLOOKUP(A215,'Remote work mental helath'!$A$2:$T$1001,8,)</f>
        <v>52</v>
      </c>
      <c r="F215">
        <f>VLOOKUP(A215,'Remote work mental helath'!$A$2:$T$1001,9,)</f>
        <v>3</v>
      </c>
    </row>
    <row r="216" spans="1:6" x14ac:dyDescent="0.3">
      <c r="A216" t="s">
        <v>265</v>
      </c>
      <c r="B216" t="str">
        <f>VLOOKUP(A216,'Remote work mental helath'!$A$2:$T$1001,5,)</f>
        <v>Consulting</v>
      </c>
      <c r="C216" t="str">
        <f>VLOOKUP(A216,'Remote work mental helath'!$A$2:$T$1001,7,)</f>
        <v>Remote</v>
      </c>
      <c r="D216">
        <f>VLOOKUP(A216,'Remote work mental helath'!$A$2:$T$1001,6,)</f>
        <v>30</v>
      </c>
      <c r="E216">
        <f>VLOOKUP(A216,'Remote work mental helath'!$A$2:$T$1001,8,)</f>
        <v>33</v>
      </c>
      <c r="F216">
        <f>VLOOKUP(A216,'Remote work mental helath'!$A$2:$T$1001,9,)</f>
        <v>8</v>
      </c>
    </row>
    <row r="217" spans="1:6" x14ac:dyDescent="0.3">
      <c r="A217" t="s">
        <v>266</v>
      </c>
      <c r="B217" t="str">
        <f>VLOOKUP(A217,'Remote work mental helath'!$A$2:$T$1001,5,)</f>
        <v>Manufacturing</v>
      </c>
      <c r="C217" t="str">
        <f>VLOOKUP(A217,'Remote work mental helath'!$A$2:$T$1001,7,)</f>
        <v>Remote</v>
      </c>
      <c r="D217">
        <f>VLOOKUP(A217,'Remote work mental helath'!$A$2:$T$1001,6,)</f>
        <v>22</v>
      </c>
      <c r="E217">
        <f>VLOOKUP(A217,'Remote work mental helath'!$A$2:$T$1001,8,)</f>
        <v>47</v>
      </c>
      <c r="F217">
        <f>VLOOKUP(A217,'Remote work mental helath'!$A$2:$T$1001,9,)</f>
        <v>9</v>
      </c>
    </row>
    <row r="218" spans="1:6" x14ac:dyDescent="0.3">
      <c r="A218" t="s">
        <v>267</v>
      </c>
      <c r="B218" t="str">
        <f>VLOOKUP(A218,'Remote work mental helath'!$A$2:$T$1001,5,)</f>
        <v>Education</v>
      </c>
      <c r="C218" t="str">
        <f>VLOOKUP(A218,'Remote work mental helath'!$A$2:$T$1001,7,)</f>
        <v>Onsite</v>
      </c>
      <c r="D218">
        <f>VLOOKUP(A218,'Remote work mental helath'!$A$2:$T$1001,6,)</f>
        <v>11</v>
      </c>
      <c r="E218">
        <f>VLOOKUP(A218,'Remote work mental helath'!$A$2:$T$1001,8,)</f>
        <v>56</v>
      </c>
      <c r="F218">
        <f>VLOOKUP(A218,'Remote work mental helath'!$A$2:$T$1001,9,)</f>
        <v>13</v>
      </c>
    </row>
    <row r="219" spans="1:6" x14ac:dyDescent="0.3">
      <c r="A219" t="s">
        <v>268</v>
      </c>
      <c r="B219" t="str">
        <f>VLOOKUP(A219,'Remote work mental helath'!$A$2:$T$1001,5,)</f>
        <v>Education</v>
      </c>
      <c r="C219" t="str">
        <f>VLOOKUP(A219,'Remote work mental helath'!$A$2:$T$1001,7,)</f>
        <v>Onsite</v>
      </c>
      <c r="D219">
        <f>VLOOKUP(A219,'Remote work mental helath'!$A$2:$T$1001,6,)</f>
        <v>35</v>
      </c>
      <c r="E219">
        <f>VLOOKUP(A219,'Remote work mental helath'!$A$2:$T$1001,8,)</f>
        <v>33</v>
      </c>
      <c r="F219">
        <f>VLOOKUP(A219,'Remote work mental helath'!$A$2:$T$1001,9,)</f>
        <v>4</v>
      </c>
    </row>
    <row r="220" spans="1:6" x14ac:dyDescent="0.3">
      <c r="A220" t="s">
        <v>269</v>
      </c>
      <c r="B220" t="str">
        <f>VLOOKUP(A220,'Remote work mental helath'!$A$2:$T$1001,5,)</f>
        <v>Education</v>
      </c>
      <c r="C220" t="str">
        <f>VLOOKUP(A220,'Remote work mental helath'!$A$2:$T$1001,7,)</f>
        <v>Remote</v>
      </c>
      <c r="D220">
        <f>VLOOKUP(A220,'Remote work mental helath'!$A$2:$T$1001,6,)</f>
        <v>5</v>
      </c>
      <c r="E220">
        <f>VLOOKUP(A220,'Remote work mental helath'!$A$2:$T$1001,8,)</f>
        <v>60</v>
      </c>
      <c r="F220">
        <f>VLOOKUP(A220,'Remote work mental helath'!$A$2:$T$1001,9,)</f>
        <v>9</v>
      </c>
    </row>
    <row r="221" spans="1:6" x14ac:dyDescent="0.3">
      <c r="A221" t="s">
        <v>270</v>
      </c>
      <c r="B221" t="str">
        <f>VLOOKUP(A221,'Remote work mental helath'!$A$2:$T$1001,5,)</f>
        <v>Manufacturing</v>
      </c>
      <c r="C221" t="str">
        <f>VLOOKUP(A221,'Remote work mental helath'!$A$2:$T$1001,7,)</f>
        <v>Hybrid</v>
      </c>
      <c r="D221">
        <f>VLOOKUP(A221,'Remote work mental helath'!$A$2:$T$1001,6,)</f>
        <v>23</v>
      </c>
      <c r="E221">
        <f>VLOOKUP(A221,'Remote work mental helath'!$A$2:$T$1001,8,)</f>
        <v>32</v>
      </c>
      <c r="F221">
        <f>VLOOKUP(A221,'Remote work mental helath'!$A$2:$T$1001,9,)</f>
        <v>5</v>
      </c>
    </row>
    <row r="222" spans="1:6" x14ac:dyDescent="0.3">
      <c r="A222" t="s">
        <v>271</v>
      </c>
      <c r="B222" t="str">
        <f>VLOOKUP(A222,'Remote work mental helath'!$A$2:$T$1001,5,)</f>
        <v>Retail</v>
      </c>
      <c r="C222" t="str">
        <f>VLOOKUP(A222,'Remote work mental helath'!$A$2:$T$1001,7,)</f>
        <v>Hybrid</v>
      </c>
      <c r="D222">
        <f>VLOOKUP(A222,'Remote work mental helath'!$A$2:$T$1001,6,)</f>
        <v>18</v>
      </c>
      <c r="E222">
        <f>VLOOKUP(A222,'Remote work mental helath'!$A$2:$T$1001,8,)</f>
        <v>48</v>
      </c>
      <c r="F222">
        <f>VLOOKUP(A222,'Remote work mental helath'!$A$2:$T$1001,9,)</f>
        <v>9</v>
      </c>
    </row>
    <row r="223" spans="1:6" x14ac:dyDescent="0.3">
      <c r="A223" t="s">
        <v>272</v>
      </c>
      <c r="B223" t="str">
        <f>VLOOKUP(A223,'Remote work mental helath'!$A$2:$T$1001,5,)</f>
        <v>IT</v>
      </c>
      <c r="C223" t="str">
        <f>VLOOKUP(A223,'Remote work mental helath'!$A$2:$T$1001,7,)</f>
        <v>Hybrid</v>
      </c>
      <c r="D223">
        <f>VLOOKUP(A223,'Remote work mental helath'!$A$2:$T$1001,6,)</f>
        <v>20</v>
      </c>
      <c r="E223">
        <f>VLOOKUP(A223,'Remote work mental helath'!$A$2:$T$1001,8,)</f>
        <v>39</v>
      </c>
      <c r="F223">
        <f>VLOOKUP(A223,'Remote work mental helath'!$A$2:$T$1001,9,)</f>
        <v>6</v>
      </c>
    </row>
    <row r="224" spans="1:6" x14ac:dyDescent="0.3">
      <c r="A224" t="s">
        <v>273</v>
      </c>
      <c r="B224" t="str">
        <f>VLOOKUP(A224,'Remote work mental helath'!$A$2:$T$1001,5,)</f>
        <v>Consulting</v>
      </c>
      <c r="C224" t="str">
        <f>VLOOKUP(A224,'Remote work mental helath'!$A$2:$T$1001,7,)</f>
        <v>Onsite</v>
      </c>
      <c r="D224">
        <f>VLOOKUP(A224,'Remote work mental helath'!$A$2:$T$1001,6,)</f>
        <v>6</v>
      </c>
      <c r="E224">
        <f>VLOOKUP(A224,'Remote work mental helath'!$A$2:$T$1001,8,)</f>
        <v>23</v>
      </c>
      <c r="F224">
        <f>VLOOKUP(A224,'Remote work mental helath'!$A$2:$T$1001,9,)</f>
        <v>6</v>
      </c>
    </row>
    <row r="225" spans="1:6" x14ac:dyDescent="0.3">
      <c r="A225" t="s">
        <v>274</v>
      </c>
      <c r="B225" t="str">
        <f>VLOOKUP(A225,'Remote work mental helath'!$A$2:$T$1001,5,)</f>
        <v>Retail</v>
      </c>
      <c r="C225" t="str">
        <f>VLOOKUP(A225,'Remote work mental helath'!$A$2:$T$1001,7,)</f>
        <v>Hybrid</v>
      </c>
      <c r="D225">
        <f>VLOOKUP(A225,'Remote work mental helath'!$A$2:$T$1001,6,)</f>
        <v>29</v>
      </c>
      <c r="E225">
        <f>VLOOKUP(A225,'Remote work mental helath'!$A$2:$T$1001,8,)</f>
        <v>38</v>
      </c>
      <c r="F225">
        <f>VLOOKUP(A225,'Remote work mental helath'!$A$2:$T$1001,9,)</f>
        <v>3</v>
      </c>
    </row>
    <row r="226" spans="1:6" x14ac:dyDescent="0.3">
      <c r="A226" t="s">
        <v>275</v>
      </c>
      <c r="B226" t="str">
        <f>VLOOKUP(A226,'Remote work mental helath'!$A$2:$T$1001,5,)</f>
        <v>Manufacturing</v>
      </c>
      <c r="C226" t="str">
        <f>VLOOKUP(A226,'Remote work mental helath'!$A$2:$T$1001,7,)</f>
        <v>Remote</v>
      </c>
      <c r="D226">
        <f>VLOOKUP(A226,'Remote work mental helath'!$A$2:$T$1001,6,)</f>
        <v>1</v>
      </c>
      <c r="E226">
        <f>VLOOKUP(A226,'Remote work mental helath'!$A$2:$T$1001,8,)</f>
        <v>30</v>
      </c>
      <c r="F226">
        <f>VLOOKUP(A226,'Remote work mental helath'!$A$2:$T$1001,9,)</f>
        <v>5</v>
      </c>
    </row>
    <row r="227" spans="1:6" x14ac:dyDescent="0.3">
      <c r="A227" t="s">
        <v>276</v>
      </c>
      <c r="B227" t="str">
        <f>VLOOKUP(A227,'Remote work mental helath'!$A$2:$T$1001,5,)</f>
        <v>Retail</v>
      </c>
      <c r="C227" t="str">
        <f>VLOOKUP(A227,'Remote work mental helath'!$A$2:$T$1001,7,)</f>
        <v>Onsite</v>
      </c>
      <c r="D227">
        <f>VLOOKUP(A227,'Remote work mental helath'!$A$2:$T$1001,6,)</f>
        <v>4</v>
      </c>
      <c r="E227">
        <f>VLOOKUP(A227,'Remote work mental helath'!$A$2:$T$1001,8,)</f>
        <v>35</v>
      </c>
      <c r="F227">
        <f>VLOOKUP(A227,'Remote work mental helath'!$A$2:$T$1001,9,)</f>
        <v>3</v>
      </c>
    </row>
    <row r="228" spans="1:6" x14ac:dyDescent="0.3">
      <c r="A228" t="s">
        <v>277</v>
      </c>
      <c r="B228" t="str">
        <f>VLOOKUP(A228,'Remote work mental helath'!$A$2:$T$1001,5,)</f>
        <v>Healthcare</v>
      </c>
      <c r="C228" t="str">
        <f>VLOOKUP(A228,'Remote work mental helath'!$A$2:$T$1001,7,)</f>
        <v>Remote</v>
      </c>
      <c r="D228">
        <f>VLOOKUP(A228,'Remote work mental helath'!$A$2:$T$1001,6,)</f>
        <v>6</v>
      </c>
      <c r="E228">
        <f>VLOOKUP(A228,'Remote work mental helath'!$A$2:$T$1001,8,)</f>
        <v>22</v>
      </c>
      <c r="F228">
        <f>VLOOKUP(A228,'Remote work mental helath'!$A$2:$T$1001,9,)</f>
        <v>0</v>
      </c>
    </row>
    <row r="229" spans="1:6" x14ac:dyDescent="0.3">
      <c r="A229" t="s">
        <v>278</v>
      </c>
      <c r="B229" t="str">
        <f>VLOOKUP(A229,'Remote work mental helath'!$A$2:$T$1001,5,)</f>
        <v>IT</v>
      </c>
      <c r="C229" t="str">
        <f>VLOOKUP(A229,'Remote work mental helath'!$A$2:$T$1001,7,)</f>
        <v>Onsite</v>
      </c>
      <c r="D229">
        <f>VLOOKUP(A229,'Remote work mental helath'!$A$2:$T$1001,6,)</f>
        <v>8</v>
      </c>
      <c r="E229">
        <f>VLOOKUP(A229,'Remote work mental helath'!$A$2:$T$1001,8,)</f>
        <v>28</v>
      </c>
      <c r="F229">
        <f>VLOOKUP(A229,'Remote work mental helath'!$A$2:$T$1001,9,)</f>
        <v>15</v>
      </c>
    </row>
    <row r="230" spans="1:6" x14ac:dyDescent="0.3">
      <c r="A230" t="s">
        <v>279</v>
      </c>
      <c r="B230" t="str">
        <f>VLOOKUP(A230,'Remote work mental helath'!$A$2:$T$1001,5,)</f>
        <v>Consulting</v>
      </c>
      <c r="C230" t="str">
        <f>VLOOKUP(A230,'Remote work mental helath'!$A$2:$T$1001,7,)</f>
        <v>Onsite</v>
      </c>
      <c r="D230">
        <f>VLOOKUP(A230,'Remote work mental helath'!$A$2:$T$1001,6,)</f>
        <v>32</v>
      </c>
      <c r="E230">
        <f>VLOOKUP(A230,'Remote work mental helath'!$A$2:$T$1001,8,)</f>
        <v>57</v>
      </c>
      <c r="F230">
        <f>VLOOKUP(A230,'Remote work mental helath'!$A$2:$T$1001,9,)</f>
        <v>4</v>
      </c>
    </row>
    <row r="231" spans="1:6" x14ac:dyDescent="0.3">
      <c r="A231" t="s">
        <v>280</v>
      </c>
      <c r="B231" t="str">
        <f>VLOOKUP(A231,'Remote work mental helath'!$A$2:$T$1001,5,)</f>
        <v>Manufacturing</v>
      </c>
      <c r="C231" t="str">
        <f>VLOOKUP(A231,'Remote work mental helath'!$A$2:$T$1001,7,)</f>
        <v>Hybrid</v>
      </c>
      <c r="D231">
        <f>VLOOKUP(A231,'Remote work mental helath'!$A$2:$T$1001,6,)</f>
        <v>10</v>
      </c>
      <c r="E231">
        <f>VLOOKUP(A231,'Remote work mental helath'!$A$2:$T$1001,8,)</f>
        <v>48</v>
      </c>
      <c r="F231">
        <f>VLOOKUP(A231,'Remote work mental helath'!$A$2:$T$1001,9,)</f>
        <v>14</v>
      </c>
    </row>
    <row r="232" spans="1:6" x14ac:dyDescent="0.3">
      <c r="A232" t="s">
        <v>281</v>
      </c>
      <c r="B232" t="str">
        <f>VLOOKUP(A232,'Remote work mental helath'!$A$2:$T$1001,5,)</f>
        <v>Retail</v>
      </c>
      <c r="C232" t="str">
        <f>VLOOKUP(A232,'Remote work mental helath'!$A$2:$T$1001,7,)</f>
        <v>Onsite</v>
      </c>
      <c r="D232">
        <f>VLOOKUP(A232,'Remote work mental helath'!$A$2:$T$1001,6,)</f>
        <v>7</v>
      </c>
      <c r="E232">
        <f>VLOOKUP(A232,'Remote work mental helath'!$A$2:$T$1001,8,)</f>
        <v>45</v>
      </c>
      <c r="F232">
        <f>VLOOKUP(A232,'Remote work mental helath'!$A$2:$T$1001,9,)</f>
        <v>14</v>
      </c>
    </row>
    <row r="233" spans="1:6" x14ac:dyDescent="0.3">
      <c r="A233" t="s">
        <v>282</v>
      </c>
      <c r="B233" t="str">
        <f>VLOOKUP(A233,'Remote work mental helath'!$A$2:$T$1001,5,)</f>
        <v>Healthcare</v>
      </c>
      <c r="C233" t="str">
        <f>VLOOKUP(A233,'Remote work mental helath'!$A$2:$T$1001,7,)</f>
        <v>Onsite</v>
      </c>
      <c r="D233">
        <f>VLOOKUP(A233,'Remote work mental helath'!$A$2:$T$1001,6,)</f>
        <v>29</v>
      </c>
      <c r="E233">
        <f>VLOOKUP(A233,'Remote work mental helath'!$A$2:$T$1001,8,)</f>
        <v>34</v>
      </c>
      <c r="F233">
        <f>VLOOKUP(A233,'Remote work mental helath'!$A$2:$T$1001,9,)</f>
        <v>3</v>
      </c>
    </row>
    <row r="234" spans="1:6" x14ac:dyDescent="0.3">
      <c r="A234" t="s">
        <v>283</v>
      </c>
      <c r="B234" t="str">
        <f>VLOOKUP(A234,'Remote work mental helath'!$A$2:$T$1001,5,)</f>
        <v>Manufacturing</v>
      </c>
      <c r="C234" t="str">
        <f>VLOOKUP(A234,'Remote work mental helath'!$A$2:$T$1001,7,)</f>
        <v>Hybrid</v>
      </c>
      <c r="D234">
        <f>VLOOKUP(A234,'Remote work mental helath'!$A$2:$T$1001,6,)</f>
        <v>19</v>
      </c>
      <c r="E234">
        <f>VLOOKUP(A234,'Remote work mental helath'!$A$2:$T$1001,8,)</f>
        <v>59</v>
      </c>
      <c r="F234">
        <f>VLOOKUP(A234,'Remote work mental helath'!$A$2:$T$1001,9,)</f>
        <v>9</v>
      </c>
    </row>
    <row r="235" spans="1:6" x14ac:dyDescent="0.3">
      <c r="A235" t="s">
        <v>284</v>
      </c>
      <c r="B235" t="str">
        <f>VLOOKUP(A235,'Remote work mental helath'!$A$2:$T$1001,5,)</f>
        <v>Consulting</v>
      </c>
      <c r="C235" t="str">
        <f>VLOOKUP(A235,'Remote work mental helath'!$A$2:$T$1001,7,)</f>
        <v>Remote</v>
      </c>
      <c r="D235">
        <f>VLOOKUP(A235,'Remote work mental helath'!$A$2:$T$1001,6,)</f>
        <v>18</v>
      </c>
      <c r="E235">
        <f>VLOOKUP(A235,'Remote work mental helath'!$A$2:$T$1001,8,)</f>
        <v>31</v>
      </c>
      <c r="F235">
        <f>VLOOKUP(A235,'Remote work mental helath'!$A$2:$T$1001,9,)</f>
        <v>6</v>
      </c>
    </row>
    <row r="236" spans="1:6" x14ac:dyDescent="0.3">
      <c r="A236" t="s">
        <v>285</v>
      </c>
      <c r="B236" t="str">
        <f>VLOOKUP(A236,'Remote work mental helath'!$A$2:$T$1001,5,)</f>
        <v>Retail</v>
      </c>
      <c r="C236" t="str">
        <f>VLOOKUP(A236,'Remote work mental helath'!$A$2:$T$1001,7,)</f>
        <v>Onsite</v>
      </c>
      <c r="D236">
        <f>VLOOKUP(A236,'Remote work mental helath'!$A$2:$T$1001,6,)</f>
        <v>9</v>
      </c>
      <c r="E236">
        <f>VLOOKUP(A236,'Remote work mental helath'!$A$2:$T$1001,8,)</f>
        <v>55</v>
      </c>
      <c r="F236">
        <f>VLOOKUP(A236,'Remote work mental helath'!$A$2:$T$1001,9,)</f>
        <v>12</v>
      </c>
    </row>
    <row r="237" spans="1:6" x14ac:dyDescent="0.3">
      <c r="A237" t="s">
        <v>286</v>
      </c>
      <c r="B237" t="str">
        <f>VLOOKUP(A237,'Remote work mental helath'!$A$2:$T$1001,5,)</f>
        <v>Finance</v>
      </c>
      <c r="C237" t="str">
        <f>VLOOKUP(A237,'Remote work mental helath'!$A$2:$T$1001,7,)</f>
        <v>Remote</v>
      </c>
      <c r="D237">
        <f>VLOOKUP(A237,'Remote work mental helath'!$A$2:$T$1001,6,)</f>
        <v>18</v>
      </c>
      <c r="E237">
        <f>VLOOKUP(A237,'Remote work mental helath'!$A$2:$T$1001,8,)</f>
        <v>23</v>
      </c>
      <c r="F237">
        <f>VLOOKUP(A237,'Remote work mental helath'!$A$2:$T$1001,9,)</f>
        <v>11</v>
      </c>
    </row>
    <row r="238" spans="1:6" x14ac:dyDescent="0.3">
      <c r="A238" t="s">
        <v>287</v>
      </c>
      <c r="B238" t="str">
        <f>VLOOKUP(A238,'Remote work mental helath'!$A$2:$T$1001,5,)</f>
        <v>Healthcare</v>
      </c>
      <c r="C238" t="str">
        <f>VLOOKUP(A238,'Remote work mental helath'!$A$2:$T$1001,7,)</f>
        <v>Hybrid</v>
      </c>
      <c r="D238">
        <f>VLOOKUP(A238,'Remote work mental helath'!$A$2:$T$1001,6,)</f>
        <v>33</v>
      </c>
      <c r="E238">
        <f>VLOOKUP(A238,'Remote work mental helath'!$A$2:$T$1001,8,)</f>
        <v>51</v>
      </c>
      <c r="F238">
        <f>VLOOKUP(A238,'Remote work mental helath'!$A$2:$T$1001,9,)</f>
        <v>7</v>
      </c>
    </row>
    <row r="239" spans="1:6" x14ac:dyDescent="0.3">
      <c r="A239" t="s">
        <v>288</v>
      </c>
      <c r="B239" t="str">
        <f>VLOOKUP(A239,'Remote work mental helath'!$A$2:$T$1001,5,)</f>
        <v>Manufacturing</v>
      </c>
      <c r="C239" t="str">
        <f>VLOOKUP(A239,'Remote work mental helath'!$A$2:$T$1001,7,)</f>
        <v>Remote</v>
      </c>
      <c r="D239">
        <f>VLOOKUP(A239,'Remote work mental helath'!$A$2:$T$1001,6,)</f>
        <v>13</v>
      </c>
      <c r="E239">
        <f>VLOOKUP(A239,'Remote work mental helath'!$A$2:$T$1001,8,)</f>
        <v>32</v>
      </c>
      <c r="F239">
        <f>VLOOKUP(A239,'Remote work mental helath'!$A$2:$T$1001,9,)</f>
        <v>11</v>
      </c>
    </row>
    <row r="240" spans="1:6" x14ac:dyDescent="0.3">
      <c r="A240" t="s">
        <v>289</v>
      </c>
      <c r="B240" t="str">
        <f>VLOOKUP(A240,'Remote work mental helath'!$A$2:$T$1001,5,)</f>
        <v>IT</v>
      </c>
      <c r="C240" t="str">
        <f>VLOOKUP(A240,'Remote work mental helath'!$A$2:$T$1001,7,)</f>
        <v>Remote</v>
      </c>
      <c r="D240">
        <f>VLOOKUP(A240,'Remote work mental helath'!$A$2:$T$1001,6,)</f>
        <v>4</v>
      </c>
      <c r="E240">
        <f>VLOOKUP(A240,'Remote work mental helath'!$A$2:$T$1001,8,)</f>
        <v>41</v>
      </c>
      <c r="F240">
        <f>VLOOKUP(A240,'Remote work mental helath'!$A$2:$T$1001,9,)</f>
        <v>14</v>
      </c>
    </row>
    <row r="241" spans="1:6" x14ac:dyDescent="0.3">
      <c r="A241" t="s">
        <v>290</v>
      </c>
      <c r="B241" t="str">
        <f>VLOOKUP(A241,'Remote work mental helath'!$A$2:$T$1001,5,)</f>
        <v>Manufacturing</v>
      </c>
      <c r="C241" t="str">
        <f>VLOOKUP(A241,'Remote work mental helath'!$A$2:$T$1001,7,)</f>
        <v>Hybrid</v>
      </c>
      <c r="D241">
        <f>VLOOKUP(A241,'Remote work mental helath'!$A$2:$T$1001,6,)</f>
        <v>24</v>
      </c>
      <c r="E241">
        <f>VLOOKUP(A241,'Remote work mental helath'!$A$2:$T$1001,8,)</f>
        <v>46</v>
      </c>
      <c r="F241">
        <f>VLOOKUP(A241,'Remote work mental helath'!$A$2:$T$1001,9,)</f>
        <v>10</v>
      </c>
    </row>
    <row r="242" spans="1:6" x14ac:dyDescent="0.3">
      <c r="A242" t="s">
        <v>291</v>
      </c>
      <c r="B242" t="str">
        <f>VLOOKUP(A242,'Remote work mental helath'!$A$2:$T$1001,5,)</f>
        <v>Education</v>
      </c>
      <c r="C242" t="str">
        <f>VLOOKUP(A242,'Remote work mental helath'!$A$2:$T$1001,7,)</f>
        <v>Onsite</v>
      </c>
      <c r="D242">
        <f>VLOOKUP(A242,'Remote work mental helath'!$A$2:$T$1001,6,)</f>
        <v>6</v>
      </c>
      <c r="E242">
        <f>VLOOKUP(A242,'Remote work mental helath'!$A$2:$T$1001,8,)</f>
        <v>58</v>
      </c>
      <c r="F242">
        <f>VLOOKUP(A242,'Remote work mental helath'!$A$2:$T$1001,9,)</f>
        <v>15</v>
      </c>
    </row>
    <row r="243" spans="1:6" x14ac:dyDescent="0.3">
      <c r="A243" t="s">
        <v>292</v>
      </c>
      <c r="B243" t="str">
        <f>VLOOKUP(A243,'Remote work mental helath'!$A$2:$T$1001,5,)</f>
        <v>Manufacturing</v>
      </c>
      <c r="C243" t="str">
        <f>VLOOKUP(A243,'Remote work mental helath'!$A$2:$T$1001,7,)</f>
        <v>Onsite</v>
      </c>
      <c r="D243">
        <f>VLOOKUP(A243,'Remote work mental helath'!$A$2:$T$1001,6,)</f>
        <v>2</v>
      </c>
      <c r="E243">
        <f>VLOOKUP(A243,'Remote work mental helath'!$A$2:$T$1001,8,)</f>
        <v>59</v>
      </c>
      <c r="F243">
        <f>VLOOKUP(A243,'Remote work mental helath'!$A$2:$T$1001,9,)</f>
        <v>13</v>
      </c>
    </row>
    <row r="244" spans="1:6" x14ac:dyDescent="0.3">
      <c r="A244" t="s">
        <v>293</v>
      </c>
      <c r="B244" t="str">
        <f>VLOOKUP(A244,'Remote work mental helath'!$A$2:$T$1001,5,)</f>
        <v>Education</v>
      </c>
      <c r="C244" t="str">
        <f>VLOOKUP(A244,'Remote work mental helath'!$A$2:$T$1001,7,)</f>
        <v>Remote</v>
      </c>
      <c r="D244">
        <f>VLOOKUP(A244,'Remote work mental helath'!$A$2:$T$1001,6,)</f>
        <v>10</v>
      </c>
      <c r="E244">
        <f>VLOOKUP(A244,'Remote work mental helath'!$A$2:$T$1001,8,)</f>
        <v>40</v>
      </c>
      <c r="F244">
        <f>VLOOKUP(A244,'Remote work mental helath'!$A$2:$T$1001,9,)</f>
        <v>1</v>
      </c>
    </row>
    <row r="245" spans="1:6" x14ac:dyDescent="0.3">
      <c r="A245" t="s">
        <v>294</v>
      </c>
      <c r="B245" t="str">
        <f>VLOOKUP(A245,'Remote work mental helath'!$A$2:$T$1001,5,)</f>
        <v>Retail</v>
      </c>
      <c r="C245" t="str">
        <f>VLOOKUP(A245,'Remote work mental helath'!$A$2:$T$1001,7,)</f>
        <v>Remote</v>
      </c>
      <c r="D245">
        <f>VLOOKUP(A245,'Remote work mental helath'!$A$2:$T$1001,6,)</f>
        <v>32</v>
      </c>
      <c r="E245">
        <f>VLOOKUP(A245,'Remote work mental helath'!$A$2:$T$1001,8,)</f>
        <v>56</v>
      </c>
      <c r="F245">
        <f>VLOOKUP(A245,'Remote work mental helath'!$A$2:$T$1001,9,)</f>
        <v>3</v>
      </c>
    </row>
    <row r="246" spans="1:6" x14ac:dyDescent="0.3">
      <c r="A246" t="s">
        <v>295</v>
      </c>
      <c r="B246" t="str">
        <f>VLOOKUP(A246,'Remote work mental helath'!$A$2:$T$1001,5,)</f>
        <v>Finance</v>
      </c>
      <c r="C246" t="str">
        <f>VLOOKUP(A246,'Remote work mental helath'!$A$2:$T$1001,7,)</f>
        <v>Onsite</v>
      </c>
      <c r="D246">
        <f>VLOOKUP(A246,'Remote work mental helath'!$A$2:$T$1001,6,)</f>
        <v>17</v>
      </c>
      <c r="E246">
        <f>VLOOKUP(A246,'Remote work mental helath'!$A$2:$T$1001,8,)</f>
        <v>47</v>
      </c>
      <c r="F246">
        <f>VLOOKUP(A246,'Remote work mental helath'!$A$2:$T$1001,9,)</f>
        <v>11</v>
      </c>
    </row>
    <row r="247" spans="1:6" x14ac:dyDescent="0.3">
      <c r="A247" t="s">
        <v>296</v>
      </c>
      <c r="B247" t="str">
        <f>VLOOKUP(A247,'Remote work mental helath'!$A$2:$T$1001,5,)</f>
        <v>IT</v>
      </c>
      <c r="C247" t="str">
        <f>VLOOKUP(A247,'Remote work mental helath'!$A$2:$T$1001,7,)</f>
        <v>Hybrid</v>
      </c>
      <c r="D247">
        <f>VLOOKUP(A247,'Remote work mental helath'!$A$2:$T$1001,6,)</f>
        <v>25</v>
      </c>
      <c r="E247">
        <f>VLOOKUP(A247,'Remote work mental helath'!$A$2:$T$1001,8,)</f>
        <v>38</v>
      </c>
      <c r="F247">
        <f>VLOOKUP(A247,'Remote work mental helath'!$A$2:$T$1001,9,)</f>
        <v>2</v>
      </c>
    </row>
    <row r="248" spans="1:6" x14ac:dyDescent="0.3">
      <c r="A248" t="s">
        <v>297</v>
      </c>
      <c r="B248" t="str">
        <f>VLOOKUP(A248,'Remote work mental helath'!$A$2:$T$1001,5,)</f>
        <v>Healthcare</v>
      </c>
      <c r="C248" t="str">
        <f>VLOOKUP(A248,'Remote work mental helath'!$A$2:$T$1001,7,)</f>
        <v>Remote</v>
      </c>
      <c r="D248">
        <f>VLOOKUP(A248,'Remote work mental helath'!$A$2:$T$1001,6,)</f>
        <v>25</v>
      </c>
      <c r="E248">
        <f>VLOOKUP(A248,'Remote work mental helath'!$A$2:$T$1001,8,)</f>
        <v>59</v>
      </c>
      <c r="F248">
        <f>VLOOKUP(A248,'Remote work mental helath'!$A$2:$T$1001,9,)</f>
        <v>12</v>
      </c>
    </row>
    <row r="249" spans="1:6" x14ac:dyDescent="0.3">
      <c r="A249" t="s">
        <v>298</v>
      </c>
      <c r="B249" t="str">
        <f>VLOOKUP(A249,'Remote work mental helath'!$A$2:$T$1001,5,)</f>
        <v>Manufacturing</v>
      </c>
      <c r="C249" t="str">
        <f>VLOOKUP(A249,'Remote work mental helath'!$A$2:$T$1001,7,)</f>
        <v>Onsite</v>
      </c>
      <c r="D249">
        <f>VLOOKUP(A249,'Remote work mental helath'!$A$2:$T$1001,6,)</f>
        <v>17</v>
      </c>
      <c r="E249">
        <f>VLOOKUP(A249,'Remote work mental helath'!$A$2:$T$1001,8,)</f>
        <v>47</v>
      </c>
      <c r="F249">
        <f>VLOOKUP(A249,'Remote work mental helath'!$A$2:$T$1001,9,)</f>
        <v>4</v>
      </c>
    </row>
    <row r="250" spans="1:6" x14ac:dyDescent="0.3">
      <c r="A250" t="s">
        <v>299</v>
      </c>
      <c r="B250" t="str">
        <f>VLOOKUP(A250,'Remote work mental helath'!$A$2:$T$1001,5,)</f>
        <v>Manufacturing</v>
      </c>
      <c r="C250" t="str">
        <f>VLOOKUP(A250,'Remote work mental helath'!$A$2:$T$1001,7,)</f>
        <v>Remote</v>
      </c>
      <c r="D250">
        <f>VLOOKUP(A250,'Remote work mental helath'!$A$2:$T$1001,6,)</f>
        <v>17</v>
      </c>
      <c r="E250">
        <f>VLOOKUP(A250,'Remote work mental helath'!$A$2:$T$1001,8,)</f>
        <v>49</v>
      </c>
      <c r="F250">
        <f>VLOOKUP(A250,'Remote work mental helath'!$A$2:$T$1001,9,)</f>
        <v>6</v>
      </c>
    </row>
    <row r="251" spans="1:6" x14ac:dyDescent="0.3">
      <c r="A251" t="s">
        <v>300</v>
      </c>
      <c r="B251" t="str">
        <f>VLOOKUP(A251,'Remote work mental helath'!$A$2:$T$1001,5,)</f>
        <v>Manufacturing</v>
      </c>
      <c r="C251" t="str">
        <f>VLOOKUP(A251,'Remote work mental helath'!$A$2:$T$1001,7,)</f>
        <v>Hybrid</v>
      </c>
      <c r="D251">
        <f>VLOOKUP(A251,'Remote work mental helath'!$A$2:$T$1001,6,)</f>
        <v>18</v>
      </c>
      <c r="E251">
        <f>VLOOKUP(A251,'Remote work mental helath'!$A$2:$T$1001,8,)</f>
        <v>20</v>
      </c>
      <c r="F251">
        <f>VLOOKUP(A251,'Remote work mental helath'!$A$2:$T$1001,9,)</f>
        <v>6</v>
      </c>
    </row>
    <row r="252" spans="1:6" x14ac:dyDescent="0.3">
      <c r="A252" t="s">
        <v>301</v>
      </c>
      <c r="B252" t="str">
        <f>VLOOKUP(A252,'Remote work mental helath'!$A$2:$T$1001,5,)</f>
        <v>Manufacturing</v>
      </c>
      <c r="C252" t="str">
        <f>VLOOKUP(A252,'Remote work mental helath'!$A$2:$T$1001,7,)</f>
        <v>Hybrid</v>
      </c>
      <c r="D252">
        <f>VLOOKUP(A252,'Remote work mental helath'!$A$2:$T$1001,6,)</f>
        <v>26</v>
      </c>
      <c r="E252">
        <f>VLOOKUP(A252,'Remote work mental helath'!$A$2:$T$1001,8,)</f>
        <v>50</v>
      </c>
      <c r="F252">
        <f>VLOOKUP(A252,'Remote work mental helath'!$A$2:$T$1001,9,)</f>
        <v>9</v>
      </c>
    </row>
    <row r="253" spans="1:6" x14ac:dyDescent="0.3">
      <c r="A253" t="s">
        <v>302</v>
      </c>
      <c r="B253" t="str">
        <f>VLOOKUP(A253,'Remote work mental helath'!$A$2:$T$1001,5,)</f>
        <v>Education</v>
      </c>
      <c r="C253" t="str">
        <f>VLOOKUP(A253,'Remote work mental helath'!$A$2:$T$1001,7,)</f>
        <v>Hybrid</v>
      </c>
      <c r="D253">
        <f>VLOOKUP(A253,'Remote work mental helath'!$A$2:$T$1001,6,)</f>
        <v>21</v>
      </c>
      <c r="E253">
        <f>VLOOKUP(A253,'Remote work mental helath'!$A$2:$T$1001,8,)</f>
        <v>32</v>
      </c>
      <c r="F253">
        <f>VLOOKUP(A253,'Remote work mental helath'!$A$2:$T$1001,9,)</f>
        <v>0</v>
      </c>
    </row>
    <row r="254" spans="1:6" x14ac:dyDescent="0.3">
      <c r="A254" t="s">
        <v>303</v>
      </c>
      <c r="B254" t="str">
        <f>VLOOKUP(A254,'Remote work mental helath'!$A$2:$T$1001,5,)</f>
        <v>IT</v>
      </c>
      <c r="C254" t="str">
        <f>VLOOKUP(A254,'Remote work mental helath'!$A$2:$T$1001,7,)</f>
        <v>Hybrid</v>
      </c>
      <c r="D254">
        <f>VLOOKUP(A254,'Remote work mental helath'!$A$2:$T$1001,6,)</f>
        <v>21</v>
      </c>
      <c r="E254">
        <f>VLOOKUP(A254,'Remote work mental helath'!$A$2:$T$1001,8,)</f>
        <v>23</v>
      </c>
      <c r="F254">
        <f>VLOOKUP(A254,'Remote work mental helath'!$A$2:$T$1001,9,)</f>
        <v>8</v>
      </c>
    </row>
    <row r="255" spans="1:6" x14ac:dyDescent="0.3">
      <c r="A255" t="s">
        <v>304</v>
      </c>
      <c r="B255" t="str">
        <f>VLOOKUP(A255,'Remote work mental helath'!$A$2:$T$1001,5,)</f>
        <v>IT</v>
      </c>
      <c r="C255" t="str">
        <f>VLOOKUP(A255,'Remote work mental helath'!$A$2:$T$1001,7,)</f>
        <v>Remote</v>
      </c>
      <c r="D255">
        <f>VLOOKUP(A255,'Remote work mental helath'!$A$2:$T$1001,6,)</f>
        <v>25</v>
      </c>
      <c r="E255">
        <f>VLOOKUP(A255,'Remote work mental helath'!$A$2:$T$1001,8,)</f>
        <v>22</v>
      </c>
      <c r="F255">
        <f>VLOOKUP(A255,'Remote work mental helath'!$A$2:$T$1001,9,)</f>
        <v>13</v>
      </c>
    </row>
    <row r="256" spans="1:6" x14ac:dyDescent="0.3">
      <c r="A256" t="s">
        <v>305</v>
      </c>
      <c r="B256" t="str">
        <f>VLOOKUP(A256,'Remote work mental helath'!$A$2:$T$1001,5,)</f>
        <v>Education</v>
      </c>
      <c r="C256" t="str">
        <f>VLOOKUP(A256,'Remote work mental helath'!$A$2:$T$1001,7,)</f>
        <v>Hybrid</v>
      </c>
      <c r="D256">
        <f>VLOOKUP(A256,'Remote work mental helath'!$A$2:$T$1001,6,)</f>
        <v>4</v>
      </c>
      <c r="E256">
        <f>VLOOKUP(A256,'Remote work mental helath'!$A$2:$T$1001,8,)</f>
        <v>33</v>
      </c>
      <c r="F256">
        <f>VLOOKUP(A256,'Remote work mental helath'!$A$2:$T$1001,9,)</f>
        <v>11</v>
      </c>
    </row>
    <row r="257" spans="1:6" x14ac:dyDescent="0.3">
      <c r="A257" t="s">
        <v>306</v>
      </c>
      <c r="B257" t="str">
        <f>VLOOKUP(A257,'Remote work mental helath'!$A$2:$T$1001,5,)</f>
        <v>Education</v>
      </c>
      <c r="C257" t="str">
        <f>VLOOKUP(A257,'Remote work mental helath'!$A$2:$T$1001,7,)</f>
        <v>Hybrid</v>
      </c>
      <c r="D257">
        <f>VLOOKUP(A257,'Remote work mental helath'!$A$2:$T$1001,6,)</f>
        <v>25</v>
      </c>
      <c r="E257">
        <f>VLOOKUP(A257,'Remote work mental helath'!$A$2:$T$1001,8,)</f>
        <v>32</v>
      </c>
      <c r="F257">
        <f>VLOOKUP(A257,'Remote work mental helath'!$A$2:$T$1001,9,)</f>
        <v>13</v>
      </c>
    </row>
    <row r="258" spans="1:6" x14ac:dyDescent="0.3">
      <c r="A258" t="s">
        <v>307</v>
      </c>
      <c r="B258" t="str">
        <f>VLOOKUP(A258,'Remote work mental helath'!$A$2:$T$1001,5,)</f>
        <v>Retail</v>
      </c>
      <c r="C258" t="str">
        <f>VLOOKUP(A258,'Remote work mental helath'!$A$2:$T$1001,7,)</f>
        <v>Onsite</v>
      </c>
      <c r="D258">
        <f>VLOOKUP(A258,'Remote work mental helath'!$A$2:$T$1001,6,)</f>
        <v>10</v>
      </c>
      <c r="E258">
        <f>VLOOKUP(A258,'Remote work mental helath'!$A$2:$T$1001,8,)</f>
        <v>51</v>
      </c>
      <c r="F258">
        <f>VLOOKUP(A258,'Remote work mental helath'!$A$2:$T$1001,9,)</f>
        <v>0</v>
      </c>
    </row>
    <row r="259" spans="1:6" x14ac:dyDescent="0.3">
      <c r="A259" t="s">
        <v>308</v>
      </c>
      <c r="B259" t="str">
        <f>VLOOKUP(A259,'Remote work mental helath'!$A$2:$T$1001,5,)</f>
        <v>Healthcare</v>
      </c>
      <c r="C259" t="str">
        <f>VLOOKUP(A259,'Remote work mental helath'!$A$2:$T$1001,7,)</f>
        <v>Hybrid</v>
      </c>
      <c r="D259">
        <f>VLOOKUP(A259,'Remote work mental helath'!$A$2:$T$1001,6,)</f>
        <v>34</v>
      </c>
      <c r="E259">
        <f>VLOOKUP(A259,'Remote work mental helath'!$A$2:$T$1001,8,)</f>
        <v>49</v>
      </c>
      <c r="F259">
        <f>VLOOKUP(A259,'Remote work mental helath'!$A$2:$T$1001,9,)</f>
        <v>11</v>
      </c>
    </row>
    <row r="260" spans="1:6" x14ac:dyDescent="0.3">
      <c r="A260" t="s">
        <v>309</v>
      </c>
      <c r="B260" t="str">
        <f>VLOOKUP(A260,'Remote work mental helath'!$A$2:$T$1001,5,)</f>
        <v>Education</v>
      </c>
      <c r="C260" t="str">
        <f>VLOOKUP(A260,'Remote work mental helath'!$A$2:$T$1001,7,)</f>
        <v>Remote</v>
      </c>
      <c r="D260">
        <f>VLOOKUP(A260,'Remote work mental helath'!$A$2:$T$1001,6,)</f>
        <v>9</v>
      </c>
      <c r="E260">
        <f>VLOOKUP(A260,'Remote work mental helath'!$A$2:$T$1001,8,)</f>
        <v>30</v>
      </c>
      <c r="F260">
        <f>VLOOKUP(A260,'Remote work mental helath'!$A$2:$T$1001,9,)</f>
        <v>9</v>
      </c>
    </row>
    <row r="261" spans="1:6" x14ac:dyDescent="0.3">
      <c r="A261" t="s">
        <v>310</v>
      </c>
      <c r="B261" t="str">
        <f>VLOOKUP(A261,'Remote work mental helath'!$A$2:$T$1001,5,)</f>
        <v>Education</v>
      </c>
      <c r="C261" t="str">
        <f>VLOOKUP(A261,'Remote work mental helath'!$A$2:$T$1001,7,)</f>
        <v>Remote</v>
      </c>
      <c r="D261">
        <f>VLOOKUP(A261,'Remote work mental helath'!$A$2:$T$1001,6,)</f>
        <v>11</v>
      </c>
      <c r="E261">
        <f>VLOOKUP(A261,'Remote work mental helath'!$A$2:$T$1001,8,)</f>
        <v>25</v>
      </c>
      <c r="F261">
        <f>VLOOKUP(A261,'Remote work mental helath'!$A$2:$T$1001,9,)</f>
        <v>9</v>
      </c>
    </row>
    <row r="262" spans="1:6" x14ac:dyDescent="0.3">
      <c r="A262" t="s">
        <v>311</v>
      </c>
      <c r="B262" t="str">
        <f>VLOOKUP(A262,'Remote work mental helath'!$A$2:$T$1001,5,)</f>
        <v>Manufacturing</v>
      </c>
      <c r="C262" t="str">
        <f>VLOOKUP(A262,'Remote work mental helath'!$A$2:$T$1001,7,)</f>
        <v>Onsite</v>
      </c>
      <c r="D262">
        <f>VLOOKUP(A262,'Remote work mental helath'!$A$2:$T$1001,6,)</f>
        <v>3</v>
      </c>
      <c r="E262">
        <f>VLOOKUP(A262,'Remote work mental helath'!$A$2:$T$1001,8,)</f>
        <v>40</v>
      </c>
      <c r="F262">
        <f>VLOOKUP(A262,'Remote work mental helath'!$A$2:$T$1001,9,)</f>
        <v>12</v>
      </c>
    </row>
    <row r="263" spans="1:6" x14ac:dyDescent="0.3">
      <c r="A263" t="s">
        <v>312</v>
      </c>
      <c r="B263" t="str">
        <f>VLOOKUP(A263,'Remote work mental helath'!$A$2:$T$1001,5,)</f>
        <v>Finance</v>
      </c>
      <c r="C263" t="str">
        <f>VLOOKUP(A263,'Remote work mental helath'!$A$2:$T$1001,7,)</f>
        <v>Onsite</v>
      </c>
      <c r="D263">
        <f>VLOOKUP(A263,'Remote work mental helath'!$A$2:$T$1001,6,)</f>
        <v>20</v>
      </c>
      <c r="E263">
        <f>VLOOKUP(A263,'Remote work mental helath'!$A$2:$T$1001,8,)</f>
        <v>32</v>
      </c>
      <c r="F263">
        <f>VLOOKUP(A263,'Remote work mental helath'!$A$2:$T$1001,9,)</f>
        <v>13</v>
      </c>
    </row>
    <row r="264" spans="1:6" x14ac:dyDescent="0.3">
      <c r="A264" t="s">
        <v>313</v>
      </c>
      <c r="B264" t="str">
        <f>VLOOKUP(A264,'Remote work mental helath'!$A$2:$T$1001,5,)</f>
        <v>Education</v>
      </c>
      <c r="C264" t="str">
        <f>VLOOKUP(A264,'Remote work mental helath'!$A$2:$T$1001,7,)</f>
        <v>Onsite</v>
      </c>
      <c r="D264">
        <f>VLOOKUP(A264,'Remote work mental helath'!$A$2:$T$1001,6,)</f>
        <v>18</v>
      </c>
      <c r="E264">
        <f>VLOOKUP(A264,'Remote work mental helath'!$A$2:$T$1001,8,)</f>
        <v>20</v>
      </c>
      <c r="F264">
        <f>VLOOKUP(A264,'Remote work mental helath'!$A$2:$T$1001,9,)</f>
        <v>15</v>
      </c>
    </row>
    <row r="265" spans="1:6" x14ac:dyDescent="0.3">
      <c r="A265" t="s">
        <v>314</v>
      </c>
      <c r="B265" t="str">
        <f>VLOOKUP(A265,'Remote work mental helath'!$A$2:$T$1001,5,)</f>
        <v>Retail</v>
      </c>
      <c r="C265" t="str">
        <f>VLOOKUP(A265,'Remote work mental helath'!$A$2:$T$1001,7,)</f>
        <v>Hybrid</v>
      </c>
      <c r="D265">
        <f>VLOOKUP(A265,'Remote work mental helath'!$A$2:$T$1001,6,)</f>
        <v>8</v>
      </c>
      <c r="E265">
        <f>VLOOKUP(A265,'Remote work mental helath'!$A$2:$T$1001,8,)</f>
        <v>35</v>
      </c>
      <c r="F265">
        <f>VLOOKUP(A265,'Remote work mental helath'!$A$2:$T$1001,9,)</f>
        <v>5</v>
      </c>
    </row>
    <row r="266" spans="1:6" x14ac:dyDescent="0.3">
      <c r="A266" t="s">
        <v>315</v>
      </c>
      <c r="B266" t="str">
        <f>VLOOKUP(A266,'Remote work mental helath'!$A$2:$T$1001,5,)</f>
        <v>Manufacturing</v>
      </c>
      <c r="C266" t="str">
        <f>VLOOKUP(A266,'Remote work mental helath'!$A$2:$T$1001,7,)</f>
        <v>Remote</v>
      </c>
      <c r="D266">
        <f>VLOOKUP(A266,'Remote work mental helath'!$A$2:$T$1001,6,)</f>
        <v>32</v>
      </c>
      <c r="E266">
        <f>VLOOKUP(A266,'Remote work mental helath'!$A$2:$T$1001,8,)</f>
        <v>49</v>
      </c>
      <c r="F266">
        <f>VLOOKUP(A266,'Remote work mental helath'!$A$2:$T$1001,9,)</f>
        <v>2</v>
      </c>
    </row>
    <row r="267" spans="1:6" x14ac:dyDescent="0.3">
      <c r="A267" t="s">
        <v>316</v>
      </c>
      <c r="B267" t="str">
        <f>VLOOKUP(A267,'Remote work mental helath'!$A$2:$T$1001,5,)</f>
        <v>Retail</v>
      </c>
      <c r="C267" t="str">
        <f>VLOOKUP(A267,'Remote work mental helath'!$A$2:$T$1001,7,)</f>
        <v>Onsite</v>
      </c>
      <c r="D267">
        <f>VLOOKUP(A267,'Remote work mental helath'!$A$2:$T$1001,6,)</f>
        <v>21</v>
      </c>
      <c r="E267">
        <f>VLOOKUP(A267,'Remote work mental helath'!$A$2:$T$1001,8,)</f>
        <v>34</v>
      </c>
      <c r="F267">
        <f>VLOOKUP(A267,'Remote work mental helath'!$A$2:$T$1001,9,)</f>
        <v>5</v>
      </c>
    </row>
    <row r="268" spans="1:6" x14ac:dyDescent="0.3">
      <c r="A268" t="s">
        <v>317</v>
      </c>
      <c r="B268" t="str">
        <f>VLOOKUP(A268,'Remote work mental helath'!$A$2:$T$1001,5,)</f>
        <v>Manufacturing</v>
      </c>
      <c r="C268" t="str">
        <f>VLOOKUP(A268,'Remote work mental helath'!$A$2:$T$1001,7,)</f>
        <v>Hybrid</v>
      </c>
      <c r="D268">
        <f>VLOOKUP(A268,'Remote work mental helath'!$A$2:$T$1001,6,)</f>
        <v>33</v>
      </c>
      <c r="E268">
        <f>VLOOKUP(A268,'Remote work mental helath'!$A$2:$T$1001,8,)</f>
        <v>58</v>
      </c>
      <c r="F268">
        <f>VLOOKUP(A268,'Remote work mental helath'!$A$2:$T$1001,9,)</f>
        <v>13</v>
      </c>
    </row>
    <row r="269" spans="1:6" x14ac:dyDescent="0.3">
      <c r="A269" t="s">
        <v>318</v>
      </c>
      <c r="B269" t="str">
        <f>VLOOKUP(A269,'Remote work mental helath'!$A$2:$T$1001,5,)</f>
        <v>Consulting</v>
      </c>
      <c r="C269" t="str">
        <f>VLOOKUP(A269,'Remote work mental helath'!$A$2:$T$1001,7,)</f>
        <v>Onsite</v>
      </c>
      <c r="D269">
        <f>VLOOKUP(A269,'Remote work mental helath'!$A$2:$T$1001,6,)</f>
        <v>15</v>
      </c>
      <c r="E269">
        <f>VLOOKUP(A269,'Remote work mental helath'!$A$2:$T$1001,8,)</f>
        <v>26</v>
      </c>
      <c r="F269">
        <f>VLOOKUP(A269,'Remote work mental helath'!$A$2:$T$1001,9,)</f>
        <v>4</v>
      </c>
    </row>
    <row r="270" spans="1:6" x14ac:dyDescent="0.3">
      <c r="A270" t="s">
        <v>319</v>
      </c>
      <c r="B270" t="str">
        <f>VLOOKUP(A270,'Remote work mental helath'!$A$2:$T$1001,5,)</f>
        <v>Retail</v>
      </c>
      <c r="C270" t="str">
        <f>VLOOKUP(A270,'Remote work mental helath'!$A$2:$T$1001,7,)</f>
        <v>Onsite</v>
      </c>
      <c r="D270">
        <f>VLOOKUP(A270,'Remote work mental helath'!$A$2:$T$1001,6,)</f>
        <v>12</v>
      </c>
      <c r="E270">
        <f>VLOOKUP(A270,'Remote work mental helath'!$A$2:$T$1001,8,)</f>
        <v>36</v>
      </c>
      <c r="F270">
        <f>VLOOKUP(A270,'Remote work mental helath'!$A$2:$T$1001,9,)</f>
        <v>7</v>
      </c>
    </row>
    <row r="271" spans="1:6" x14ac:dyDescent="0.3">
      <c r="A271" t="s">
        <v>320</v>
      </c>
      <c r="B271" t="str">
        <f>VLOOKUP(A271,'Remote work mental helath'!$A$2:$T$1001,5,)</f>
        <v>Education</v>
      </c>
      <c r="C271" t="str">
        <f>VLOOKUP(A271,'Remote work mental helath'!$A$2:$T$1001,7,)</f>
        <v>Hybrid</v>
      </c>
      <c r="D271">
        <f>VLOOKUP(A271,'Remote work mental helath'!$A$2:$T$1001,6,)</f>
        <v>32</v>
      </c>
      <c r="E271">
        <f>VLOOKUP(A271,'Remote work mental helath'!$A$2:$T$1001,8,)</f>
        <v>48</v>
      </c>
      <c r="F271">
        <f>VLOOKUP(A271,'Remote work mental helath'!$A$2:$T$1001,9,)</f>
        <v>3</v>
      </c>
    </row>
    <row r="272" spans="1:6" x14ac:dyDescent="0.3">
      <c r="A272" t="s">
        <v>321</v>
      </c>
      <c r="B272" t="str">
        <f>VLOOKUP(A272,'Remote work mental helath'!$A$2:$T$1001,5,)</f>
        <v>Finance</v>
      </c>
      <c r="C272" t="str">
        <f>VLOOKUP(A272,'Remote work mental helath'!$A$2:$T$1001,7,)</f>
        <v>Onsite</v>
      </c>
      <c r="D272">
        <f>VLOOKUP(A272,'Remote work mental helath'!$A$2:$T$1001,6,)</f>
        <v>3</v>
      </c>
      <c r="E272">
        <f>VLOOKUP(A272,'Remote work mental helath'!$A$2:$T$1001,8,)</f>
        <v>57</v>
      </c>
      <c r="F272">
        <f>VLOOKUP(A272,'Remote work mental helath'!$A$2:$T$1001,9,)</f>
        <v>5</v>
      </c>
    </row>
    <row r="273" spans="1:6" x14ac:dyDescent="0.3">
      <c r="A273" t="s">
        <v>322</v>
      </c>
      <c r="B273" t="str">
        <f>VLOOKUP(A273,'Remote work mental helath'!$A$2:$T$1001,5,)</f>
        <v>Finance</v>
      </c>
      <c r="C273" t="str">
        <f>VLOOKUP(A273,'Remote work mental helath'!$A$2:$T$1001,7,)</f>
        <v>Hybrid</v>
      </c>
      <c r="D273">
        <f>VLOOKUP(A273,'Remote work mental helath'!$A$2:$T$1001,6,)</f>
        <v>28</v>
      </c>
      <c r="E273">
        <f>VLOOKUP(A273,'Remote work mental helath'!$A$2:$T$1001,8,)</f>
        <v>32</v>
      </c>
      <c r="F273">
        <f>VLOOKUP(A273,'Remote work mental helath'!$A$2:$T$1001,9,)</f>
        <v>8</v>
      </c>
    </row>
    <row r="274" spans="1:6" x14ac:dyDescent="0.3">
      <c r="A274" t="s">
        <v>323</v>
      </c>
      <c r="B274" t="str">
        <f>VLOOKUP(A274,'Remote work mental helath'!$A$2:$T$1001,5,)</f>
        <v>Healthcare</v>
      </c>
      <c r="C274" t="str">
        <f>VLOOKUP(A274,'Remote work mental helath'!$A$2:$T$1001,7,)</f>
        <v>Remote</v>
      </c>
      <c r="D274">
        <f>VLOOKUP(A274,'Remote work mental helath'!$A$2:$T$1001,6,)</f>
        <v>17</v>
      </c>
      <c r="E274">
        <f>VLOOKUP(A274,'Remote work mental helath'!$A$2:$T$1001,8,)</f>
        <v>55</v>
      </c>
      <c r="F274">
        <f>VLOOKUP(A274,'Remote work mental helath'!$A$2:$T$1001,9,)</f>
        <v>7</v>
      </c>
    </row>
    <row r="275" spans="1:6" x14ac:dyDescent="0.3">
      <c r="A275" t="s">
        <v>324</v>
      </c>
      <c r="B275" t="str">
        <f>VLOOKUP(A275,'Remote work mental helath'!$A$2:$T$1001,5,)</f>
        <v>Finance</v>
      </c>
      <c r="C275" t="str">
        <f>VLOOKUP(A275,'Remote work mental helath'!$A$2:$T$1001,7,)</f>
        <v>Hybrid</v>
      </c>
      <c r="D275">
        <f>VLOOKUP(A275,'Remote work mental helath'!$A$2:$T$1001,6,)</f>
        <v>35</v>
      </c>
      <c r="E275">
        <f>VLOOKUP(A275,'Remote work mental helath'!$A$2:$T$1001,8,)</f>
        <v>28</v>
      </c>
      <c r="F275">
        <f>VLOOKUP(A275,'Remote work mental helath'!$A$2:$T$1001,9,)</f>
        <v>3</v>
      </c>
    </row>
    <row r="276" spans="1:6" x14ac:dyDescent="0.3">
      <c r="A276" t="s">
        <v>325</v>
      </c>
      <c r="B276" t="str">
        <f>VLOOKUP(A276,'Remote work mental helath'!$A$2:$T$1001,5,)</f>
        <v>Consulting</v>
      </c>
      <c r="C276" t="str">
        <f>VLOOKUP(A276,'Remote work mental helath'!$A$2:$T$1001,7,)</f>
        <v>Onsite</v>
      </c>
      <c r="D276">
        <f>VLOOKUP(A276,'Remote work mental helath'!$A$2:$T$1001,6,)</f>
        <v>7</v>
      </c>
      <c r="E276">
        <f>VLOOKUP(A276,'Remote work mental helath'!$A$2:$T$1001,8,)</f>
        <v>53</v>
      </c>
      <c r="F276">
        <f>VLOOKUP(A276,'Remote work mental helath'!$A$2:$T$1001,9,)</f>
        <v>10</v>
      </c>
    </row>
    <row r="277" spans="1:6" x14ac:dyDescent="0.3">
      <c r="A277" t="s">
        <v>326</v>
      </c>
      <c r="B277" t="str">
        <f>VLOOKUP(A277,'Remote work mental helath'!$A$2:$T$1001,5,)</f>
        <v>Finance</v>
      </c>
      <c r="C277" t="str">
        <f>VLOOKUP(A277,'Remote work mental helath'!$A$2:$T$1001,7,)</f>
        <v>Onsite</v>
      </c>
      <c r="D277">
        <f>VLOOKUP(A277,'Remote work mental helath'!$A$2:$T$1001,6,)</f>
        <v>34</v>
      </c>
      <c r="E277">
        <f>VLOOKUP(A277,'Remote work mental helath'!$A$2:$T$1001,8,)</f>
        <v>36</v>
      </c>
      <c r="F277">
        <f>VLOOKUP(A277,'Remote work mental helath'!$A$2:$T$1001,9,)</f>
        <v>10</v>
      </c>
    </row>
    <row r="278" spans="1:6" x14ac:dyDescent="0.3">
      <c r="A278" t="s">
        <v>327</v>
      </c>
      <c r="B278" t="str">
        <f>VLOOKUP(A278,'Remote work mental helath'!$A$2:$T$1001,5,)</f>
        <v>Manufacturing</v>
      </c>
      <c r="C278" t="str">
        <f>VLOOKUP(A278,'Remote work mental helath'!$A$2:$T$1001,7,)</f>
        <v>Remote</v>
      </c>
      <c r="D278">
        <f>VLOOKUP(A278,'Remote work mental helath'!$A$2:$T$1001,6,)</f>
        <v>18</v>
      </c>
      <c r="E278">
        <f>VLOOKUP(A278,'Remote work mental helath'!$A$2:$T$1001,8,)</f>
        <v>54</v>
      </c>
      <c r="F278">
        <f>VLOOKUP(A278,'Remote work mental helath'!$A$2:$T$1001,9,)</f>
        <v>7</v>
      </c>
    </row>
    <row r="279" spans="1:6" x14ac:dyDescent="0.3">
      <c r="A279" t="s">
        <v>328</v>
      </c>
      <c r="B279" t="str">
        <f>VLOOKUP(A279,'Remote work mental helath'!$A$2:$T$1001,5,)</f>
        <v>Healthcare</v>
      </c>
      <c r="C279" t="str">
        <f>VLOOKUP(A279,'Remote work mental helath'!$A$2:$T$1001,7,)</f>
        <v>Remote</v>
      </c>
      <c r="D279">
        <f>VLOOKUP(A279,'Remote work mental helath'!$A$2:$T$1001,6,)</f>
        <v>8</v>
      </c>
      <c r="E279">
        <f>VLOOKUP(A279,'Remote work mental helath'!$A$2:$T$1001,8,)</f>
        <v>33</v>
      </c>
      <c r="F279">
        <f>VLOOKUP(A279,'Remote work mental helath'!$A$2:$T$1001,9,)</f>
        <v>8</v>
      </c>
    </row>
    <row r="280" spans="1:6" x14ac:dyDescent="0.3">
      <c r="A280" t="s">
        <v>329</v>
      </c>
      <c r="B280" t="str">
        <f>VLOOKUP(A280,'Remote work mental helath'!$A$2:$T$1001,5,)</f>
        <v>Finance</v>
      </c>
      <c r="C280" t="str">
        <f>VLOOKUP(A280,'Remote work mental helath'!$A$2:$T$1001,7,)</f>
        <v>Onsite</v>
      </c>
      <c r="D280">
        <f>VLOOKUP(A280,'Remote work mental helath'!$A$2:$T$1001,6,)</f>
        <v>19</v>
      </c>
      <c r="E280">
        <f>VLOOKUP(A280,'Remote work mental helath'!$A$2:$T$1001,8,)</f>
        <v>39</v>
      </c>
      <c r="F280">
        <f>VLOOKUP(A280,'Remote work mental helath'!$A$2:$T$1001,9,)</f>
        <v>1</v>
      </c>
    </row>
    <row r="281" spans="1:6" x14ac:dyDescent="0.3">
      <c r="A281" t="s">
        <v>330</v>
      </c>
      <c r="B281" t="str">
        <f>VLOOKUP(A281,'Remote work mental helath'!$A$2:$T$1001,5,)</f>
        <v>Healthcare</v>
      </c>
      <c r="C281" t="str">
        <f>VLOOKUP(A281,'Remote work mental helath'!$A$2:$T$1001,7,)</f>
        <v>Hybrid</v>
      </c>
      <c r="D281">
        <f>VLOOKUP(A281,'Remote work mental helath'!$A$2:$T$1001,6,)</f>
        <v>25</v>
      </c>
      <c r="E281">
        <f>VLOOKUP(A281,'Remote work mental helath'!$A$2:$T$1001,8,)</f>
        <v>33</v>
      </c>
      <c r="F281">
        <f>VLOOKUP(A281,'Remote work mental helath'!$A$2:$T$1001,9,)</f>
        <v>11</v>
      </c>
    </row>
    <row r="282" spans="1:6" x14ac:dyDescent="0.3">
      <c r="A282" t="s">
        <v>331</v>
      </c>
      <c r="B282" t="str">
        <f>VLOOKUP(A282,'Remote work mental helath'!$A$2:$T$1001,5,)</f>
        <v>Education</v>
      </c>
      <c r="C282" t="str">
        <f>VLOOKUP(A282,'Remote work mental helath'!$A$2:$T$1001,7,)</f>
        <v>Hybrid</v>
      </c>
      <c r="D282">
        <f>VLOOKUP(A282,'Remote work mental helath'!$A$2:$T$1001,6,)</f>
        <v>2</v>
      </c>
      <c r="E282">
        <f>VLOOKUP(A282,'Remote work mental helath'!$A$2:$T$1001,8,)</f>
        <v>48</v>
      </c>
      <c r="F282">
        <f>VLOOKUP(A282,'Remote work mental helath'!$A$2:$T$1001,9,)</f>
        <v>4</v>
      </c>
    </row>
    <row r="283" spans="1:6" x14ac:dyDescent="0.3">
      <c r="A283" t="s">
        <v>332</v>
      </c>
      <c r="B283" t="str">
        <f>VLOOKUP(A283,'Remote work mental helath'!$A$2:$T$1001,5,)</f>
        <v>Education</v>
      </c>
      <c r="C283" t="str">
        <f>VLOOKUP(A283,'Remote work mental helath'!$A$2:$T$1001,7,)</f>
        <v>Remote</v>
      </c>
      <c r="D283">
        <f>VLOOKUP(A283,'Remote work mental helath'!$A$2:$T$1001,6,)</f>
        <v>10</v>
      </c>
      <c r="E283">
        <f>VLOOKUP(A283,'Remote work mental helath'!$A$2:$T$1001,8,)</f>
        <v>60</v>
      </c>
      <c r="F283">
        <f>VLOOKUP(A283,'Remote work mental helath'!$A$2:$T$1001,9,)</f>
        <v>7</v>
      </c>
    </row>
    <row r="284" spans="1:6" x14ac:dyDescent="0.3">
      <c r="A284" t="s">
        <v>333</v>
      </c>
      <c r="B284" t="str">
        <f>VLOOKUP(A284,'Remote work mental helath'!$A$2:$T$1001,5,)</f>
        <v>IT</v>
      </c>
      <c r="C284" t="str">
        <f>VLOOKUP(A284,'Remote work mental helath'!$A$2:$T$1001,7,)</f>
        <v>Remote</v>
      </c>
      <c r="D284">
        <f>VLOOKUP(A284,'Remote work mental helath'!$A$2:$T$1001,6,)</f>
        <v>35</v>
      </c>
      <c r="E284">
        <f>VLOOKUP(A284,'Remote work mental helath'!$A$2:$T$1001,8,)</f>
        <v>24</v>
      </c>
      <c r="F284">
        <f>VLOOKUP(A284,'Remote work mental helath'!$A$2:$T$1001,9,)</f>
        <v>1</v>
      </c>
    </row>
    <row r="285" spans="1:6" x14ac:dyDescent="0.3">
      <c r="A285" t="s">
        <v>334</v>
      </c>
      <c r="B285" t="str">
        <f>VLOOKUP(A285,'Remote work mental helath'!$A$2:$T$1001,5,)</f>
        <v>Healthcare</v>
      </c>
      <c r="C285" t="str">
        <f>VLOOKUP(A285,'Remote work mental helath'!$A$2:$T$1001,7,)</f>
        <v>Remote</v>
      </c>
      <c r="D285">
        <f>VLOOKUP(A285,'Remote work mental helath'!$A$2:$T$1001,6,)</f>
        <v>18</v>
      </c>
      <c r="E285">
        <f>VLOOKUP(A285,'Remote work mental helath'!$A$2:$T$1001,8,)</f>
        <v>28</v>
      </c>
      <c r="F285">
        <f>VLOOKUP(A285,'Remote work mental helath'!$A$2:$T$1001,9,)</f>
        <v>7</v>
      </c>
    </row>
    <row r="286" spans="1:6" x14ac:dyDescent="0.3">
      <c r="A286" t="s">
        <v>335</v>
      </c>
      <c r="B286" t="str">
        <f>VLOOKUP(A286,'Remote work mental helath'!$A$2:$T$1001,5,)</f>
        <v>Manufacturing</v>
      </c>
      <c r="C286" t="str">
        <f>VLOOKUP(A286,'Remote work mental helath'!$A$2:$T$1001,7,)</f>
        <v>Hybrid</v>
      </c>
      <c r="D286">
        <f>VLOOKUP(A286,'Remote work mental helath'!$A$2:$T$1001,6,)</f>
        <v>12</v>
      </c>
      <c r="E286">
        <f>VLOOKUP(A286,'Remote work mental helath'!$A$2:$T$1001,8,)</f>
        <v>20</v>
      </c>
      <c r="F286">
        <f>VLOOKUP(A286,'Remote work mental helath'!$A$2:$T$1001,9,)</f>
        <v>14</v>
      </c>
    </row>
    <row r="287" spans="1:6" x14ac:dyDescent="0.3">
      <c r="A287" t="s">
        <v>336</v>
      </c>
      <c r="B287" t="str">
        <f>VLOOKUP(A287,'Remote work mental helath'!$A$2:$T$1001,5,)</f>
        <v>Finance</v>
      </c>
      <c r="C287" t="str">
        <f>VLOOKUP(A287,'Remote work mental helath'!$A$2:$T$1001,7,)</f>
        <v>Onsite</v>
      </c>
      <c r="D287">
        <f>VLOOKUP(A287,'Remote work mental helath'!$A$2:$T$1001,6,)</f>
        <v>35</v>
      </c>
      <c r="E287">
        <f>VLOOKUP(A287,'Remote work mental helath'!$A$2:$T$1001,8,)</f>
        <v>28</v>
      </c>
      <c r="F287">
        <f>VLOOKUP(A287,'Remote work mental helath'!$A$2:$T$1001,9,)</f>
        <v>14</v>
      </c>
    </row>
    <row r="288" spans="1:6" x14ac:dyDescent="0.3">
      <c r="A288" t="s">
        <v>337</v>
      </c>
      <c r="B288" t="str">
        <f>VLOOKUP(A288,'Remote work mental helath'!$A$2:$T$1001,5,)</f>
        <v>Consulting</v>
      </c>
      <c r="C288" t="str">
        <f>VLOOKUP(A288,'Remote work mental helath'!$A$2:$T$1001,7,)</f>
        <v>Remote</v>
      </c>
      <c r="D288">
        <f>VLOOKUP(A288,'Remote work mental helath'!$A$2:$T$1001,6,)</f>
        <v>23</v>
      </c>
      <c r="E288">
        <f>VLOOKUP(A288,'Remote work mental helath'!$A$2:$T$1001,8,)</f>
        <v>48</v>
      </c>
      <c r="F288">
        <f>VLOOKUP(A288,'Remote work mental helath'!$A$2:$T$1001,9,)</f>
        <v>12</v>
      </c>
    </row>
    <row r="289" spans="1:6" x14ac:dyDescent="0.3">
      <c r="A289" t="s">
        <v>338</v>
      </c>
      <c r="B289" t="str">
        <f>VLOOKUP(A289,'Remote work mental helath'!$A$2:$T$1001,5,)</f>
        <v>Healthcare</v>
      </c>
      <c r="C289" t="str">
        <f>VLOOKUP(A289,'Remote work mental helath'!$A$2:$T$1001,7,)</f>
        <v>Hybrid</v>
      </c>
      <c r="D289">
        <f>VLOOKUP(A289,'Remote work mental helath'!$A$2:$T$1001,6,)</f>
        <v>10</v>
      </c>
      <c r="E289">
        <f>VLOOKUP(A289,'Remote work mental helath'!$A$2:$T$1001,8,)</f>
        <v>51</v>
      </c>
      <c r="F289">
        <f>VLOOKUP(A289,'Remote work mental helath'!$A$2:$T$1001,9,)</f>
        <v>5</v>
      </c>
    </row>
    <row r="290" spans="1:6" x14ac:dyDescent="0.3">
      <c r="A290" t="s">
        <v>339</v>
      </c>
      <c r="B290" t="str">
        <f>VLOOKUP(A290,'Remote work mental helath'!$A$2:$T$1001,5,)</f>
        <v>IT</v>
      </c>
      <c r="C290" t="str">
        <f>VLOOKUP(A290,'Remote work mental helath'!$A$2:$T$1001,7,)</f>
        <v>Hybrid</v>
      </c>
      <c r="D290">
        <f>VLOOKUP(A290,'Remote work mental helath'!$A$2:$T$1001,6,)</f>
        <v>22</v>
      </c>
      <c r="E290">
        <f>VLOOKUP(A290,'Remote work mental helath'!$A$2:$T$1001,8,)</f>
        <v>39</v>
      </c>
      <c r="F290">
        <f>VLOOKUP(A290,'Remote work mental helath'!$A$2:$T$1001,9,)</f>
        <v>5</v>
      </c>
    </row>
    <row r="291" spans="1:6" x14ac:dyDescent="0.3">
      <c r="A291" t="s">
        <v>340</v>
      </c>
      <c r="B291" t="str">
        <f>VLOOKUP(A291,'Remote work mental helath'!$A$2:$T$1001,5,)</f>
        <v>Retail</v>
      </c>
      <c r="C291" t="str">
        <f>VLOOKUP(A291,'Remote work mental helath'!$A$2:$T$1001,7,)</f>
        <v>Remote</v>
      </c>
      <c r="D291">
        <f>VLOOKUP(A291,'Remote work mental helath'!$A$2:$T$1001,6,)</f>
        <v>14</v>
      </c>
      <c r="E291">
        <f>VLOOKUP(A291,'Remote work mental helath'!$A$2:$T$1001,8,)</f>
        <v>25</v>
      </c>
      <c r="F291">
        <f>VLOOKUP(A291,'Remote work mental helath'!$A$2:$T$1001,9,)</f>
        <v>2</v>
      </c>
    </row>
    <row r="292" spans="1:6" x14ac:dyDescent="0.3">
      <c r="A292" t="s">
        <v>341</v>
      </c>
      <c r="B292" t="str">
        <f>VLOOKUP(A292,'Remote work mental helath'!$A$2:$T$1001,5,)</f>
        <v>IT</v>
      </c>
      <c r="C292" t="str">
        <f>VLOOKUP(A292,'Remote work mental helath'!$A$2:$T$1001,7,)</f>
        <v>Hybrid</v>
      </c>
      <c r="D292">
        <f>VLOOKUP(A292,'Remote work mental helath'!$A$2:$T$1001,6,)</f>
        <v>32</v>
      </c>
      <c r="E292">
        <f>VLOOKUP(A292,'Remote work mental helath'!$A$2:$T$1001,8,)</f>
        <v>53</v>
      </c>
      <c r="F292">
        <f>VLOOKUP(A292,'Remote work mental helath'!$A$2:$T$1001,9,)</f>
        <v>12</v>
      </c>
    </row>
    <row r="293" spans="1:6" x14ac:dyDescent="0.3">
      <c r="A293" t="s">
        <v>342</v>
      </c>
      <c r="B293" t="str">
        <f>VLOOKUP(A293,'Remote work mental helath'!$A$2:$T$1001,5,)</f>
        <v>IT</v>
      </c>
      <c r="C293" t="str">
        <f>VLOOKUP(A293,'Remote work mental helath'!$A$2:$T$1001,7,)</f>
        <v>Hybrid</v>
      </c>
      <c r="D293">
        <f>VLOOKUP(A293,'Remote work mental helath'!$A$2:$T$1001,6,)</f>
        <v>10</v>
      </c>
      <c r="E293">
        <f>VLOOKUP(A293,'Remote work mental helath'!$A$2:$T$1001,8,)</f>
        <v>44</v>
      </c>
      <c r="F293">
        <f>VLOOKUP(A293,'Remote work mental helath'!$A$2:$T$1001,9,)</f>
        <v>13</v>
      </c>
    </row>
    <row r="294" spans="1:6" x14ac:dyDescent="0.3">
      <c r="A294" t="s">
        <v>343</v>
      </c>
      <c r="B294" t="str">
        <f>VLOOKUP(A294,'Remote work mental helath'!$A$2:$T$1001,5,)</f>
        <v>Education</v>
      </c>
      <c r="C294" t="str">
        <f>VLOOKUP(A294,'Remote work mental helath'!$A$2:$T$1001,7,)</f>
        <v>Hybrid</v>
      </c>
      <c r="D294">
        <f>VLOOKUP(A294,'Remote work mental helath'!$A$2:$T$1001,6,)</f>
        <v>22</v>
      </c>
      <c r="E294">
        <f>VLOOKUP(A294,'Remote work mental helath'!$A$2:$T$1001,8,)</f>
        <v>31</v>
      </c>
      <c r="F294">
        <f>VLOOKUP(A294,'Remote work mental helath'!$A$2:$T$1001,9,)</f>
        <v>3</v>
      </c>
    </row>
    <row r="295" spans="1:6" x14ac:dyDescent="0.3">
      <c r="A295" t="s">
        <v>344</v>
      </c>
      <c r="B295" t="str">
        <f>VLOOKUP(A295,'Remote work mental helath'!$A$2:$T$1001,5,)</f>
        <v>Healthcare</v>
      </c>
      <c r="C295" t="str">
        <f>VLOOKUP(A295,'Remote work mental helath'!$A$2:$T$1001,7,)</f>
        <v>Onsite</v>
      </c>
      <c r="D295">
        <f>VLOOKUP(A295,'Remote work mental helath'!$A$2:$T$1001,6,)</f>
        <v>3</v>
      </c>
      <c r="E295">
        <f>VLOOKUP(A295,'Remote work mental helath'!$A$2:$T$1001,8,)</f>
        <v>58</v>
      </c>
      <c r="F295">
        <f>VLOOKUP(A295,'Remote work mental helath'!$A$2:$T$1001,9,)</f>
        <v>2</v>
      </c>
    </row>
    <row r="296" spans="1:6" x14ac:dyDescent="0.3">
      <c r="A296" t="s">
        <v>345</v>
      </c>
      <c r="B296" t="str">
        <f>VLOOKUP(A296,'Remote work mental helath'!$A$2:$T$1001,5,)</f>
        <v>Healthcare</v>
      </c>
      <c r="C296" t="str">
        <f>VLOOKUP(A296,'Remote work mental helath'!$A$2:$T$1001,7,)</f>
        <v>Hybrid</v>
      </c>
      <c r="D296">
        <f>VLOOKUP(A296,'Remote work mental helath'!$A$2:$T$1001,6,)</f>
        <v>33</v>
      </c>
      <c r="E296">
        <f>VLOOKUP(A296,'Remote work mental helath'!$A$2:$T$1001,8,)</f>
        <v>26</v>
      </c>
      <c r="F296">
        <f>VLOOKUP(A296,'Remote work mental helath'!$A$2:$T$1001,9,)</f>
        <v>5</v>
      </c>
    </row>
    <row r="297" spans="1:6" x14ac:dyDescent="0.3">
      <c r="A297" t="s">
        <v>346</v>
      </c>
      <c r="B297" t="str">
        <f>VLOOKUP(A297,'Remote work mental helath'!$A$2:$T$1001,5,)</f>
        <v>Consulting</v>
      </c>
      <c r="C297" t="str">
        <f>VLOOKUP(A297,'Remote work mental helath'!$A$2:$T$1001,7,)</f>
        <v>Hybrid</v>
      </c>
      <c r="D297">
        <f>VLOOKUP(A297,'Remote work mental helath'!$A$2:$T$1001,6,)</f>
        <v>33</v>
      </c>
      <c r="E297">
        <f>VLOOKUP(A297,'Remote work mental helath'!$A$2:$T$1001,8,)</f>
        <v>20</v>
      </c>
      <c r="F297">
        <f>VLOOKUP(A297,'Remote work mental helath'!$A$2:$T$1001,9,)</f>
        <v>4</v>
      </c>
    </row>
    <row r="298" spans="1:6" x14ac:dyDescent="0.3">
      <c r="A298" t="s">
        <v>347</v>
      </c>
      <c r="B298" t="str">
        <f>VLOOKUP(A298,'Remote work mental helath'!$A$2:$T$1001,5,)</f>
        <v>IT</v>
      </c>
      <c r="C298" t="str">
        <f>VLOOKUP(A298,'Remote work mental helath'!$A$2:$T$1001,7,)</f>
        <v>Hybrid</v>
      </c>
      <c r="D298">
        <f>VLOOKUP(A298,'Remote work mental helath'!$A$2:$T$1001,6,)</f>
        <v>11</v>
      </c>
      <c r="E298">
        <f>VLOOKUP(A298,'Remote work mental helath'!$A$2:$T$1001,8,)</f>
        <v>28</v>
      </c>
      <c r="F298">
        <f>VLOOKUP(A298,'Remote work mental helath'!$A$2:$T$1001,9,)</f>
        <v>14</v>
      </c>
    </row>
    <row r="299" spans="1:6" x14ac:dyDescent="0.3">
      <c r="A299" t="s">
        <v>348</v>
      </c>
      <c r="B299" t="str">
        <f>VLOOKUP(A299,'Remote work mental helath'!$A$2:$T$1001,5,)</f>
        <v>Healthcare</v>
      </c>
      <c r="C299" t="str">
        <f>VLOOKUP(A299,'Remote work mental helath'!$A$2:$T$1001,7,)</f>
        <v>Remote</v>
      </c>
      <c r="D299">
        <f>VLOOKUP(A299,'Remote work mental helath'!$A$2:$T$1001,6,)</f>
        <v>7</v>
      </c>
      <c r="E299">
        <f>VLOOKUP(A299,'Remote work mental helath'!$A$2:$T$1001,8,)</f>
        <v>35</v>
      </c>
      <c r="F299">
        <f>VLOOKUP(A299,'Remote work mental helath'!$A$2:$T$1001,9,)</f>
        <v>14</v>
      </c>
    </row>
    <row r="300" spans="1:6" x14ac:dyDescent="0.3">
      <c r="A300" t="s">
        <v>349</v>
      </c>
      <c r="B300" t="str">
        <f>VLOOKUP(A300,'Remote work mental helath'!$A$2:$T$1001,5,)</f>
        <v>Finance</v>
      </c>
      <c r="C300" t="str">
        <f>VLOOKUP(A300,'Remote work mental helath'!$A$2:$T$1001,7,)</f>
        <v>Remote</v>
      </c>
      <c r="D300">
        <f>VLOOKUP(A300,'Remote work mental helath'!$A$2:$T$1001,6,)</f>
        <v>9</v>
      </c>
      <c r="E300">
        <f>VLOOKUP(A300,'Remote work mental helath'!$A$2:$T$1001,8,)</f>
        <v>30</v>
      </c>
      <c r="F300">
        <f>VLOOKUP(A300,'Remote work mental helath'!$A$2:$T$1001,9,)</f>
        <v>14</v>
      </c>
    </row>
    <row r="301" spans="1:6" x14ac:dyDescent="0.3">
      <c r="A301" t="s">
        <v>350</v>
      </c>
      <c r="B301" t="str">
        <f>VLOOKUP(A301,'Remote work mental helath'!$A$2:$T$1001,5,)</f>
        <v>Finance</v>
      </c>
      <c r="C301" t="str">
        <f>VLOOKUP(A301,'Remote work mental helath'!$A$2:$T$1001,7,)</f>
        <v>Hybrid</v>
      </c>
      <c r="D301">
        <f>VLOOKUP(A301,'Remote work mental helath'!$A$2:$T$1001,6,)</f>
        <v>6</v>
      </c>
      <c r="E301">
        <f>VLOOKUP(A301,'Remote work mental helath'!$A$2:$T$1001,8,)</f>
        <v>28</v>
      </c>
      <c r="F301">
        <f>VLOOKUP(A301,'Remote work mental helath'!$A$2:$T$1001,9,)</f>
        <v>0</v>
      </c>
    </row>
    <row r="302" spans="1:6" x14ac:dyDescent="0.3">
      <c r="A302" t="s">
        <v>351</v>
      </c>
      <c r="B302" t="str">
        <f>VLOOKUP(A302,'Remote work mental helath'!$A$2:$T$1001,5,)</f>
        <v>Retail</v>
      </c>
      <c r="C302" t="str">
        <f>VLOOKUP(A302,'Remote work mental helath'!$A$2:$T$1001,7,)</f>
        <v>Remote</v>
      </c>
      <c r="D302">
        <f>VLOOKUP(A302,'Remote work mental helath'!$A$2:$T$1001,6,)</f>
        <v>16</v>
      </c>
      <c r="E302">
        <f>VLOOKUP(A302,'Remote work mental helath'!$A$2:$T$1001,8,)</f>
        <v>21</v>
      </c>
      <c r="F302">
        <f>VLOOKUP(A302,'Remote work mental helath'!$A$2:$T$1001,9,)</f>
        <v>4</v>
      </c>
    </row>
    <row r="303" spans="1:6" x14ac:dyDescent="0.3">
      <c r="A303" t="s">
        <v>352</v>
      </c>
      <c r="B303" t="str">
        <f>VLOOKUP(A303,'Remote work mental helath'!$A$2:$T$1001,5,)</f>
        <v>IT</v>
      </c>
      <c r="C303" t="str">
        <f>VLOOKUP(A303,'Remote work mental helath'!$A$2:$T$1001,7,)</f>
        <v>Remote</v>
      </c>
      <c r="D303">
        <f>VLOOKUP(A303,'Remote work mental helath'!$A$2:$T$1001,6,)</f>
        <v>2</v>
      </c>
      <c r="E303">
        <f>VLOOKUP(A303,'Remote work mental helath'!$A$2:$T$1001,8,)</f>
        <v>56</v>
      </c>
      <c r="F303">
        <f>VLOOKUP(A303,'Remote work mental helath'!$A$2:$T$1001,9,)</f>
        <v>13</v>
      </c>
    </row>
    <row r="304" spans="1:6" x14ac:dyDescent="0.3">
      <c r="A304" t="s">
        <v>353</v>
      </c>
      <c r="B304" t="str">
        <f>VLOOKUP(A304,'Remote work mental helath'!$A$2:$T$1001,5,)</f>
        <v>Retail</v>
      </c>
      <c r="C304" t="str">
        <f>VLOOKUP(A304,'Remote work mental helath'!$A$2:$T$1001,7,)</f>
        <v>Hybrid</v>
      </c>
      <c r="D304">
        <f>VLOOKUP(A304,'Remote work mental helath'!$A$2:$T$1001,6,)</f>
        <v>13</v>
      </c>
      <c r="E304">
        <f>VLOOKUP(A304,'Remote work mental helath'!$A$2:$T$1001,8,)</f>
        <v>25</v>
      </c>
      <c r="F304">
        <f>VLOOKUP(A304,'Remote work mental helath'!$A$2:$T$1001,9,)</f>
        <v>10</v>
      </c>
    </row>
    <row r="305" spans="1:6" x14ac:dyDescent="0.3">
      <c r="A305" t="s">
        <v>354</v>
      </c>
      <c r="B305" t="str">
        <f>VLOOKUP(A305,'Remote work mental helath'!$A$2:$T$1001,5,)</f>
        <v>Education</v>
      </c>
      <c r="C305" t="str">
        <f>VLOOKUP(A305,'Remote work mental helath'!$A$2:$T$1001,7,)</f>
        <v>Remote</v>
      </c>
      <c r="D305">
        <f>VLOOKUP(A305,'Remote work mental helath'!$A$2:$T$1001,6,)</f>
        <v>20</v>
      </c>
      <c r="E305">
        <f>VLOOKUP(A305,'Remote work mental helath'!$A$2:$T$1001,8,)</f>
        <v>21</v>
      </c>
      <c r="F305">
        <f>VLOOKUP(A305,'Remote work mental helath'!$A$2:$T$1001,9,)</f>
        <v>0</v>
      </c>
    </row>
    <row r="306" spans="1:6" x14ac:dyDescent="0.3">
      <c r="A306" t="s">
        <v>355</v>
      </c>
      <c r="B306" t="str">
        <f>VLOOKUP(A306,'Remote work mental helath'!$A$2:$T$1001,5,)</f>
        <v>Retail</v>
      </c>
      <c r="C306" t="str">
        <f>VLOOKUP(A306,'Remote work mental helath'!$A$2:$T$1001,7,)</f>
        <v>Remote</v>
      </c>
      <c r="D306">
        <f>VLOOKUP(A306,'Remote work mental helath'!$A$2:$T$1001,6,)</f>
        <v>17</v>
      </c>
      <c r="E306">
        <f>VLOOKUP(A306,'Remote work mental helath'!$A$2:$T$1001,8,)</f>
        <v>50</v>
      </c>
      <c r="F306">
        <f>VLOOKUP(A306,'Remote work mental helath'!$A$2:$T$1001,9,)</f>
        <v>2</v>
      </c>
    </row>
    <row r="307" spans="1:6" x14ac:dyDescent="0.3">
      <c r="A307" t="s">
        <v>356</v>
      </c>
      <c r="B307" t="str">
        <f>VLOOKUP(A307,'Remote work mental helath'!$A$2:$T$1001,5,)</f>
        <v>Finance</v>
      </c>
      <c r="C307" t="str">
        <f>VLOOKUP(A307,'Remote work mental helath'!$A$2:$T$1001,7,)</f>
        <v>Onsite</v>
      </c>
      <c r="D307">
        <f>VLOOKUP(A307,'Remote work mental helath'!$A$2:$T$1001,6,)</f>
        <v>16</v>
      </c>
      <c r="E307">
        <f>VLOOKUP(A307,'Remote work mental helath'!$A$2:$T$1001,8,)</f>
        <v>50</v>
      </c>
      <c r="F307">
        <f>VLOOKUP(A307,'Remote work mental helath'!$A$2:$T$1001,9,)</f>
        <v>3</v>
      </c>
    </row>
    <row r="308" spans="1:6" x14ac:dyDescent="0.3">
      <c r="A308" t="s">
        <v>357</v>
      </c>
      <c r="B308" t="str">
        <f>VLOOKUP(A308,'Remote work mental helath'!$A$2:$T$1001,5,)</f>
        <v>Manufacturing</v>
      </c>
      <c r="C308" t="str">
        <f>VLOOKUP(A308,'Remote work mental helath'!$A$2:$T$1001,7,)</f>
        <v>Hybrid</v>
      </c>
      <c r="D308">
        <f>VLOOKUP(A308,'Remote work mental helath'!$A$2:$T$1001,6,)</f>
        <v>14</v>
      </c>
      <c r="E308">
        <f>VLOOKUP(A308,'Remote work mental helath'!$A$2:$T$1001,8,)</f>
        <v>27</v>
      </c>
      <c r="F308">
        <f>VLOOKUP(A308,'Remote work mental helath'!$A$2:$T$1001,9,)</f>
        <v>10</v>
      </c>
    </row>
    <row r="309" spans="1:6" x14ac:dyDescent="0.3">
      <c r="A309" t="s">
        <v>358</v>
      </c>
      <c r="B309" t="str">
        <f>VLOOKUP(A309,'Remote work mental helath'!$A$2:$T$1001,5,)</f>
        <v>Consulting</v>
      </c>
      <c r="C309" t="str">
        <f>VLOOKUP(A309,'Remote work mental helath'!$A$2:$T$1001,7,)</f>
        <v>Onsite</v>
      </c>
      <c r="D309">
        <f>VLOOKUP(A309,'Remote work mental helath'!$A$2:$T$1001,6,)</f>
        <v>3</v>
      </c>
      <c r="E309">
        <f>VLOOKUP(A309,'Remote work mental helath'!$A$2:$T$1001,8,)</f>
        <v>31</v>
      </c>
      <c r="F309">
        <f>VLOOKUP(A309,'Remote work mental helath'!$A$2:$T$1001,9,)</f>
        <v>14</v>
      </c>
    </row>
    <row r="310" spans="1:6" x14ac:dyDescent="0.3">
      <c r="A310" t="s">
        <v>359</v>
      </c>
      <c r="B310" t="str">
        <f>VLOOKUP(A310,'Remote work mental helath'!$A$2:$T$1001,5,)</f>
        <v>Finance</v>
      </c>
      <c r="C310" t="str">
        <f>VLOOKUP(A310,'Remote work mental helath'!$A$2:$T$1001,7,)</f>
        <v>Hybrid</v>
      </c>
      <c r="D310">
        <f>VLOOKUP(A310,'Remote work mental helath'!$A$2:$T$1001,6,)</f>
        <v>27</v>
      </c>
      <c r="E310">
        <f>VLOOKUP(A310,'Remote work mental helath'!$A$2:$T$1001,8,)</f>
        <v>45</v>
      </c>
      <c r="F310">
        <f>VLOOKUP(A310,'Remote work mental helath'!$A$2:$T$1001,9,)</f>
        <v>11</v>
      </c>
    </row>
    <row r="311" spans="1:6" x14ac:dyDescent="0.3">
      <c r="A311" t="s">
        <v>360</v>
      </c>
      <c r="B311" t="str">
        <f>VLOOKUP(A311,'Remote work mental helath'!$A$2:$T$1001,5,)</f>
        <v>Education</v>
      </c>
      <c r="C311" t="str">
        <f>VLOOKUP(A311,'Remote work mental helath'!$A$2:$T$1001,7,)</f>
        <v>Remote</v>
      </c>
      <c r="D311">
        <f>VLOOKUP(A311,'Remote work mental helath'!$A$2:$T$1001,6,)</f>
        <v>25</v>
      </c>
      <c r="E311">
        <f>VLOOKUP(A311,'Remote work mental helath'!$A$2:$T$1001,8,)</f>
        <v>23</v>
      </c>
      <c r="F311">
        <f>VLOOKUP(A311,'Remote work mental helath'!$A$2:$T$1001,9,)</f>
        <v>8</v>
      </c>
    </row>
    <row r="312" spans="1:6" x14ac:dyDescent="0.3">
      <c r="A312" t="s">
        <v>361</v>
      </c>
      <c r="B312" t="str">
        <f>VLOOKUP(A312,'Remote work mental helath'!$A$2:$T$1001,5,)</f>
        <v>IT</v>
      </c>
      <c r="C312" t="str">
        <f>VLOOKUP(A312,'Remote work mental helath'!$A$2:$T$1001,7,)</f>
        <v>Onsite</v>
      </c>
      <c r="D312">
        <f>VLOOKUP(A312,'Remote work mental helath'!$A$2:$T$1001,6,)</f>
        <v>32</v>
      </c>
      <c r="E312">
        <f>VLOOKUP(A312,'Remote work mental helath'!$A$2:$T$1001,8,)</f>
        <v>42</v>
      </c>
      <c r="F312">
        <f>VLOOKUP(A312,'Remote work mental helath'!$A$2:$T$1001,9,)</f>
        <v>14</v>
      </c>
    </row>
    <row r="313" spans="1:6" x14ac:dyDescent="0.3">
      <c r="A313" t="s">
        <v>362</v>
      </c>
      <c r="B313" t="str">
        <f>VLOOKUP(A313,'Remote work mental helath'!$A$2:$T$1001,5,)</f>
        <v>Finance</v>
      </c>
      <c r="C313" t="str">
        <f>VLOOKUP(A313,'Remote work mental helath'!$A$2:$T$1001,7,)</f>
        <v>Onsite</v>
      </c>
      <c r="D313">
        <f>VLOOKUP(A313,'Remote work mental helath'!$A$2:$T$1001,6,)</f>
        <v>16</v>
      </c>
      <c r="E313">
        <f>VLOOKUP(A313,'Remote work mental helath'!$A$2:$T$1001,8,)</f>
        <v>37</v>
      </c>
      <c r="F313">
        <f>VLOOKUP(A313,'Remote work mental helath'!$A$2:$T$1001,9,)</f>
        <v>8</v>
      </c>
    </row>
    <row r="314" spans="1:6" x14ac:dyDescent="0.3">
      <c r="A314" t="s">
        <v>363</v>
      </c>
      <c r="B314" t="str">
        <f>VLOOKUP(A314,'Remote work mental helath'!$A$2:$T$1001,5,)</f>
        <v>IT</v>
      </c>
      <c r="C314" t="str">
        <f>VLOOKUP(A314,'Remote work mental helath'!$A$2:$T$1001,7,)</f>
        <v>Onsite</v>
      </c>
      <c r="D314">
        <f>VLOOKUP(A314,'Remote work mental helath'!$A$2:$T$1001,6,)</f>
        <v>15</v>
      </c>
      <c r="E314">
        <f>VLOOKUP(A314,'Remote work mental helath'!$A$2:$T$1001,8,)</f>
        <v>40</v>
      </c>
      <c r="F314">
        <f>VLOOKUP(A314,'Remote work mental helath'!$A$2:$T$1001,9,)</f>
        <v>7</v>
      </c>
    </row>
    <row r="315" spans="1:6" x14ac:dyDescent="0.3">
      <c r="A315" t="s">
        <v>364</v>
      </c>
      <c r="B315" t="str">
        <f>VLOOKUP(A315,'Remote work mental helath'!$A$2:$T$1001,5,)</f>
        <v>Retail</v>
      </c>
      <c r="C315" t="str">
        <f>VLOOKUP(A315,'Remote work mental helath'!$A$2:$T$1001,7,)</f>
        <v>Onsite</v>
      </c>
      <c r="D315">
        <f>VLOOKUP(A315,'Remote work mental helath'!$A$2:$T$1001,6,)</f>
        <v>26</v>
      </c>
      <c r="E315">
        <f>VLOOKUP(A315,'Remote work mental helath'!$A$2:$T$1001,8,)</f>
        <v>23</v>
      </c>
      <c r="F315">
        <f>VLOOKUP(A315,'Remote work mental helath'!$A$2:$T$1001,9,)</f>
        <v>1</v>
      </c>
    </row>
    <row r="316" spans="1:6" x14ac:dyDescent="0.3">
      <c r="A316" t="s">
        <v>365</v>
      </c>
      <c r="B316" t="str">
        <f>VLOOKUP(A316,'Remote work mental helath'!$A$2:$T$1001,5,)</f>
        <v>Education</v>
      </c>
      <c r="C316" t="str">
        <f>VLOOKUP(A316,'Remote work mental helath'!$A$2:$T$1001,7,)</f>
        <v>Remote</v>
      </c>
      <c r="D316">
        <f>VLOOKUP(A316,'Remote work mental helath'!$A$2:$T$1001,6,)</f>
        <v>22</v>
      </c>
      <c r="E316">
        <f>VLOOKUP(A316,'Remote work mental helath'!$A$2:$T$1001,8,)</f>
        <v>20</v>
      </c>
      <c r="F316">
        <f>VLOOKUP(A316,'Remote work mental helath'!$A$2:$T$1001,9,)</f>
        <v>3</v>
      </c>
    </row>
    <row r="317" spans="1:6" x14ac:dyDescent="0.3">
      <c r="A317" t="s">
        <v>366</v>
      </c>
      <c r="B317" t="str">
        <f>VLOOKUP(A317,'Remote work mental helath'!$A$2:$T$1001,5,)</f>
        <v>Manufacturing</v>
      </c>
      <c r="C317" t="str">
        <f>VLOOKUP(A317,'Remote work mental helath'!$A$2:$T$1001,7,)</f>
        <v>Remote</v>
      </c>
      <c r="D317">
        <f>VLOOKUP(A317,'Remote work mental helath'!$A$2:$T$1001,6,)</f>
        <v>16</v>
      </c>
      <c r="E317">
        <f>VLOOKUP(A317,'Remote work mental helath'!$A$2:$T$1001,8,)</f>
        <v>51</v>
      </c>
      <c r="F317">
        <f>VLOOKUP(A317,'Remote work mental helath'!$A$2:$T$1001,9,)</f>
        <v>8</v>
      </c>
    </row>
    <row r="318" spans="1:6" x14ac:dyDescent="0.3">
      <c r="A318" t="s">
        <v>367</v>
      </c>
      <c r="B318" t="str">
        <f>VLOOKUP(A318,'Remote work mental helath'!$A$2:$T$1001,5,)</f>
        <v>IT</v>
      </c>
      <c r="C318" t="str">
        <f>VLOOKUP(A318,'Remote work mental helath'!$A$2:$T$1001,7,)</f>
        <v>Onsite</v>
      </c>
      <c r="D318">
        <f>VLOOKUP(A318,'Remote work mental helath'!$A$2:$T$1001,6,)</f>
        <v>2</v>
      </c>
      <c r="E318">
        <f>VLOOKUP(A318,'Remote work mental helath'!$A$2:$T$1001,8,)</f>
        <v>46</v>
      </c>
      <c r="F318">
        <f>VLOOKUP(A318,'Remote work mental helath'!$A$2:$T$1001,9,)</f>
        <v>1</v>
      </c>
    </row>
    <row r="319" spans="1:6" x14ac:dyDescent="0.3">
      <c r="A319" t="s">
        <v>368</v>
      </c>
      <c r="B319" t="str">
        <f>VLOOKUP(A319,'Remote work mental helath'!$A$2:$T$1001,5,)</f>
        <v>Education</v>
      </c>
      <c r="C319" t="str">
        <f>VLOOKUP(A319,'Remote work mental helath'!$A$2:$T$1001,7,)</f>
        <v>Remote</v>
      </c>
      <c r="D319">
        <f>VLOOKUP(A319,'Remote work mental helath'!$A$2:$T$1001,6,)</f>
        <v>6</v>
      </c>
      <c r="E319">
        <f>VLOOKUP(A319,'Remote work mental helath'!$A$2:$T$1001,8,)</f>
        <v>37</v>
      </c>
      <c r="F319">
        <f>VLOOKUP(A319,'Remote work mental helath'!$A$2:$T$1001,9,)</f>
        <v>7</v>
      </c>
    </row>
    <row r="320" spans="1:6" x14ac:dyDescent="0.3">
      <c r="A320" t="s">
        <v>369</v>
      </c>
      <c r="B320" t="str">
        <f>VLOOKUP(A320,'Remote work mental helath'!$A$2:$T$1001,5,)</f>
        <v>Education</v>
      </c>
      <c r="C320" t="str">
        <f>VLOOKUP(A320,'Remote work mental helath'!$A$2:$T$1001,7,)</f>
        <v>Onsite</v>
      </c>
      <c r="D320">
        <f>VLOOKUP(A320,'Remote work mental helath'!$A$2:$T$1001,6,)</f>
        <v>6</v>
      </c>
      <c r="E320">
        <f>VLOOKUP(A320,'Remote work mental helath'!$A$2:$T$1001,8,)</f>
        <v>42</v>
      </c>
      <c r="F320">
        <f>VLOOKUP(A320,'Remote work mental helath'!$A$2:$T$1001,9,)</f>
        <v>4</v>
      </c>
    </row>
    <row r="321" spans="1:6" x14ac:dyDescent="0.3">
      <c r="A321" t="s">
        <v>370</v>
      </c>
      <c r="B321" t="str">
        <f>VLOOKUP(A321,'Remote work mental helath'!$A$2:$T$1001,5,)</f>
        <v>Retail</v>
      </c>
      <c r="C321" t="str">
        <f>VLOOKUP(A321,'Remote work mental helath'!$A$2:$T$1001,7,)</f>
        <v>Hybrid</v>
      </c>
      <c r="D321">
        <f>VLOOKUP(A321,'Remote work mental helath'!$A$2:$T$1001,6,)</f>
        <v>4</v>
      </c>
      <c r="E321">
        <f>VLOOKUP(A321,'Remote work mental helath'!$A$2:$T$1001,8,)</f>
        <v>53</v>
      </c>
      <c r="F321">
        <f>VLOOKUP(A321,'Remote work mental helath'!$A$2:$T$1001,9,)</f>
        <v>15</v>
      </c>
    </row>
    <row r="322" spans="1:6" x14ac:dyDescent="0.3">
      <c r="A322" t="s">
        <v>371</v>
      </c>
      <c r="B322" t="str">
        <f>VLOOKUP(A322,'Remote work mental helath'!$A$2:$T$1001,5,)</f>
        <v>Consulting</v>
      </c>
      <c r="C322" t="str">
        <f>VLOOKUP(A322,'Remote work mental helath'!$A$2:$T$1001,7,)</f>
        <v>Hybrid</v>
      </c>
      <c r="D322">
        <f>VLOOKUP(A322,'Remote work mental helath'!$A$2:$T$1001,6,)</f>
        <v>25</v>
      </c>
      <c r="E322">
        <f>VLOOKUP(A322,'Remote work mental helath'!$A$2:$T$1001,8,)</f>
        <v>26</v>
      </c>
      <c r="F322">
        <f>VLOOKUP(A322,'Remote work mental helath'!$A$2:$T$1001,9,)</f>
        <v>0</v>
      </c>
    </row>
    <row r="323" spans="1:6" x14ac:dyDescent="0.3">
      <c r="A323" t="s">
        <v>372</v>
      </c>
      <c r="B323" t="str">
        <f>VLOOKUP(A323,'Remote work mental helath'!$A$2:$T$1001,5,)</f>
        <v>Education</v>
      </c>
      <c r="C323" t="str">
        <f>VLOOKUP(A323,'Remote work mental helath'!$A$2:$T$1001,7,)</f>
        <v>Onsite</v>
      </c>
      <c r="D323">
        <f>VLOOKUP(A323,'Remote work mental helath'!$A$2:$T$1001,6,)</f>
        <v>31</v>
      </c>
      <c r="E323">
        <f>VLOOKUP(A323,'Remote work mental helath'!$A$2:$T$1001,8,)</f>
        <v>48</v>
      </c>
      <c r="F323">
        <f>VLOOKUP(A323,'Remote work mental helath'!$A$2:$T$1001,9,)</f>
        <v>9</v>
      </c>
    </row>
    <row r="324" spans="1:6" x14ac:dyDescent="0.3">
      <c r="A324" t="s">
        <v>373</v>
      </c>
      <c r="B324" t="str">
        <f>VLOOKUP(A324,'Remote work mental helath'!$A$2:$T$1001,5,)</f>
        <v>Education</v>
      </c>
      <c r="C324" t="str">
        <f>VLOOKUP(A324,'Remote work mental helath'!$A$2:$T$1001,7,)</f>
        <v>Onsite</v>
      </c>
      <c r="D324">
        <f>VLOOKUP(A324,'Remote work mental helath'!$A$2:$T$1001,6,)</f>
        <v>1</v>
      </c>
      <c r="E324">
        <f>VLOOKUP(A324,'Remote work mental helath'!$A$2:$T$1001,8,)</f>
        <v>58</v>
      </c>
      <c r="F324">
        <f>VLOOKUP(A324,'Remote work mental helath'!$A$2:$T$1001,9,)</f>
        <v>0</v>
      </c>
    </row>
    <row r="325" spans="1:6" x14ac:dyDescent="0.3">
      <c r="A325" t="s">
        <v>374</v>
      </c>
      <c r="B325" t="str">
        <f>VLOOKUP(A325,'Remote work mental helath'!$A$2:$T$1001,5,)</f>
        <v>Consulting</v>
      </c>
      <c r="C325" t="str">
        <f>VLOOKUP(A325,'Remote work mental helath'!$A$2:$T$1001,7,)</f>
        <v>Hybrid</v>
      </c>
      <c r="D325">
        <f>VLOOKUP(A325,'Remote work mental helath'!$A$2:$T$1001,6,)</f>
        <v>29</v>
      </c>
      <c r="E325">
        <f>VLOOKUP(A325,'Remote work mental helath'!$A$2:$T$1001,8,)</f>
        <v>52</v>
      </c>
      <c r="F325">
        <f>VLOOKUP(A325,'Remote work mental helath'!$A$2:$T$1001,9,)</f>
        <v>7</v>
      </c>
    </row>
    <row r="326" spans="1:6" x14ac:dyDescent="0.3">
      <c r="A326" t="s">
        <v>375</v>
      </c>
      <c r="B326" t="str">
        <f>VLOOKUP(A326,'Remote work mental helath'!$A$2:$T$1001,5,)</f>
        <v>Finance</v>
      </c>
      <c r="C326" t="str">
        <f>VLOOKUP(A326,'Remote work mental helath'!$A$2:$T$1001,7,)</f>
        <v>Hybrid</v>
      </c>
      <c r="D326">
        <f>VLOOKUP(A326,'Remote work mental helath'!$A$2:$T$1001,6,)</f>
        <v>4</v>
      </c>
      <c r="E326">
        <f>VLOOKUP(A326,'Remote work mental helath'!$A$2:$T$1001,8,)</f>
        <v>52</v>
      </c>
      <c r="F326">
        <f>VLOOKUP(A326,'Remote work mental helath'!$A$2:$T$1001,9,)</f>
        <v>13</v>
      </c>
    </row>
    <row r="327" spans="1:6" x14ac:dyDescent="0.3">
      <c r="A327" t="s">
        <v>376</v>
      </c>
      <c r="B327" t="str">
        <f>VLOOKUP(A327,'Remote work mental helath'!$A$2:$T$1001,5,)</f>
        <v>Manufacturing</v>
      </c>
      <c r="C327" t="str">
        <f>VLOOKUP(A327,'Remote work mental helath'!$A$2:$T$1001,7,)</f>
        <v>Onsite</v>
      </c>
      <c r="D327">
        <f>VLOOKUP(A327,'Remote work mental helath'!$A$2:$T$1001,6,)</f>
        <v>2</v>
      </c>
      <c r="E327">
        <f>VLOOKUP(A327,'Remote work mental helath'!$A$2:$T$1001,8,)</f>
        <v>49</v>
      </c>
      <c r="F327">
        <f>VLOOKUP(A327,'Remote work mental helath'!$A$2:$T$1001,9,)</f>
        <v>7</v>
      </c>
    </row>
    <row r="328" spans="1:6" x14ac:dyDescent="0.3">
      <c r="A328" t="s">
        <v>377</v>
      </c>
      <c r="B328" t="str">
        <f>VLOOKUP(A328,'Remote work mental helath'!$A$2:$T$1001,5,)</f>
        <v>Consulting</v>
      </c>
      <c r="C328" t="str">
        <f>VLOOKUP(A328,'Remote work mental helath'!$A$2:$T$1001,7,)</f>
        <v>Hybrid</v>
      </c>
      <c r="D328">
        <f>VLOOKUP(A328,'Remote work mental helath'!$A$2:$T$1001,6,)</f>
        <v>19</v>
      </c>
      <c r="E328">
        <f>VLOOKUP(A328,'Remote work mental helath'!$A$2:$T$1001,8,)</f>
        <v>55</v>
      </c>
      <c r="F328">
        <f>VLOOKUP(A328,'Remote work mental helath'!$A$2:$T$1001,9,)</f>
        <v>4</v>
      </c>
    </row>
    <row r="329" spans="1:6" x14ac:dyDescent="0.3">
      <c r="A329" t="s">
        <v>378</v>
      </c>
      <c r="B329" t="str">
        <f>VLOOKUP(A329,'Remote work mental helath'!$A$2:$T$1001,5,)</f>
        <v>Healthcare</v>
      </c>
      <c r="C329" t="str">
        <f>VLOOKUP(A329,'Remote work mental helath'!$A$2:$T$1001,7,)</f>
        <v>Remote</v>
      </c>
      <c r="D329">
        <f>VLOOKUP(A329,'Remote work mental helath'!$A$2:$T$1001,6,)</f>
        <v>13</v>
      </c>
      <c r="E329">
        <f>VLOOKUP(A329,'Remote work mental helath'!$A$2:$T$1001,8,)</f>
        <v>33</v>
      </c>
      <c r="F329">
        <f>VLOOKUP(A329,'Remote work mental helath'!$A$2:$T$1001,9,)</f>
        <v>0</v>
      </c>
    </row>
    <row r="330" spans="1:6" x14ac:dyDescent="0.3">
      <c r="A330" t="s">
        <v>379</v>
      </c>
      <c r="B330" t="str">
        <f>VLOOKUP(A330,'Remote work mental helath'!$A$2:$T$1001,5,)</f>
        <v>Healthcare</v>
      </c>
      <c r="C330" t="str">
        <f>VLOOKUP(A330,'Remote work mental helath'!$A$2:$T$1001,7,)</f>
        <v>Onsite</v>
      </c>
      <c r="D330">
        <f>VLOOKUP(A330,'Remote work mental helath'!$A$2:$T$1001,6,)</f>
        <v>2</v>
      </c>
      <c r="E330">
        <f>VLOOKUP(A330,'Remote work mental helath'!$A$2:$T$1001,8,)</f>
        <v>24</v>
      </c>
      <c r="F330">
        <f>VLOOKUP(A330,'Remote work mental helath'!$A$2:$T$1001,9,)</f>
        <v>12</v>
      </c>
    </row>
    <row r="331" spans="1:6" x14ac:dyDescent="0.3">
      <c r="A331" t="s">
        <v>380</v>
      </c>
      <c r="B331" t="str">
        <f>VLOOKUP(A331,'Remote work mental helath'!$A$2:$T$1001,5,)</f>
        <v>Consulting</v>
      </c>
      <c r="C331" t="str">
        <f>VLOOKUP(A331,'Remote work mental helath'!$A$2:$T$1001,7,)</f>
        <v>Onsite</v>
      </c>
      <c r="D331">
        <f>VLOOKUP(A331,'Remote work mental helath'!$A$2:$T$1001,6,)</f>
        <v>31</v>
      </c>
      <c r="E331">
        <f>VLOOKUP(A331,'Remote work mental helath'!$A$2:$T$1001,8,)</f>
        <v>21</v>
      </c>
      <c r="F331">
        <f>VLOOKUP(A331,'Remote work mental helath'!$A$2:$T$1001,9,)</f>
        <v>15</v>
      </c>
    </row>
    <row r="332" spans="1:6" x14ac:dyDescent="0.3">
      <c r="A332" t="s">
        <v>381</v>
      </c>
      <c r="B332" t="str">
        <f>VLOOKUP(A332,'Remote work mental helath'!$A$2:$T$1001,5,)</f>
        <v>Education</v>
      </c>
      <c r="C332" t="str">
        <f>VLOOKUP(A332,'Remote work mental helath'!$A$2:$T$1001,7,)</f>
        <v>Remote</v>
      </c>
      <c r="D332">
        <f>VLOOKUP(A332,'Remote work mental helath'!$A$2:$T$1001,6,)</f>
        <v>28</v>
      </c>
      <c r="E332">
        <f>VLOOKUP(A332,'Remote work mental helath'!$A$2:$T$1001,8,)</f>
        <v>55</v>
      </c>
      <c r="F332">
        <f>VLOOKUP(A332,'Remote work mental helath'!$A$2:$T$1001,9,)</f>
        <v>12</v>
      </c>
    </row>
    <row r="333" spans="1:6" x14ac:dyDescent="0.3">
      <c r="A333" t="s">
        <v>382</v>
      </c>
      <c r="B333" t="str">
        <f>VLOOKUP(A333,'Remote work mental helath'!$A$2:$T$1001,5,)</f>
        <v>Education</v>
      </c>
      <c r="C333" t="str">
        <f>VLOOKUP(A333,'Remote work mental helath'!$A$2:$T$1001,7,)</f>
        <v>Remote</v>
      </c>
      <c r="D333">
        <f>VLOOKUP(A333,'Remote work mental helath'!$A$2:$T$1001,6,)</f>
        <v>25</v>
      </c>
      <c r="E333">
        <f>VLOOKUP(A333,'Remote work mental helath'!$A$2:$T$1001,8,)</f>
        <v>44</v>
      </c>
      <c r="F333">
        <f>VLOOKUP(A333,'Remote work mental helath'!$A$2:$T$1001,9,)</f>
        <v>10</v>
      </c>
    </row>
    <row r="334" spans="1:6" x14ac:dyDescent="0.3">
      <c r="A334" t="s">
        <v>383</v>
      </c>
      <c r="B334" t="str">
        <f>VLOOKUP(A334,'Remote work mental helath'!$A$2:$T$1001,5,)</f>
        <v>Manufacturing</v>
      </c>
      <c r="C334" t="str">
        <f>VLOOKUP(A334,'Remote work mental helath'!$A$2:$T$1001,7,)</f>
        <v>Onsite</v>
      </c>
      <c r="D334">
        <f>VLOOKUP(A334,'Remote work mental helath'!$A$2:$T$1001,6,)</f>
        <v>21</v>
      </c>
      <c r="E334">
        <f>VLOOKUP(A334,'Remote work mental helath'!$A$2:$T$1001,8,)</f>
        <v>24</v>
      </c>
      <c r="F334">
        <f>VLOOKUP(A334,'Remote work mental helath'!$A$2:$T$1001,9,)</f>
        <v>7</v>
      </c>
    </row>
    <row r="335" spans="1:6" x14ac:dyDescent="0.3">
      <c r="A335" t="s">
        <v>384</v>
      </c>
      <c r="B335" t="str">
        <f>VLOOKUP(A335,'Remote work mental helath'!$A$2:$T$1001,5,)</f>
        <v>IT</v>
      </c>
      <c r="C335" t="str">
        <f>VLOOKUP(A335,'Remote work mental helath'!$A$2:$T$1001,7,)</f>
        <v>Onsite</v>
      </c>
      <c r="D335">
        <f>VLOOKUP(A335,'Remote work mental helath'!$A$2:$T$1001,6,)</f>
        <v>11</v>
      </c>
      <c r="E335">
        <f>VLOOKUP(A335,'Remote work mental helath'!$A$2:$T$1001,8,)</f>
        <v>25</v>
      </c>
      <c r="F335">
        <f>VLOOKUP(A335,'Remote work mental helath'!$A$2:$T$1001,9,)</f>
        <v>6</v>
      </c>
    </row>
    <row r="336" spans="1:6" x14ac:dyDescent="0.3">
      <c r="A336" t="s">
        <v>385</v>
      </c>
      <c r="B336" t="str">
        <f>VLOOKUP(A336,'Remote work mental helath'!$A$2:$T$1001,5,)</f>
        <v>Education</v>
      </c>
      <c r="C336" t="str">
        <f>VLOOKUP(A336,'Remote work mental helath'!$A$2:$T$1001,7,)</f>
        <v>Hybrid</v>
      </c>
      <c r="D336">
        <f>VLOOKUP(A336,'Remote work mental helath'!$A$2:$T$1001,6,)</f>
        <v>16</v>
      </c>
      <c r="E336">
        <f>VLOOKUP(A336,'Remote work mental helath'!$A$2:$T$1001,8,)</f>
        <v>40</v>
      </c>
      <c r="F336">
        <f>VLOOKUP(A336,'Remote work mental helath'!$A$2:$T$1001,9,)</f>
        <v>0</v>
      </c>
    </row>
    <row r="337" spans="1:6" x14ac:dyDescent="0.3">
      <c r="A337" t="s">
        <v>386</v>
      </c>
      <c r="B337" t="str">
        <f>VLOOKUP(A337,'Remote work mental helath'!$A$2:$T$1001,5,)</f>
        <v>IT</v>
      </c>
      <c r="C337" t="str">
        <f>VLOOKUP(A337,'Remote work mental helath'!$A$2:$T$1001,7,)</f>
        <v>Hybrid</v>
      </c>
      <c r="D337">
        <f>VLOOKUP(A337,'Remote work mental helath'!$A$2:$T$1001,6,)</f>
        <v>32</v>
      </c>
      <c r="E337">
        <f>VLOOKUP(A337,'Remote work mental helath'!$A$2:$T$1001,8,)</f>
        <v>59</v>
      </c>
      <c r="F337">
        <f>VLOOKUP(A337,'Remote work mental helath'!$A$2:$T$1001,9,)</f>
        <v>3</v>
      </c>
    </row>
    <row r="338" spans="1:6" x14ac:dyDescent="0.3">
      <c r="A338" t="s">
        <v>387</v>
      </c>
      <c r="B338" t="str">
        <f>VLOOKUP(A338,'Remote work mental helath'!$A$2:$T$1001,5,)</f>
        <v>IT</v>
      </c>
      <c r="C338" t="str">
        <f>VLOOKUP(A338,'Remote work mental helath'!$A$2:$T$1001,7,)</f>
        <v>Onsite</v>
      </c>
      <c r="D338">
        <f>VLOOKUP(A338,'Remote work mental helath'!$A$2:$T$1001,6,)</f>
        <v>31</v>
      </c>
      <c r="E338">
        <f>VLOOKUP(A338,'Remote work mental helath'!$A$2:$T$1001,8,)</f>
        <v>22</v>
      </c>
      <c r="F338">
        <f>VLOOKUP(A338,'Remote work mental helath'!$A$2:$T$1001,9,)</f>
        <v>9</v>
      </c>
    </row>
    <row r="339" spans="1:6" x14ac:dyDescent="0.3">
      <c r="A339" t="s">
        <v>388</v>
      </c>
      <c r="B339" t="str">
        <f>VLOOKUP(A339,'Remote work mental helath'!$A$2:$T$1001,5,)</f>
        <v>Consulting</v>
      </c>
      <c r="C339" t="str">
        <f>VLOOKUP(A339,'Remote work mental helath'!$A$2:$T$1001,7,)</f>
        <v>Hybrid</v>
      </c>
      <c r="D339">
        <f>VLOOKUP(A339,'Remote work mental helath'!$A$2:$T$1001,6,)</f>
        <v>4</v>
      </c>
      <c r="E339">
        <f>VLOOKUP(A339,'Remote work mental helath'!$A$2:$T$1001,8,)</f>
        <v>47</v>
      </c>
      <c r="F339">
        <f>VLOOKUP(A339,'Remote work mental helath'!$A$2:$T$1001,9,)</f>
        <v>15</v>
      </c>
    </row>
    <row r="340" spans="1:6" x14ac:dyDescent="0.3">
      <c r="A340" t="s">
        <v>389</v>
      </c>
      <c r="B340" t="str">
        <f>VLOOKUP(A340,'Remote work mental helath'!$A$2:$T$1001,5,)</f>
        <v>Finance</v>
      </c>
      <c r="C340" t="str">
        <f>VLOOKUP(A340,'Remote work mental helath'!$A$2:$T$1001,7,)</f>
        <v>Hybrid</v>
      </c>
      <c r="D340">
        <f>VLOOKUP(A340,'Remote work mental helath'!$A$2:$T$1001,6,)</f>
        <v>32</v>
      </c>
      <c r="E340">
        <f>VLOOKUP(A340,'Remote work mental helath'!$A$2:$T$1001,8,)</f>
        <v>31</v>
      </c>
      <c r="F340">
        <f>VLOOKUP(A340,'Remote work mental helath'!$A$2:$T$1001,9,)</f>
        <v>15</v>
      </c>
    </row>
    <row r="341" spans="1:6" x14ac:dyDescent="0.3">
      <c r="A341" t="s">
        <v>390</v>
      </c>
      <c r="B341" t="str">
        <f>VLOOKUP(A341,'Remote work mental helath'!$A$2:$T$1001,5,)</f>
        <v>IT</v>
      </c>
      <c r="C341" t="str">
        <f>VLOOKUP(A341,'Remote work mental helath'!$A$2:$T$1001,7,)</f>
        <v>Onsite</v>
      </c>
      <c r="D341">
        <f>VLOOKUP(A341,'Remote work mental helath'!$A$2:$T$1001,6,)</f>
        <v>2</v>
      </c>
      <c r="E341">
        <f>VLOOKUP(A341,'Remote work mental helath'!$A$2:$T$1001,8,)</f>
        <v>41</v>
      </c>
      <c r="F341">
        <f>VLOOKUP(A341,'Remote work mental helath'!$A$2:$T$1001,9,)</f>
        <v>5</v>
      </c>
    </row>
    <row r="342" spans="1:6" x14ac:dyDescent="0.3">
      <c r="A342" t="s">
        <v>391</v>
      </c>
      <c r="B342" t="str">
        <f>VLOOKUP(A342,'Remote work mental helath'!$A$2:$T$1001,5,)</f>
        <v>Manufacturing</v>
      </c>
      <c r="C342" t="str">
        <f>VLOOKUP(A342,'Remote work mental helath'!$A$2:$T$1001,7,)</f>
        <v>Remote</v>
      </c>
      <c r="D342">
        <f>VLOOKUP(A342,'Remote work mental helath'!$A$2:$T$1001,6,)</f>
        <v>18</v>
      </c>
      <c r="E342">
        <f>VLOOKUP(A342,'Remote work mental helath'!$A$2:$T$1001,8,)</f>
        <v>52</v>
      </c>
      <c r="F342">
        <f>VLOOKUP(A342,'Remote work mental helath'!$A$2:$T$1001,9,)</f>
        <v>0</v>
      </c>
    </row>
    <row r="343" spans="1:6" x14ac:dyDescent="0.3">
      <c r="A343" t="s">
        <v>392</v>
      </c>
      <c r="B343" t="str">
        <f>VLOOKUP(A343,'Remote work mental helath'!$A$2:$T$1001,5,)</f>
        <v>Finance</v>
      </c>
      <c r="C343" t="str">
        <f>VLOOKUP(A343,'Remote work mental helath'!$A$2:$T$1001,7,)</f>
        <v>Hybrid</v>
      </c>
      <c r="D343">
        <f>VLOOKUP(A343,'Remote work mental helath'!$A$2:$T$1001,6,)</f>
        <v>6</v>
      </c>
      <c r="E343">
        <f>VLOOKUP(A343,'Remote work mental helath'!$A$2:$T$1001,8,)</f>
        <v>48</v>
      </c>
      <c r="F343">
        <f>VLOOKUP(A343,'Remote work mental helath'!$A$2:$T$1001,9,)</f>
        <v>0</v>
      </c>
    </row>
    <row r="344" spans="1:6" x14ac:dyDescent="0.3">
      <c r="A344" t="s">
        <v>393</v>
      </c>
      <c r="B344" t="str">
        <f>VLOOKUP(A344,'Remote work mental helath'!$A$2:$T$1001,5,)</f>
        <v>Finance</v>
      </c>
      <c r="C344" t="str">
        <f>VLOOKUP(A344,'Remote work mental helath'!$A$2:$T$1001,7,)</f>
        <v>Onsite</v>
      </c>
      <c r="D344">
        <f>VLOOKUP(A344,'Remote work mental helath'!$A$2:$T$1001,6,)</f>
        <v>20</v>
      </c>
      <c r="E344">
        <f>VLOOKUP(A344,'Remote work mental helath'!$A$2:$T$1001,8,)</f>
        <v>41</v>
      </c>
      <c r="F344">
        <f>VLOOKUP(A344,'Remote work mental helath'!$A$2:$T$1001,9,)</f>
        <v>14</v>
      </c>
    </row>
    <row r="345" spans="1:6" x14ac:dyDescent="0.3">
      <c r="A345" t="s">
        <v>394</v>
      </c>
      <c r="B345" t="str">
        <f>VLOOKUP(A345,'Remote work mental helath'!$A$2:$T$1001,5,)</f>
        <v>Finance</v>
      </c>
      <c r="C345" t="str">
        <f>VLOOKUP(A345,'Remote work mental helath'!$A$2:$T$1001,7,)</f>
        <v>Remote</v>
      </c>
      <c r="D345">
        <f>VLOOKUP(A345,'Remote work mental helath'!$A$2:$T$1001,6,)</f>
        <v>15</v>
      </c>
      <c r="E345">
        <f>VLOOKUP(A345,'Remote work mental helath'!$A$2:$T$1001,8,)</f>
        <v>21</v>
      </c>
      <c r="F345">
        <f>VLOOKUP(A345,'Remote work mental helath'!$A$2:$T$1001,9,)</f>
        <v>7</v>
      </c>
    </row>
    <row r="346" spans="1:6" x14ac:dyDescent="0.3">
      <c r="A346" t="s">
        <v>395</v>
      </c>
      <c r="B346" t="str">
        <f>VLOOKUP(A346,'Remote work mental helath'!$A$2:$T$1001,5,)</f>
        <v>Healthcare</v>
      </c>
      <c r="C346" t="str">
        <f>VLOOKUP(A346,'Remote work mental helath'!$A$2:$T$1001,7,)</f>
        <v>Hybrid</v>
      </c>
      <c r="D346">
        <f>VLOOKUP(A346,'Remote work mental helath'!$A$2:$T$1001,6,)</f>
        <v>3</v>
      </c>
      <c r="E346">
        <f>VLOOKUP(A346,'Remote work mental helath'!$A$2:$T$1001,8,)</f>
        <v>49</v>
      </c>
      <c r="F346">
        <f>VLOOKUP(A346,'Remote work mental helath'!$A$2:$T$1001,9,)</f>
        <v>15</v>
      </c>
    </row>
    <row r="347" spans="1:6" x14ac:dyDescent="0.3">
      <c r="A347" t="s">
        <v>396</v>
      </c>
      <c r="B347" t="str">
        <f>VLOOKUP(A347,'Remote work mental helath'!$A$2:$T$1001,5,)</f>
        <v>Education</v>
      </c>
      <c r="C347" t="str">
        <f>VLOOKUP(A347,'Remote work mental helath'!$A$2:$T$1001,7,)</f>
        <v>Remote</v>
      </c>
      <c r="D347">
        <f>VLOOKUP(A347,'Remote work mental helath'!$A$2:$T$1001,6,)</f>
        <v>29</v>
      </c>
      <c r="E347">
        <f>VLOOKUP(A347,'Remote work mental helath'!$A$2:$T$1001,8,)</f>
        <v>32</v>
      </c>
      <c r="F347">
        <f>VLOOKUP(A347,'Remote work mental helath'!$A$2:$T$1001,9,)</f>
        <v>7</v>
      </c>
    </row>
    <row r="348" spans="1:6" x14ac:dyDescent="0.3">
      <c r="A348" t="s">
        <v>397</v>
      </c>
      <c r="B348" t="str">
        <f>VLOOKUP(A348,'Remote work mental helath'!$A$2:$T$1001,5,)</f>
        <v>Education</v>
      </c>
      <c r="C348" t="str">
        <f>VLOOKUP(A348,'Remote work mental helath'!$A$2:$T$1001,7,)</f>
        <v>Remote</v>
      </c>
      <c r="D348">
        <f>VLOOKUP(A348,'Remote work mental helath'!$A$2:$T$1001,6,)</f>
        <v>12</v>
      </c>
      <c r="E348">
        <f>VLOOKUP(A348,'Remote work mental helath'!$A$2:$T$1001,8,)</f>
        <v>40</v>
      </c>
      <c r="F348">
        <f>VLOOKUP(A348,'Remote work mental helath'!$A$2:$T$1001,9,)</f>
        <v>12</v>
      </c>
    </row>
    <row r="349" spans="1:6" x14ac:dyDescent="0.3">
      <c r="A349" t="s">
        <v>398</v>
      </c>
      <c r="B349" t="str">
        <f>VLOOKUP(A349,'Remote work mental helath'!$A$2:$T$1001,5,)</f>
        <v>Finance</v>
      </c>
      <c r="C349" t="str">
        <f>VLOOKUP(A349,'Remote work mental helath'!$A$2:$T$1001,7,)</f>
        <v>Onsite</v>
      </c>
      <c r="D349">
        <f>VLOOKUP(A349,'Remote work mental helath'!$A$2:$T$1001,6,)</f>
        <v>23</v>
      </c>
      <c r="E349">
        <f>VLOOKUP(A349,'Remote work mental helath'!$A$2:$T$1001,8,)</f>
        <v>22</v>
      </c>
      <c r="F349">
        <f>VLOOKUP(A349,'Remote work mental helath'!$A$2:$T$1001,9,)</f>
        <v>10</v>
      </c>
    </row>
    <row r="350" spans="1:6" x14ac:dyDescent="0.3">
      <c r="A350" t="s">
        <v>399</v>
      </c>
      <c r="B350" t="str">
        <f>VLOOKUP(A350,'Remote work mental helath'!$A$2:$T$1001,5,)</f>
        <v>Consulting</v>
      </c>
      <c r="C350" t="str">
        <f>VLOOKUP(A350,'Remote work mental helath'!$A$2:$T$1001,7,)</f>
        <v>Hybrid</v>
      </c>
      <c r="D350">
        <f>VLOOKUP(A350,'Remote work mental helath'!$A$2:$T$1001,6,)</f>
        <v>34</v>
      </c>
      <c r="E350">
        <f>VLOOKUP(A350,'Remote work mental helath'!$A$2:$T$1001,8,)</f>
        <v>44</v>
      </c>
      <c r="F350">
        <f>VLOOKUP(A350,'Remote work mental helath'!$A$2:$T$1001,9,)</f>
        <v>9</v>
      </c>
    </row>
    <row r="351" spans="1:6" x14ac:dyDescent="0.3">
      <c r="A351" t="s">
        <v>400</v>
      </c>
      <c r="B351" t="str">
        <f>VLOOKUP(A351,'Remote work mental helath'!$A$2:$T$1001,5,)</f>
        <v>Manufacturing</v>
      </c>
      <c r="C351" t="str">
        <f>VLOOKUP(A351,'Remote work mental helath'!$A$2:$T$1001,7,)</f>
        <v>Onsite</v>
      </c>
      <c r="D351">
        <f>VLOOKUP(A351,'Remote work mental helath'!$A$2:$T$1001,6,)</f>
        <v>16</v>
      </c>
      <c r="E351">
        <f>VLOOKUP(A351,'Remote work mental helath'!$A$2:$T$1001,8,)</f>
        <v>41</v>
      </c>
      <c r="F351">
        <f>VLOOKUP(A351,'Remote work mental helath'!$A$2:$T$1001,9,)</f>
        <v>15</v>
      </c>
    </row>
    <row r="352" spans="1:6" x14ac:dyDescent="0.3">
      <c r="A352" t="s">
        <v>401</v>
      </c>
      <c r="B352" t="str">
        <f>VLOOKUP(A352,'Remote work mental helath'!$A$2:$T$1001,5,)</f>
        <v>Manufacturing</v>
      </c>
      <c r="C352" t="str">
        <f>VLOOKUP(A352,'Remote work mental helath'!$A$2:$T$1001,7,)</f>
        <v>Remote</v>
      </c>
      <c r="D352">
        <f>VLOOKUP(A352,'Remote work mental helath'!$A$2:$T$1001,6,)</f>
        <v>6</v>
      </c>
      <c r="E352">
        <f>VLOOKUP(A352,'Remote work mental helath'!$A$2:$T$1001,8,)</f>
        <v>37</v>
      </c>
      <c r="F352">
        <f>VLOOKUP(A352,'Remote work mental helath'!$A$2:$T$1001,9,)</f>
        <v>11</v>
      </c>
    </row>
    <row r="353" spans="1:6" x14ac:dyDescent="0.3">
      <c r="A353" t="s">
        <v>402</v>
      </c>
      <c r="B353" t="str">
        <f>VLOOKUP(A353,'Remote work mental helath'!$A$2:$T$1001,5,)</f>
        <v>Healthcare</v>
      </c>
      <c r="C353" t="str">
        <f>VLOOKUP(A353,'Remote work mental helath'!$A$2:$T$1001,7,)</f>
        <v>Onsite</v>
      </c>
      <c r="D353">
        <f>VLOOKUP(A353,'Remote work mental helath'!$A$2:$T$1001,6,)</f>
        <v>18</v>
      </c>
      <c r="E353">
        <f>VLOOKUP(A353,'Remote work mental helath'!$A$2:$T$1001,8,)</f>
        <v>54</v>
      </c>
      <c r="F353">
        <f>VLOOKUP(A353,'Remote work mental helath'!$A$2:$T$1001,9,)</f>
        <v>12</v>
      </c>
    </row>
    <row r="354" spans="1:6" x14ac:dyDescent="0.3">
      <c r="A354" t="s">
        <v>403</v>
      </c>
      <c r="B354" t="str">
        <f>VLOOKUP(A354,'Remote work mental helath'!$A$2:$T$1001,5,)</f>
        <v>Retail</v>
      </c>
      <c r="C354" t="str">
        <f>VLOOKUP(A354,'Remote work mental helath'!$A$2:$T$1001,7,)</f>
        <v>Onsite</v>
      </c>
      <c r="D354">
        <f>VLOOKUP(A354,'Remote work mental helath'!$A$2:$T$1001,6,)</f>
        <v>3</v>
      </c>
      <c r="E354">
        <f>VLOOKUP(A354,'Remote work mental helath'!$A$2:$T$1001,8,)</f>
        <v>31</v>
      </c>
      <c r="F354">
        <f>VLOOKUP(A354,'Remote work mental helath'!$A$2:$T$1001,9,)</f>
        <v>3</v>
      </c>
    </row>
    <row r="355" spans="1:6" x14ac:dyDescent="0.3">
      <c r="A355" t="s">
        <v>404</v>
      </c>
      <c r="B355" t="str">
        <f>VLOOKUP(A355,'Remote work mental helath'!$A$2:$T$1001,5,)</f>
        <v>Consulting</v>
      </c>
      <c r="C355" t="str">
        <f>VLOOKUP(A355,'Remote work mental helath'!$A$2:$T$1001,7,)</f>
        <v>Hybrid</v>
      </c>
      <c r="D355">
        <f>VLOOKUP(A355,'Remote work mental helath'!$A$2:$T$1001,6,)</f>
        <v>14</v>
      </c>
      <c r="E355">
        <f>VLOOKUP(A355,'Remote work mental helath'!$A$2:$T$1001,8,)</f>
        <v>53</v>
      </c>
      <c r="F355">
        <f>VLOOKUP(A355,'Remote work mental helath'!$A$2:$T$1001,9,)</f>
        <v>13</v>
      </c>
    </row>
    <row r="356" spans="1:6" x14ac:dyDescent="0.3">
      <c r="A356" t="s">
        <v>405</v>
      </c>
      <c r="B356" t="str">
        <f>VLOOKUP(A356,'Remote work mental helath'!$A$2:$T$1001,5,)</f>
        <v>Education</v>
      </c>
      <c r="C356" t="str">
        <f>VLOOKUP(A356,'Remote work mental helath'!$A$2:$T$1001,7,)</f>
        <v>Remote</v>
      </c>
      <c r="D356">
        <f>VLOOKUP(A356,'Remote work mental helath'!$A$2:$T$1001,6,)</f>
        <v>20</v>
      </c>
      <c r="E356">
        <f>VLOOKUP(A356,'Remote work mental helath'!$A$2:$T$1001,8,)</f>
        <v>23</v>
      </c>
      <c r="F356">
        <f>VLOOKUP(A356,'Remote work mental helath'!$A$2:$T$1001,9,)</f>
        <v>13</v>
      </c>
    </row>
    <row r="357" spans="1:6" x14ac:dyDescent="0.3">
      <c r="A357" t="s">
        <v>406</v>
      </c>
      <c r="B357" t="str">
        <f>VLOOKUP(A357,'Remote work mental helath'!$A$2:$T$1001,5,)</f>
        <v>Healthcare</v>
      </c>
      <c r="C357" t="str">
        <f>VLOOKUP(A357,'Remote work mental helath'!$A$2:$T$1001,7,)</f>
        <v>Remote</v>
      </c>
      <c r="D357">
        <f>VLOOKUP(A357,'Remote work mental helath'!$A$2:$T$1001,6,)</f>
        <v>2</v>
      </c>
      <c r="E357">
        <f>VLOOKUP(A357,'Remote work mental helath'!$A$2:$T$1001,8,)</f>
        <v>58</v>
      </c>
      <c r="F357">
        <f>VLOOKUP(A357,'Remote work mental helath'!$A$2:$T$1001,9,)</f>
        <v>3</v>
      </c>
    </row>
    <row r="358" spans="1:6" x14ac:dyDescent="0.3">
      <c r="A358" t="s">
        <v>407</v>
      </c>
      <c r="B358" t="str">
        <f>VLOOKUP(A358,'Remote work mental helath'!$A$2:$T$1001,5,)</f>
        <v>Finance</v>
      </c>
      <c r="C358" t="str">
        <f>VLOOKUP(A358,'Remote work mental helath'!$A$2:$T$1001,7,)</f>
        <v>Remote</v>
      </c>
      <c r="D358">
        <f>VLOOKUP(A358,'Remote work mental helath'!$A$2:$T$1001,6,)</f>
        <v>9</v>
      </c>
      <c r="E358">
        <f>VLOOKUP(A358,'Remote work mental helath'!$A$2:$T$1001,8,)</f>
        <v>26</v>
      </c>
      <c r="F358">
        <f>VLOOKUP(A358,'Remote work mental helath'!$A$2:$T$1001,9,)</f>
        <v>7</v>
      </c>
    </row>
    <row r="359" spans="1:6" x14ac:dyDescent="0.3">
      <c r="A359" t="s">
        <v>408</v>
      </c>
      <c r="B359" t="str">
        <f>VLOOKUP(A359,'Remote work mental helath'!$A$2:$T$1001,5,)</f>
        <v>Manufacturing</v>
      </c>
      <c r="C359" t="str">
        <f>VLOOKUP(A359,'Remote work mental helath'!$A$2:$T$1001,7,)</f>
        <v>Remote</v>
      </c>
      <c r="D359">
        <f>VLOOKUP(A359,'Remote work mental helath'!$A$2:$T$1001,6,)</f>
        <v>23</v>
      </c>
      <c r="E359">
        <f>VLOOKUP(A359,'Remote work mental helath'!$A$2:$T$1001,8,)</f>
        <v>46</v>
      </c>
      <c r="F359">
        <f>VLOOKUP(A359,'Remote work mental helath'!$A$2:$T$1001,9,)</f>
        <v>7</v>
      </c>
    </row>
    <row r="360" spans="1:6" x14ac:dyDescent="0.3">
      <c r="A360" t="s">
        <v>409</v>
      </c>
      <c r="B360" t="str">
        <f>VLOOKUP(A360,'Remote work mental helath'!$A$2:$T$1001,5,)</f>
        <v>Manufacturing</v>
      </c>
      <c r="C360" t="str">
        <f>VLOOKUP(A360,'Remote work mental helath'!$A$2:$T$1001,7,)</f>
        <v>Remote</v>
      </c>
      <c r="D360">
        <f>VLOOKUP(A360,'Remote work mental helath'!$A$2:$T$1001,6,)</f>
        <v>6</v>
      </c>
      <c r="E360">
        <f>VLOOKUP(A360,'Remote work mental helath'!$A$2:$T$1001,8,)</f>
        <v>20</v>
      </c>
      <c r="F360">
        <f>VLOOKUP(A360,'Remote work mental helath'!$A$2:$T$1001,9,)</f>
        <v>7</v>
      </c>
    </row>
    <row r="361" spans="1:6" x14ac:dyDescent="0.3">
      <c r="A361" t="s">
        <v>410</v>
      </c>
      <c r="B361" t="str">
        <f>VLOOKUP(A361,'Remote work mental helath'!$A$2:$T$1001,5,)</f>
        <v>Finance</v>
      </c>
      <c r="C361" t="str">
        <f>VLOOKUP(A361,'Remote work mental helath'!$A$2:$T$1001,7,)</f>
        <v>Hybrid</v>
      </c>
      <c r="D361">
        <f>VLOOKUP(A361,'Remote work mental helath'!$A$2:$T$1001,6,)</f>
        <v>13</v>
      </c>
      <c r="E361">
        <f>VLOOKUP(A361,'Remote work mental helath'!$A$2:$T$1001,8,)</f>
        <v>56</v>
      </c>
      <c r="F361">
        <f>VLOOKUP(A361,'Remote work mental helath'!$A$2:$T$1001,9,)</f>
        <v>0</v>
      </c>
    </row>
    <row r="362" spans="1:6" x14ac:dyDescent="0.3">
      <c r="A362" t="s">
        <v>411</v>
      </c>
      <c r="B362" t="str">
        <f>VLOOKUP(A362,'Remote work mental helath'!$A$2:$T$1001,5,)</f>
        <v>Retail</v>
      </c>
      <c r="C362" t="str">
        <f>VLOOKUP(A362,'Remote work mental helath'!$A$2:$T$1001,7,)</f>
        <v>Onsite</v>
      </c>
      <c r="D362">
        <f>VLOOKUP(A362,'Remote work mental helath'!$A$2:$T$1001,6,)</f>
        <v>30</v>
      </c>
      <c r="E362">
        <f>VLOOKUP(A362,'Remote work mental helath'!$A$2:$T$1001,8,)</f>
        <v>28</v>
      </c>
      <c r="F362">
        <f>VLOOKUP(A362,'Remote work mental helath'!$A$2:$T$1001,9,)</f>
        <v>15</v>
      </c>
    </row>
    <row r="363" spans="1:6" x14ac:dyDescent="0.3">
      <c r="A363" t="s">
        <v>412</v>
      </c>
      <c r="B363" t="str">
        <f>VLOOKUP(A363,'Remote work mental helath'!$A$2:$T$1001,5,)</f>
        <v>Consulting</v>
      </c>
      <c r="C363" t="str">
        <f>VLOOKUP(A363,'Remote work mental helath'!$A$2:$T$1001,7,)</f>
        <v>Hybrid</v>
      </c>
      <c r="D363">
        <f>VLOOKUP(A363,'Remote work mental helath'!$A$2:$T$1001,6,)</f>
        <v>10</v>
      </c>
      <c r="E363">
        <f>VLOOKUP(A363,'Remote work mental helath'!$A$2:$T$1001,8,)</f>
        <v>39</v>
      </c>
      <c r="F363">
        <f>VLOOKUP(A363,'Remote work mental helath'!$A$2:$T$1001,9,)</f>
        <v>2</v>
      </c>
    </row>
    <row r="364" spans="1:6" x14ac:dyDescent="0.3">
      <c r="A364" t="s">
        <v>413</v>
      </c>
      <c r="B364" t="str">
        <f>VLOOKUP(A364,'Remote work mental helath'!$A$2:$T$1001,5,)</f>
        <v>Manufacturing</v>
      </c>
      <c r="C364" t="str">
        <f>VLOOKUP(A364,'Remote work mental helath'!$A$2:$T$1001,7,)</f>
        <v>Onsite</v>
      </c>
      <c r="D364">
        <f>VLOOKUP(A364,'Remote work mental helath'!$A$2:$T$1001,6,)</f>
        <v>11</v>
      </c>
      <c r="E364">
        <f>VLOOKUP(A364,'Remote work mental helath'!$A$2:$T$1001,8,)</f>
        <v>22</v>
      </c>
      <c r="F364">
        <f>VLOOKUP(A364,'Remote work mental helath'!$A$2:$T$1001,9,)</f>
        <v>10</v>
      </c>
    </row>
    <row r="365" spans="1:6" x14ac:dyDescent="0.3">
      <c r="A365" t="s">
        <v>414</v>
      </c>
      <c r="B365" t="str">
        <f>VLOOKUP(A365,'Remote work mental helath'!$A$2:$T$1001,5,)</f>
        <v>IT</v>
      </c>
      <c r="C365" t="str">
        <f>VLOOKUP(A365,'Remote work mental helath'!$A$2:$T$1001,7,)</f>
        <v>Onsite</v>
      </c>
      <c r="D365">
        <f>VLOOKUP(A365,'Remote work mental helath'!$A$2:$T$1001,6,)</f>
        <v>9</v>
      </c>
      <c r="E365">
        <f>VLOOKUP(A365,'Remote work mental helath'!$A$2:$T$1001,8,)</f>
        <v>32</v>
      </c>
      <c r="F365">
        <f>VLOOKUP(A365,'Remote work mental helath'!$A$2:$T$1001,9,)</f>
        <v>4</v>
      </c>
    </row>
    <row r="366" spans="1:6" x14ac:dyDescent="0.3">
      <c r="A366" t="s">
        <v>415</v>
      </c>
      <c r="B366" t="str">
        <f>VLOOKUP(A366,'Remote work mental helath'!$A$2:$T$1001,5,)</f>
        <v>Consulting</v>
      </c>
      <c r="C366" t="str">
        <f>VLOOKUP(A366,'Remote work mental helath'!$A$2:$T$1001,7,)</f>
        <v>Hybrid</v>
      </c>
      <c r="D366">
        <f>VLOOKUP(A366,'Remote work mental helath'!$A$2:$T$1001,6,)</f>
        <v>23</v>
      </c>
      <c r="E366">
        <f>VLOOKUP(A366,'Remote work mental helath'!$A$2:$T$1001,8,)</f>
        <v>28</v>
      </c>
      <c r="F366">
        <f>VLOOKUP(A366,'Remote work mental helath'!$A$2:$T$1001,9,)</f>
        <v>9</v>
      </c>
    </row>
    <row r="367" spans="1:6" x14ac:dyDescent="0.3">
      <c r="A367" t="s">
        <v>416</v>
      </c>
      <c r="B367" t="str">
        <f>VLOOKUP(A367,'Remote work mental helath'!$A$2:$T$1001,5,)</f>
        <v>IT</v>
      </c>
      <c r="C367" t="str">
        <f>VLOOKUP(A367,'Remote work mental helath'!$A$2:$T$1001,7,)</f>
        <v>Hybrid</v>
      </c>
      <c r="D367">
        <f>VLOOKUP(A367,'Remote work mental helath'!$A$2:$T$1001,6,)</f>
        <v>12</v>
      </c>
      <c r="E367">
        <f>VLOOKUP(A367,'Remote work mental helath'!$A$2:$T$1001,8,)</f>
        <v>22</v>
      </c>
      <c r="F367">
        <f>VLOOKUP(A367,'Remote work mental helath'!$A$2:$T$1001,9,)</f>
        <v>6</v>
      </c>
    </row>
    <row r="368" spans="1:6" x14ac:dyDescent="0.3">
      <c r="A368" t="s">
        <v>417</v>
      </c>
      <c r="B368" t="str">
        <f>VLOOKUP(A368,'Remote work mental helath'!$A$2:$T$1001,5,)</f>
        <v>Manufacturing</v>
      </c>
      <c r="C368" t="str">
        <f>VLOOKUP(A368,'Remote work mental helath'!$A$2:$T$1001,7,)</f>
        <v>Onsite</v>
      </c>
      <c r="D368">
        <f>VLOOKUP(A368,'Remote work mental helath'!$A$2:$T$1001,6,)</f>
        <v>28</v>
      </c>
      <c r="E368">
        <f>VLOOKUP(A368,'Remote work mental helath'!$A$2:$T$1001,8,)</f>
        <v>53</v>
      </c>
      <c r="F368">
        <f>VLOOKUP(A368,'Remote work mental helath'!$A$2:$T$1001,9,)</f>
        <v>2</v>
      </c>
    </row>
    <row r="369" spans="1:6" x14ac:dyDescent="0.3">
      <c r="A369" t="s">
        <v>418</v>
      </c>
      <c r="B369" t="str">
        <f>VLOOKUP(A369,'Remote work mental helath'!$A$2:$T$1001,5,)</f>
        <v>IT</v>
      </c>
      <c r="C369" t="str">
        <f>VLOOKUP(A369,'Remote work mental helath'!$A$2:$T$1001,7,)</f>
        <v>Hybrid</v>
      </c>
      <c r="D369">
        <f>VLOOKUP(A369,'Remote work mental helath'!$A$2:$T$1001,6,)</f>
        <v>32</v>
      </c>
      <c r="E369">
        <f>VLOOKUP(A369,'Remote work mental helath'!$A$2:$T$1001,8,)</f>
        <v>33</v>
      </c>
      <c r="F369">
        <f>VLOOKUP(A369,'Remote work mental helath'!$A$2:$T$1001,9,)</f>
        <v>11</v>
      </c>
    </row>
    <row r="370" spans="1:6" x14ac:dyDescent="0.3">
      <c r="A370" t="s">
        <v>419</v>
      </c>
      <c r="B370" t="str">
        <f>VLOOKUP(A370,'Remote work mental helath'!$A$2:$T$1001,5,)</f>
        <v>Manufacturing</v>
      </c>
      <c r="C370" t="str">
        <f>VLOOKUP(A370,'Remote work mental helath'!$A$2:$T$1001,7,)</f>
        <v>Remote</v>
      </c>
      <c r="D370">
        <f>VLOOKUP(A370,'Remote work mental helath'!$A$2:$T$1001,6,)</f>
        <v>33</v>
      </c>
      <c r="E370">
        <f>VLOOKUP(A370,'Remote work mental helath'!$A$2:$T$1001,8,)</f>
        <v>34</v>
      </c>
      <c r="F370">
        <f>VLOOKUP(A370,'Remote work mental helath'!$A$2:$T$1001,9,)</f>
        <v>5</v>
      </c>
    </row>
    <row r="371" spans="1:6" x14ac:dyDescent="0.3">
      <c r="A371" t="s">
        <v>420</v>
      </c>
      <c r="B371" t="str">
        <f>VLOOKUP(A371,'Remote work mental helath'!$A$2:$T$1001,5,)</f>
        <v>Education</v>
      </c>
      <c r="C371" t="str">
        <f>VLOOKUP(A371,'Remote work mental helath'!$A$2:$T$1001,7,)</f>
        <v>Remote</v>
      </c>
      <c r="D371">
        <f>VLOOKUP(A371,'Remote work mental helath'!$A$2:$T$1001,6,)</f>
        <v>2</v>
      </c>
      <c r="E371">
        <f>VLOOKUP(A371,'Remote work mental helath'!$A$2:$T$1001,8,)</f>
        <v>50</v>
      </c>
      <c r="F371">
        <f>VLOOKUP(A371,'Remote work mental helath'!$A$2:$T$1001,9,)</f>
        <v>0</v>
      </c>
    </row>
    <row r="372" spans="1:6" x14ac:dyDescent="0.3">
      <c r="A372" t="s">
        <v>421</v>
      </c>
      <c r="B372" t="str">
        <f>VLOOKUP(A372,'Remote work mental helath'!$A$2:$T$1001,5,)</f>
        <v>Healthcare</v>
      </c>
      <c r="C372" t="str">
        <f>VLOOKUP(A372,'Remote work mental helath'!$A$2:$T$1001,7,)</f>
        <v>Onsite</v>
      </c>
      <c r="D372">
        <f>VLOOKUP(A372,'Remote work mental helath'!$A$2:$T$1001,6,)</f>
        <v>33</v>
      </c>
      <c r="E372">
        <f>VLOOKUP(A372,'Remote work mental helath'!$A$2:$T$1001,8,)</f>
        <v>28</v>
      </c>
      <c r="F372">
        <f>VLOOKUP(A372,'Remote work mental helath'!$A$2:$T$1001,9,)</f>
        <v>1</v>
      </c>
    </row>
    <row r="373" spans="1:6" x14ac:dyDescent="0.3">
      <c r="A373" t="s">
        <v>422</v>
      </c>
      <c r="B373" t="str">
        <f>VLOOKUP(A373,'Remote work mental helath'!$A$2:$T$1001,5,)</f>
        <v>Healthcare</v>
      </c>
      <c r="C373" t="str">
        <f>VLOOKUP(A373,'Remote work mental helath'!$A$2:$T$1001,7,)</f>
        <v>Onsite</v>
      </c>
      <c r="D373">
        <f>VLOOKUP(A373,'Remote work mental helath'!$A$2:$T$1001,6,)</f>
        <v>16</v>
      </c>
      <c r="E373">
        <f>VLOOKUP(A373,'Remote work mental helath'!$A$2:$T$1001,8,)</f>
        <v>51</v>
      </c>
      <c r="F373">
        <f>VLOOKUP(A373,'Remote work mental helath'!$A$2:$T$1001,9,)</f>
        <v>7</v>
      </c>
    </row>
    <row r="374" spans="1:6" x14ac:dyDescent="0.3">
      <c r="A374" t="s">
        <v>423</v>
      </c>
      <c r="B374" t="str">
        <f>VLOOKUP(A374,'Remote work mental helath'!$A$2:$T$1001,5,)</f>
        <v>Education</v>
      </c>
      <c r="C374" t="str">
        <f>VLOOKUP(A374,'Remote work mental helath'!$A$2:$T$1001,7,)</f>
        <v>Remote</v>
      </c>
      <c r="D374">
        <f>VLOOKUP(A374,'Remote work mental helath'!$A$2:$T$1001,6,)</f>
        <v>12</v>
      </c>
      <c r="E374">
        <f>VLOOKUP(A374,'Remote work mental helath'!$A$2:$T$1001,8,)</f>
        <v>35</v>
      </c>
      <c r="F374">
        <f>VLOOKUP(A374,'Remote work mental helath'!$A$2:$T$1001,9,)</f>
        <v>0</v>
      </c>
    </row>
    <row r="375" spans="1:6" x14ac:dyDescent="0.3">
      <c r="A375" t="s">
        <v>424</v>
      </c>
      <c r="B375" t="str">
        <f>VLOOKUP(A375,'Remote work mental helath'!$A$2:$T$1001,5,)</f>
        <v>Healthcare</v>
      </c>
      <c r="C375" t="str">
        <f>VLOOKUP(A375,'Remote work mental helath'!$A$2:$T$1001,7,)</f>
        <v>Remote</v>
      </c>
      <c r="D375">
        <f>VLOOKUP(A375,'Remote work mental helath'!$A$2:$T$1001,6,)</f>
        <v>25</v>
      </c>
      <c r="E375">
        <f>VLOOKUP(A375,'Remote work mental helath'!$A$2:$T$1001,8,)</f>
        <v>39</v>
      </c>
      <c r="F375">
        <f>VLOOKUP(A375,'Remote work mental helath'!$A$2:$T$1001,9,)</f>
        <v>8</v>
      </c>
    </row>
    <row r="376" spans="1:6" x14ac:dyDescent="0.3">
      <c r="A376" t="s">
        <v>425</v>
      </c>
      <c r="B376" t="str">
        <f>VLOOKUP(A376,'Remote work mental helath'!$A$2:$T$1001,5,)</f>
        <v>Healthcare</v>
      </c>
      <c r="C376" t="str">
        <f>VLOOKUP(A376,'Remote work mental helath'!$A$2:$T$1001,7,)</f>
        <v>Hybrid</v>
      </c>
      <c r="D376">
        <f>VLOOKUP(A376,'Remote work mental helath'!$A$2:$T$1001,6,)</f>
        <v>8</v>
      </c>
      <c r="E376">
        <f>VLOOKUP(A376,'Remote work mental helath'!$A$2:$T$1001,8,)</f>
        <v>58</v>
      </c>
      <c r="F376">
        <f>VLOOKUP(A376,'Remote work mental helath'!$A$2:$T$1001,9,)</f>
        <v>14</v>
      </c>
    </row>
    <row r="377" spans="1:6" x14ac:dyDescent="0.3">
      <c r="A377" t="s">
        <v>426</v>
      </c>
      <c r="B377" t="str">
        <f>VLOOKUP(A377,'Remote work mental helath'!$A$2:$T$1001,5,)</f>
        <v>IT</v>
      </c>
      <c r="C377" t="str">
        <f>VLOOKUP(A377,'Remote work mental helath'!$A$2:$T$1001,7,)</f>
        <v>Hybrid</v>
      </c>
      <c r="D377">
        <f>VLOOKUP(A377,'Remote work mental helath'!$A$2:$T$1001,6,)</f>
        <v>26</v>
      </c>
      <c r="E377">
        <f>VLOOKUP(A377,'Remote work mental helath'!$A$2:$T$1001,8,)</f>
        <v>34</v>
      </c>
      <c r="F377">
        <f>VLOOKUP(A377,'Remote work mental helath'!$A$2:$T$1001,9,)</f>
        <v>3</v>
      </c>
    </row>
    <row r="378" spans="1:6" x14ac:dyDescent="0.3">
      <c r="A378" t="s">
        <v>427</v>
      </c>
      <c r="B378" t="str">
        <f>VLOOKUP(A378,'Remote work mental helath'!$A$2:$T$1001,5,)</f>
        <v>IT</v>
      </c>
      <c r="C378" t="str">
        <f>VLOOKUP(A378,'Remote work mental helath'!$A$2:$T$1001,7,)</f>
        <v>Hybrid</v>
      </c>
      <c r="D378">
        <f>VLOOKUP(A378,'Remote work mental helath'!$A$2:$T$1001,6,)</f>
        <v>7</v>
      </c>
      <c r="E378">
        <f>VLOOKUP(A378,'Remote work mental helath'!$A$2:$T$1001,8,)</f>
        <v>48</v>
      </c>
      <c r="F378">
        <f>VLOOKUP(A378,'Remote work mental helath'!$A$2:$T$1001,9,)</f>
        <v>4</v>
      </c>
    </row>
    <row r="379" spans="1:6" x14ac:dyDescent="0.3">
      <c r="A379" t="s">
        <v>428</v>
      </c>
      <c r="B379" t="str">
        <f>VLOOKUP(A379,'Remote work mental helath'!$A$2:$T$1001,5,)</f>
        <v>Healthcare</v>
      </c>
      <c r="C379" t="str">
        <f>VLOOKUP(A379,'Remote work mental helath'!$A$2:$T$1001,7,)</f>
        <v>Remote</v>
      </c>
      <c r="D379">
        <f>VLOOKUP(A379,'Remote work mental helath'!$A$2:$T$1001,6,)</f>
        <v>2</v>
      </c>
      <c r="E379">
        <f>VLOOKUP(A379,'Remote work mental helath'!$A$2:$T$1001,8,)</f>
        <v>52</v>
      </c>
      <c r="F379">
        <f>VLOOKUP(A379,'Remote work mental helath'!$A$2:$T$1001,9,)</f>
        <v>0</v>
      </c>
    </row>
    <row r="380" spans="1:6" x14ac:dyDescent="0.3">
      <c r="A380" t="s">
        <v>429</v>
      </c>
      <c r="B380" t="str">
        <f>VLOOKUP(A380,'Remote work mental helath'!$A$2:$T$1001,5,)</f>
        <v>Healthcare</v>
      </c>
      <c r="C380" t="str">
        <f>VLOOKUP(A380,'Remote work mental helath'!$A$2:$T$1001,7,)</f>
        <v>Remote</v>
      </c>
      <c r="D380">
        <f>VLOOKUP(A380,'Remote work mental helath'!$A$2:$T$1001,6,)</f>
        <v>35</v>
      </c>
      <c r="E380">
        <f>VLOOKUP(A380,'Remote work mental helath'!$A$2:$T$1001,8,)</f>
        <v>59</v>
      </c>
      <c r="F380">
        <f>VLOOKUP(A380,'Remote work mental helath'!$A$2:$T$1001,9,)</f>
        <v>8</v>
      </c>
    </row>
    <row r="381" spans="1:6" x14ac:dyDescent="0.3">
      <c r="A381" t="s">
        <v>430</v>
      </c>
      <c r="B381" t="str">
        <f>VLOOKUP(A381,'Remote work mental helath'!$A$2:$T$1001,5,)</f>
        <v>Consulting</v>
      </c>
      <c r="C381" t="str">
        <f>VLOOKUP(A381,'Remote work mental helath'!$A$2:$T$1001,7,)</f>
        <v>Remote</v>
      </c>
      <c r="D381">
        <f>VLOOKUP(A381,'Remote work mental helath'!$A$2:$T$1001,6,)</f>
        <v>15</v>
      </c>
      <c r="E381">
        <f>VLOOKUP(A381,'Remote work mental helath'!$A$2:$T$1001,8,)</f>
        <v>32</v>
      </c>
      <c r="F381">
        <f>VLOOKUP(A381,'Remote work mental helath'!$A$2:$T$1001,9,)</f>
        <v>14</v>
      </c>
    </row>
    <row r="382" spans="1:6" x14ac:dyDescent="0.3">
      <c r="A382" t="s">
        <v>431</v>
      </c>
      <c r="B382" t="str">
        <f>VLOOKUP(A382,'Remote work mental helath'!$A$2:$T$1001,5,)</f>
        <v>Education</v>
      </c>
      <c r="C382" t="str">
        <f>VLOOKUP(A382,'Remote work mental helath'!$A$2:$T$1001,7,)</f>
        <v>Remote</v>
      </c>
      <c r="D382">
        <f>VLOOKUP(A382,'Remote work mental helath'!$A$2:$T$1001,6,)</f>
        <v>28</v>
      </c>
      <c r="E382">
        <f>VLOOKUP(A382,'Remote work mental helath'!$A$2:$T$1001,8,)</f>
        <v>41</v>
      </c>
      <c r="F382">
        <f>VLOOKUP(A382,'Remote work mental helath'!$A$2:$T$1001,9,)</f>
        <v>4</v>
      </c>
    </row>
    <row r="383" spans="1:6" x14ac:dyDescent="0.3">
      <c r="A383" t="s">
        <v>432</v>
      </c>
      <c r="B383" t="str">
        <f>VLOOKUP(A383,'Remote work mental helath'!$A$2:$T$1001,5,)</f>
        <v>Education</v>
      </c>
      <c r="C383" t="str">
        <f>VLOOKUP(A383,'Remote work mental helath'!$A$2:$T$1001,7,)</f>
        <v>Remote</v>
      </c>
      <c r="D383">
        <f>VLOOKUP(A383,'Remote work mental helath'!$A$2:$T$1001,6,)</f>
        <v>18</v>
      </c>
      <c r="E383">
        <f>VLOOKUP(A383,'Remote work mental helath'!$A$2:$T$1001,8,)</f>
        <v>34</v>
      </c>
      <c r="F383">
        <f>VLOOKUP(A383,'Remote work mental helath'!$A$2:$T$1001,9,)</f>
        <v>14</v>
      </c>
    </row>
    <row r="384" spans="1:6" x14ac:dyDescent="0.3">
      <c r="A384" t="s">
        <v>433</v>
      </c>
      <c r="B384" t="str">
        <f>VLOOKUP(A384,'Remote work mental helath'!$A$2:$T$1001,5,)</f>
        <v>Consulting</v>
      </c>
      <c r="C384" t="str">
        <f>VLOOKUP(A384,'Remote work mental helath'!$A$2:$T$1001,7,)</f>
        <v>Hybrid</v>
      </c>
      <c r="D384">
        <f>VLOOKUP(A384,'Remote work mental helath'!$A$2:$T$1001,6,)</f>
        <v>10</v>
      </c>
      <c r="E384">
        <f>VLOOKUP(A384,'Remote work mental helath'!$A$2:$T$1001,8,)</f>
        <v>41</v>
      </c>
      <c r="F384">
        <f>VLOOKUP(A384,'Remote work mental helath'!$A$2:$T$1001,9,)</f>
        <v>8</v>
      </c>
    </row>
    <row r="385" spans="1:6" x14ac:dyDescent="0.3">
      <c r="A385" t="s">
        <v>434</v>
      </c>
      <c r="B385" t="str">
        <f>VLOOKUP(A385,'Remote work mental helath'!$A$2:$T$1001,5,)</f>
        <v>Education</v>
      </c>
      <c r="C385" t="str">
        <f>VLOOKUP(A385,'Remote work mental helath'!$A$2:$T$1001,7,)</f>
        <v>Remote</v>
      </c>
      <c r="D385">
        <f>VLOOKUP(A385,'Remote work mental helath'!$A$2:$T$1001,6,)</f>
        <v>5</v>
      </c>
      <c r="E385">
        <f>VLOOKUP(A385,'Remote work mental helath'!$A$2:$T$1001,8,)</f>
        <v>55</v>
      </c>
      <c r="F385">
        <f>VLOOKUP(A385,'Remote work mental helath'!$A$2:$T$1001,9,)</f>
        <v>9</v>
      </c>
    </row>
    <row r="386" spans="1:6" x14ac:dyDescent="0.3">
      <c r="A386" t="s">
        <v>435</v>
      </c>
      <c r="B386" t="str">
        <f>VLOOKUP(A386,'Remote work mental helath'!$A$2:$T$1001,5,)</f>
        <v>IT</v>
      </c>
      <c r="C386" t="str">
        <f>VLOOKUP(A386,'Remote work mental helath'!$A$2:$T$1001,7,)</f>
        <v>Remote</v>
      </c>
      <c r="D386">
        <f>VLOOKUP(A386,'Remote work mental helath'!$A$2:$T$1001,6,)</f>
        <v>27</v>
      </c>
      <c r="E386">
        <f>VLOOKUP(A386,'Remote work mental helath'!$A$2:$T$1001,8,)</f>
        <v>50</v>
      </c>
      <c r="F386">
        <f>VLOOKUP(A386,'Remote work mental helath'!$A$2:$T$1001,9,)</f>
        <v>8</v>
      </c>
    </row>
    <row r="387" spans="1:6" x14ac:dyDescent="0.3">
      <c r="A387" t="s">
        <v>436</v>
      </c>
      <c r="B387" t="str">
        <f>VLOOKUP(A387,'Remote work mental helath'!$A$2:$T$1001,5,)</f>
        <v>Healthcare</v>
      </c>
      <c r="C387" t="str">
        <f>VLOOKUP(A387,'Remote work mental helath'!$A$2:$T$1001,7,)</f>
        <v>Remote</v>
      </c>
      <c r="D387">
        <f>VLOOKUP(A387,'Remote work mental helath'!$A$2:$T$1001,6,)</f>
        <v>4</v>
      </c>
      <c r="E387">
        <f>VLOOKUP(A387,'Remote work mental helath'!$A$2:$T$1001,8,)</f>
        <v>25</v>
      </c>
      <c r="F387">
        <f>VLOOKUP(A387,'Remote work mental helath'!$A$2:$T$1001,9,)</f>
        <v>9</v>
      </c>
    </row>
    <row r="388" spans="1:6" x14ac:dyDescent="0.3">
      <c r="A388" t="s">
        <v>437</v>
      </c>
      <c r="B388" t="str">
        <f>VLOOKUP(A388,'Remote work mental helath'!$A$2:$T$1001,5,)</f>
        <v>Consulting</v>
      </c>
      <c r="C388" t="str">
        <f>VLOOKUP(A388,'Remote work mental helath'!$A$2:$T$1001,7,)</f>
        <v>Onsite</v>
      </c>
      <c r="D388">
        <f>VLOOKUP(A388,'Remote work mental helath'!$A$2:$T$1001,6,)</f>
        <v>32</v>
      </c>
      <c r="E388">
        <f>VLOOKUP(A388,'Remote work mental helath'!$A$2:$T$1001,8,)</f>
        <v>21</v>
      </c>
      <c r="F388">
        <f>VLOOKUP(A388,'Remote work mental helath'!$A$2:$T$1001,9,)</f>
        <v>12</v>
      </c>
    </row>
    <row r="389" spans="1:6" x14ac:dyDescent="0.3">
      <c r="A389" t="s">
        <v>438</v>
      </c>
      <c r="B389" t="str">
        <f>VLOOKUP(A389,'Remote work mental helath'!$A$2:$T$1001,5,)</f>
        <v>Finance</v>
      </c>
      <c r="C389" t="str">
        <f>VLOOKUP(A389,'Remote work mental helath'!$A$2:$T$1001,7,)</f>
        <v>Hybrid</v>
      </c>
      <c r="D389">
        <f>VLOOKUP(A389,'Remote work mental helath'!$A$2:$T$1001,6,)</f>
        <v>20</v>
      </c>
      <c r="E389">
        <f>VLOOKUP(A389,'Remote work mental helath'!$A$2:$T$1001,8,)</f>
        <v>44</v>
      </c>
      <c r="F389">
        <f>VLOOKUP(A389,'Remote work mental helath'!$A$2:$T$1001,9,)</f>
        <v>11</v>
      </c>
    </row>
    <row r="390" spans="1:6" x14ac:dyDescent="0.3">
      <c r="A390" t="s">
        <v>439</v>
      </c>
      <c r="B390" t="str">
        <f>VLOOKUP(A390,'Remote work mental helath'!$A$2:$T$1001,5,)</f>
        <v>Consulting</v>
      </c>
      <c r="C390" t="str">
        <f>VLOOKUP(A390,'Remote work mental helath'!$A$2:$T$1001,7,)</f>
        <v>Remote</v>
      </c>
      <c r="D390">
        <f>VLOOKUP(A390,'Remote work mental helath'!$A$2:$T$1001,6,)</f>
        <v>18</v>
      </c>
      <c r="E390">
        <f>VLOOKUP(A390,'Remote work mental helath'!$A$2:$T$1001,8,)</f>
        <v>28</v>
      </c>
      <c r="F390">
        <f>VLOOKUP(A390,'Remote work mental helath'!$A$2:$T$1001,9,)</f>
        <v>0</v>
      </c>
    </row>
    <row r="391" spans="1:6" x14ac:dyDescent="0.3">
      <c r="A391" t="s">
        <v>440</v>
      </c>
      <c r="B391" t="str">
        <f>VLOOKUP(A391,'Remote work mental helath'!$A$2:$T$1001,5,)</f>
        <v>Retail</v>
      </c>
      <c r="C391" t="str">
        <f>VLOOKUP(A391,'Remote work mental helath'!$A$2:$T$1001,7,)</f>
        <v>Onsite</v>
      </c>
      <c r="D391">
        <f>VLOOKUP(A391,'Remote work mental helath'!$A$2:$T$1001,6,)</f>
        <v>31</v>
      </c>
      <c r="E391">
        <f>VLOOKUP(A391,'Remote work mental helath'!$A$2:$T$1001,8,)</f>
        <v>54</v>
      </c>
      <c r="F391">
        <f>VLOOKUP(A391,'Remote work mental helath'!$A$2:$T$1001,9,)</f>
        <v>8</v>
      </c>
    </row>
    <row r="392" spans="1:6" x14ac:dyDescent="0.3">
      <c r="A392" t="s">
        <v>441</v>
      </c>
      <c r="B392" t="str">
        <f>VLOOKUP(A392,'Remote work mental helath'!$A$2:$T$1001,5,)</f>
        <v>Consulting</v>
      </c>
      <c r="C392" t="str">
        <f>VLOOKUP(A392,'Remote work mental helath'!$A$2:$T$1001,7,)</f>
        <v>Hybrid</v>
      </c>
      <c r="D392">
        <f>VLOOKUP(A392,'Remote work mental helath'!$A$2:$T$1001,6,)</f>
        <v>9</v>
      </c>
      <c r="E392">
        <f>VLOOKUP(A392,'Remote work mental helath'!$A$2:$T$1001,8,)</f>
        <v>55</v>
      </c>
      <c r="F392">
        <f>VLOOKUP(A392,'Remote work mental helath'!$A$2:$T$1001,9,)</f>
        <v>12</v>
      </c>
    </row>
    <row r="393" spans="1:6" x14ac:dyDescent="0.3">
      <c r="A393" t="s">
        <v>442</v>
      </c>
      <c r="B393" t="str">
        <f>VLOOKUP(A393,'Remote work mental helath'!$A$2:$T$1001,5,)</f>
        <v>Retail</v>
      </c>
      <c r="C393" t="str">
        <f>VLOOKUP(A393,'Remote work mental helath'!$A$2:$T$1001,7,)</f>
        <v>Remote</v>
      </c>
      <c r="D393">
        <f>VLOOKUP(A393,'Remote work mental helath'!$A$2:$T$1001,6,)</f>
        <v>29</v>
      </c>
      <c r="E393">
        <f>VLOOKUP(A393,'Remote work mental helath'!$A$2:$T$1001,8,)</f>
        <v>26</v>
      </c>
      <c r="F393">
        <f>VLOOKUP(A393,'Remote work mental helath'!$A$2:$T$1001,9,)</f>
        <v>10</v>
      </c>
    </row>
    <row r="394" spans="1:6" x14ac:dyDescent="0.3">
      <c r="A394" t="s">
        <v>443</v>
      </c>
      <c r="B394" t="str">
        <f>VLOOKUP(A394,'Remote work mental helath'!$A$2:$T$1001,5,)</f>
        <v>Retail</v>
      </c>
      <c r="C394" t="str">
        <f>VLOOKUP(A394,'Remote work mental helath'!$A$2:$T$1001,7,)</f>
        <v>Onsite</v>
      </c>
      <c r="D394">
        <f>VLOOKUP(A394,'Remote work mental helath'!$A$2:$T$1001,6,)</f>
        <v>17</v>
      </c>
      <c r="E394">
        <f>VLOOKUP(A394,'Remote work mental helath'!$A$2:$T$1001,8,)</f>
        <v>41</v>
      </c>
      <c r="F394">
        <f>VLOOKUP(A394,'Remote work mental helath'!$A$2:$T$1001,9,)</f>
        <v>7</v>
      </c>
    </row>
    <row r="395" spans="1:6" x14ac:dyDescent="0.3">
      <c r="A395" t="s">
        <v>444</v>
      </c>
      <c r="B395" t="str">
        <f>VLOOKUP(A395,'Remote work mental helath'!$A$2:$T$1001,5,)</f>
        <v>Healthcare</v>
      </c>
      <c r="C395" t="str">
        <f>VLOOKUP(A395,'Remote work mental helath'!$A$2:$T$1001,7,)</f>
        <v>Onsite</v>
      </c>
      <c r="D395">
        <f>VLOOKUP(A395,'Remote work mental helath'!$A$2:$T$1001,6,)</f>
        <v>31</v>
      </c>
      <c r="E395">
        <f>VLOOKUP(A395,'Remote work mental helath'!$A$2:$T$1001,8,)</f>
        <v>50</v>
      </c>
      <c r="F395">
        <f>VLOOKUP(A395,'Remote work mental helath'!$A$2:$T$1001,9,)</f>
        <v>4</v>
      </c>
    </row>
    <row r="396" spans="1:6" x14ac:dyDescent="0.3">
      <c r="A396" t="s">
        <v>445</v>
      </c>
      <c r="B396" t="str">
        <f>VLOOKUP(A396,'Remote work mental helath'!$A$2:$T$1001,5,)</f>
        <v>Finance</v>
      </c>
      <c r="C396" t="str">
        <f>VLOOKUP(A396,'Remote work mental helath'!$A$2:$T$1001,7,)</f>
        <v>Hybrid</v>
      </c>
      <c r="D396">
        <f>VLOOKUP(A396,'Remote work mental helath'!$A$2:$T$1001,6,)</f>
        <v>3</v>
      </c>
      <c r="E396">
        <f>VLOOKUP(A396,'Remote work mental helath'!$A$2:$T$1001,8,)</f>
        <v>55</v>
      </c>
      <c r="F396">
        <f>VLOOKUP(A396,'Remote work mental helath'!$A$2:$T$1001,9,)</f>
        <v>12</v>
      </c>
    </row>
    <row r="397" spans="1:6" x14ac:dyDescent="0.3">
      <c r="A397" t="s">
        <v>446</v>
      </c>
      <c r="B397" t="str">
        <f>VLOOKUP(A397,'Remote work mental helath'!$A$2:$T$1001,5,)</f>
        <v>Healthcare</v>
      </c>
      <c r="C397" t="str">
        <f>VLOOKUP(A397,'Remote work mental helath'!$A$2:$T$1001,7,)</f>
        <v>Hybrid</v>
      </c>
      <c r="D397">
        <f>VLOOKUP(A397,'Remote work mental helath'!$A$2:$T$1001,6,)</f>
        <v>20</v>
      </c>
      <c r="E397">
        <f>VLOOKUP(A397,'Remote work mental helath'!$A$2:$T$1001,8,)</f>
        <v>22</v>
      </c>
      <c r="F397">
        <f>VLOOKUP(A397,'Remote work mental helath'!$A$2:$T$1001,9,)</f>
        <v>2</v>
      </c>
    </row>
    <row r="398" spans="1:6" x14ac:dyDescent="0.3">
      <c r="A398" t="s">
        <v>447</v>
      </c>
      <c r="B398" t="str">
        <f>VLOOKUP(A398,'Remote work mental helath'!$A$2:$T$1001,5,)</f>
        <v>Consulting</v>
      </c>
      <c r="C398" t="str">
        <f>VLOOKUP(A398,'Remote work mental helath'!$A$2:$T$1001,7,)</f>
        <v>Hybrid</v>
      </c>
      <c r="D398">
        <f>VLOOKUP(A398,'Remote work mental helath'!$A$2:$T$1001,6,)</f>
        <v>9</v>
      </c>
      <c r="E398">
        <f>VLOOKUP(A398,'Remote work mental helath'!$A$2:$T$1001,8,)</f>
        <v>33</v>
      </c>
      <c r="F398">
        <f>VLOOKUP(A398,'Remote work mental helath'!$A$2:$T$1001,9,)</f>
        <v>11</v>
      </c>
    </row>
    <row r="399" spans="1:6" x14ac:dyDescent="0.3">
      <c r="A399" t="s">
        <v>448</v>
      </c>
      <c r="B399" t="str">
        <f>VLOOKUP(A399,'Remote work mental helath'!$A$2:$T$1001,5,)</f>
        <v>Retail</v>
      </c>
      <c r="C399" t="str">
        <f>VLOOKUP(A399,'Remote work mental helath'!$A$2:$T$1001,7,)</f>
        <v>Hybrid</v>
      </c>
      <c r="D399">
        <f>VLOOKUP(A399,'Remote work mental helath'!$A$2:$T$1001,6,)</f>
        <v>4</v>
      </c>
      <c r="E399">
        <f>VLOOKUP(A399,'Remote work mental helath'!$A$2:$T$1001,8,)</f>
        <v>21</v>
      </c>
      <c r="F399">
        <f>VLOOKUP(A399,'Remote work mental helath'!$A$2:$T$1001,9,)</f>
        <v>4</v>
      </c>
    </row>
    <row r="400" spans="1:6" x14ac:dyDescent="0.3">
      <c r="A400" t="s">
        <v>449</v>
      </c>
      <c r="B400" t="str">
        <f>VLOOKUP(A400,'Remote work mental helath'!$A$2:$T$1001,5,)</f>
        <v>Manufacturing</v>
      </c>
      <c r="C400" t="str">
        <f>VLOOKUP(A400,'Remote work mental helath'!$A$2:$T$1001,7,)</f>
        <v>Hybrid</v>
      </c>
      <c r="D400">
        <f>VLOOKUP(A400,'Remote work mental helath'!$A$2:$T$1001,6,)</f>
        <v>17</v>
      </c>
      <c r="E400">
        <f>VLOOKUP(A400,'Remote work mental helath'!$A$2:$T$1001,8,)</f>
        <v>28</v>
      </c>
      <c r="F400">
        <f>VLOOKUP(A400,'Remote work mental helath'!$A$2:$T$1001,9,)</f>
        <v>13</v>
      </c>
    </row>
    <row r="401" spans="1:6" x14ac:dyDescent="0.3">
      <c r="A401" t="s">
        <v>450</v>
      </c>
      <c r="B401" t="str">
        <f>VLOOKUP(A401,'Remote work mental helath'!$A$2:$T$1001,5,)</f>
        <v>Healthcare</v>
      </c>
      <c r="C401" t="str">
        <f>VLOOKUP(A401,'Remote work mental helath'!$A$2:$T$1001,7,)</f>
        <v>Remote</v>
      </c>
      <c r="D401">
        <f>VLOOKUP(A401,'Remote work mental helath'!$A$2:$T$1001,6,)</f>
        <v>34</v>
      </c>
      <c r="E401">
        <f>VLOOKUP(A401,'Remote work mental helath'!$A$2:$T$1001,8,)</f>
        <v>22</v>
      </c>
      <c r="F401">
        <f>VLOOKUP(A401,'Remote work mental helath'!$A$2:$T$1001,9,)</f>
        <v>6</v>
      </c>
    </row>
    <row r="402" spans="1:6" x14ac:dyDescent="0.3">
      <c r="A402" t="s">
        <v>451</v>
      </c>
      <c r="B402" t="str">
        <f>VLOOKUP(A402,'Remote work mental helath'!$A$2:$T$1001,5,)</f>
        <v>IT</v>
      </c>
      <c r="C402" t="str">
        <f>VLOOKUP(A402,'Remote work mental helath'!$A$2:$T$1001,7,)</f>
        <v>Remote</v>
      </c>
      <c r="D402">
        <f>VLOOKUP(A402,'Remote work mental helath'!$A$2:$T$1001,6,)</f>
        <v>13</v>
      </c>
      <c r="E402">
        <f>VLOOKUP(A402,'Remote work mental helath'!$A$2:$T$1001,8,)</f>
        <v>58</v>
      </c>
      <c r="F402">
        <f>VLOOKUP(A402,'Remote work mental helath'!$A$2:$T$1001,9,)</f>
        <v>14</v>
      </c>
    </row>
    <row r="403" spans="1:6" x14ac:dyDescent="0.3">
      <c r="A403" t="s">
        <v>452</v>
      </c>
      <c r="B403" t="str">
        <f>VLOOKUP(A403,'Remote work mental helath'!$A$2:$T$1001,5,)</f>
        <v>Consulting</v>
      </c>
      <c r="C403" t="str">
        <f>VLOOKUP(A403,'Remote work mental helath'!$A$2:$T$1001,7,)</f>
        <v>Remote</v>
      </c>
      <c r="D403">
        <f>VLOOKUP(A403,'Remote work mental helath'!$A$2:$T$1001,6,)</f>
        <v>19</v>
      </c>
      <c r="E403">
        <f>VLOOKUP(A403,'Remote work mental helath'!$A$2:$T$1001,8,)</f>
        <v>39</v>
      </c>
      <c r="F403">
        <f>VLOOKUP(A403,'Remote work mental helath'!$A$2:$T$1001,9,)</f>
        <v>0</v>
      </c>
    </row>
    <row r="404" spans="1:6" x14ac:dyDescent="0.3">
      <c r="A404" t="s">
        <v>453</v>
      </c>
      <c r="B404" t="str">
        <f>VLOOKUP(A404,'Remote work mental helath'!$A$2:$T$1001,5,)</f>
        <v>Finance</v>
      </c>
      <c r="C404" t="str">
        <f>VLOOKUP(A404,'Remote work mental helath'!$A$2:$T$1001,7,)</f>
        <v>Onsite</v>
      </c>
      <c r="D404">
        <f>VLOOKUP(A404,'Remote work mental helath'!$A$2:$T$1001,6,)</f>
        <v>8</v>
      </c>
      <c r="E404">
        <f>VLOOKUP(A404,'Remote work mental helath'!$A$2:$T$1001,8,)</f>
        <v>35</v>
      </c>
      <c r="F404">
        <f>VLOOKUP(A404,'Remote work mental helath'!$A$2:$T$1001,9,)</f>
        <v>15</v>
      </c>
    </row>
    <row r="405" spans="1:6" x14ac:dyDescent="0.3">
      <c r="A405" t="s">
        <v>454</v>
      </c>
      <c r="B405" t="str">
        <f>VLOOKUP(A405,'Remote work mental helath'!$A$2:$T$1001,5,)</f>
        <v>Healthcare</v>
      </c>
      <c r="C405" t="str">
        <f>VLOOKUP(A405,'Remote work mental helath'!$A$2:$T$1001,7,)</f>
        <v>Hybrid</v>
      </c>
      <c r="D405">
        <f>VLOOKUP(A405,'Remote work mental helath'!$A$2:$T$1001,6,)</f>
        <v>22</v>
      </c>
      <c r="E405">
        <f>VLOOKUP(A405,'Remote work mental helath'!$A$2:$T$1001,8,)</f>
        <v>56</v>
      </c>
      <c r="F405">
        <f>VLOOKUP(A405,'Remote work mental helath'!$A$2:$T$1001,9,)</f>
        <v>3</v>
      </c>
    </row>
    <row r="406" spans="1:6" x14ac:dyDescent="0.3">
      <c r="A406" t="s">
        <v>455</v>
      </c>
      <c r="B406" t="str">
        <f>VLOOKUP(A406,'Remote work mental helath'!$A$2:$T$1001,5,)</f>
        <v>Consulting</v>
      </c>
      <c r="C406" t="str">
        <f>VLOOKUP(A406,'Remote work mental helath'!$A$2:$T$1001,7,)</f>
        <v>Remote</v>
      </c>
      <c r="D406">
        <f>VLOOKUP(A406,'Remote work mental helath'!$A$2:$T$1001,6,)</f>
        <v>14</v>
      </c>
      <c r="E406">
        <f>VLOOKUP(A406,'Remote work mental helath'!$A$2:$T$1001,8,)</f>
        <v>29</v>
      </c>
      <c r="F406">
        <f>VLOOKUP(A406,'Remote work mental helath'!$A$2:$T$1001,9,)</f>
        <v>13</v>
      </c>
    </row>
    <row r="407" spans="1:6" x14ac:dyDescent="0.3">
      <c r="A407" t="s">
        <v>456</v>
      </c>
      <c r="B407" t="str">
        <f>VLOOKUP(A407,'Remote work mental helath'!$A$2:$T$1001,5,)</f>
        <v>Manufacturing</v>
      </c>
      <c r="C407" t="str">
        <f>VLOOKUP(A407,'Remote work mental helath'!$A$2:$T$1001,7,)</f>
        <v>Hybrid</v>
      </c>
      <c r="D407">
        <f>VLOOKUP(A407,'Remote work mental helath'!$A$2:$T$1001,6,)</f>
        <v>33</v>
      </c>
      <c r="E407">
        <f>VLOOKUP(A407,'Remote work mental helath'!$A$2:$T$1001,8,)</f>
        <v>24</v>
      </c>
      <c r="F407">
        <f>VLOOKUP(A407,'Remote work mental helath'!$A$2:$T$1001,9,)</f>
        <v>0</v>
      </c>
    </row>
    <row r="408" spans="1:6" x14ac:dyDescent="0.3">
      <c r="A408" t="s">
        <v>457</v>
      </c>
      <c r="B408" t="str">
        <f>VLOOKUP(A408,'Remote work mental helath'!$A$2:$T$1001,5,)</f>
        <v>Healthcare</v>
      </c>
      <c r="C408" t="str">
        <f>VLOOKUP(A408,'Remote work mental helath'!$A$2:$T$1001,7,)</f>
        <v>Onsite</v>
      </c>
      <c r="D408">
        <f>VLOOKUP(A408,'Remote work mental helath'!$A$2:$T$1001,6,)</f>
        <v>30</v>
      </c>
      <c r="E408">
        <f>VLOOKUP(A408,'Remote work mental helath'!$A$2:$T$1001,8,)</f>
        <v>60</v>
      </c>
      <c r="F408">
        <f>VLOOKUP(A408,'Remote work mental helath'!$A$2:$T$1001,9,)</f>
        <v>4</v>
      </c>
    </row>
    <row r="409" spans="1:6" x14ac:dyDescent="0.3">
      <c r="A409" t="s">
        <v>458</v>
      </c>
      <c r="B409" t="str">
        <f>VLOOKUP(A409,'Remote work mental helath'!$A$2:$T$1001,5,)</f>
        <v>Retail</v>
      </c>
      <c r="C409" t="str">
        <f>VLOOKUP(A409,'Remote work mental helath'!$A$2:$T$1001,7,)</f>
        <v>Remote</v>
      </c>
      <c r="D409">
        <f>VLOOKUP(A409,'Remote work mental helath'!$A$2:$T$1001,6,)</f>
        <v>10</v>
      </c>
      <c r="E409">
        <f>VLOOKUP(A409,'Remote work mental helath'!$A$2:$T$1001,8,)</f>
        <v>31</v>
      </c>
      <c r="F409">
        <f>VLOOKUP(A409,'Remote work mental helath'!$A$2:$T$1001,9,)</f>
        <v>9</v>
      </c>
    </row>
    <row r="410" spans="1:6" x14ac:dyDescent="0.3">
      <c r="A410" t="s">
        <v>459</v>
      </c>
      <c r="B410" t="str">
        <f>VLOOKUP(A410,'Remote work mental helath'!$A$2:$T$1001,5,)</f>
        <v>Finance</v>
      </c>
      <c r="C410" t="str">
        <f>VLOOKUP(A410,'Remote work mental helath'!$A$2:$T$1001,7,)</f>
        <v>Remote</v>
      </c>
      <c r="D410">
        <f>VLOOKUP(A410,'Remote work mental helath'!$A$2:$T$1001,6,)</f>
        <v>35</v>
      </c>
      <c r="E410">
        <f>VLOOKUP(A410,'Remote work mental helath'!$A$2:$T$1001,8,)</f>
        <v>50</v>
      </c>
      <c r="F410">
        <f>VLOOKUP(A410,'Remote work mental helath'!$A$2:$T$1001,9,)</f>
        <v>10</v>
      </c>
    </row>
    <row r="411" spans="1:6" x14ac:dyDescent="0.3">
      <c r="A411" t="s">
        <v>460</v>
      </c>
      <c r="B411" t="str">
        <f>VLOOKUP(A411,'Remote work mental helath'!$A$2:$T$1001,5,)</f>
        <v>Consulting</v>
      </c>
      <c r="C411" t="str">
        <f>VLOOKUP(A411,'Remote work mental helath'!$A$2:$T$1001,7,)</f>
        <v>Remote</v>
      </c>
      <c r="D411">
        <f>VLOOKUP(A411,'Remote work mental helath'!$A$2:$T$1001,6,)</f>
        <v>20</v>
      </c>
      <c r="E411">
        <f>VLOOKUP(A411,'Remote work mental helath'!$A$2:$T$1001,8,)</f>
        <v>27</v>
      </c>
      <c r="F411">
        <f>VLOOKUP(A411,'Remote work mental helath'!$A$2:$T$1001,9,)</f>
        <v>14</v>
      </c>
    </row>
    <row r="412" spans="1:6" x14ac:dyDescent="0.3">
      <c r="A412" t="s">
        <v>461</v>
      </c>
      <c r="B412" t="str">
        <f>VLOOKUP(A412,'Remote work mental helath'!$A$2:$T$1001,5,)</f>
        <v>Healthcare</v>
      </c>
      <c r="C412" t="str">
        <f>VLOOKUP(A412,'Remote work mental helath'!$A$2:$T$1001,7,)</f>
        <v>Remote</v>
      </c>
      <c r="D412">
        <f>VLOOKUP(A412,'Remote work mental helath'!$A$2:$T$1001,6,)</f>
        <v>6</v>
      </c>
      <c r="E412">
        <f>VLOOKUP(A412,'Remote work mental helath'!$A$2:$T$1001,8,)</f>
        <v>43</v>
      </c>
      <c r="F412">
        <f>VLOOKUP(A412,'Remote work mental helath'!$A$2:$T$1001,9,)</f>
        <v>3</v>
      </c>
    </row>
    <row r="413" spans="1:6" x14ac:dyDescent="0.3">
      <c r="A413" t="s">
        <v>462</v>
      </c>
      <c r="B413" t="str">
        <f>VLOOKUP(A413,'Remote work mental helath'!$A$2:$T$1001,5,)</f>
        <v>Retail</v>
      </c>
      <c r="C413" t="str">
        <f>VLOOKUP(A413,'Remote work mental helath'!$A$2:$T$1001,7,)</f>
        <v>Hybrid</v>
      </c>
      <c r="D413">
        <f>VLOOKUP(A413,'Remote work mental helath'!$A$2:$T$1001,6,)</f>
        <v>22</v>
      </c>
      <c r="E413">
        <f>VLOOKUP(A413,'Remote work mental helath'!$A$2:$T$1001,8,)</f>
        <v>30</v>
      </c>
      <c r="F413">
        <f>VLOOKUP(A413,'Remote work mental helath'!$A$2:$T$1001,9,)</f>
        <v>3</v>
      </c>
    </row>
    <row r="414" spans="1:6" x14ac:dyDescent="0.3">
      <c r="A414" t="s">
        <v>463</v>
      </c>
      <c r="B414" t="str">
        <f>VLOOKUP(A414,'Remote work mental helath'!$A$2:$T$1001,5,)</f>
        <v>Education</v>
      </c>
      <c r="C414" t="str">
        <f>VLOOKUP(A414,'Remote work mental helath'!$A$2:$T$1001,7,)</f>
        <v>Onsite</v>
      </c>
      <c r="D414">
        <f>VLOOKUP(A414,'Remote work mental helath'!$A$2:$T$1001,6,)</f>
        <v>25</v>
      </c>
      <c r="E414">
        <f>VLOOKUP(A414,'Remote work mental helath'!$A$2:$T$1001,8,)</f>
        <v>26</v>
      </c>
      <c r="F414">
        <f>VLOOKUP(A414,'Remote work mental helath'!$A$2:$T$1001,9,)</f>
        <v>15</v>
      </c>
    </row>
    <row r="415" spans="1:6" x14ac:dyDescent="0.3">
      <c r="A415" t="s">
        <v>464</v>
      </c>
      <c r="B415" t="str">
        <f>VLOOKUP(A415,'Remote work mental helath'!$A$2:$T$1001,5,)</f>
        <v>Manufacturing</v>
      </c>
      <c r="C415" t="str">
        <f>VLOOKUP(A415,'Remote work mental helath'!$A$2:$T$1001,7,)</f>
        <v>Onsite</v>
      </c>
      <c r="D415">
        <f>VLOOKUP(A415,'Remote work mental helath'!$A$2:$T$1001,6,)</f>
        <v>21</v>
      </c>
      <c r="E415">
        <f>VLOOKUP(A415,'Remote work mental helath'!$A$2:$T$1001,8,)</f>
        <v>47</v>
      </c>
      <c r="F415">
        <f>VLOOKUP(A415,'Remote work mental helath'!$A$2:$T$1001,9,)</f>
        <v>7</v>
      </c>
    </row>
    <row r="416" spans="1:6" x14ac:dyDescent="0.3">
      <c r="A416" t="s">
        <v>465</v>
      </c>
      <c r="B416" t="str">
        <f>VLOOKUP(A416,'Remote work mental helath'!$A$2:$T$1001,5,)</f>
        <v>Manufacturing</v>
      </c>
      <c r="C416" t="str">
        <f>VLOOKUP(A416,'Remote work mental helath'!$A$2:$T$1001,7,)</f>
        <v>Onsite</v>
      </c>
      <c r="D416">
        <f>VLOOKUP(A416,'Remote work mental helath'!$A$2:$T$1001,6,)</f>
        <v>14</v>
      </c>
      <c r="E416">
        <f>VLOOKUP(A416,'Remote work mental helath'!$A$2:$T$1001,8,)</f>
        <v>56</v>
      </c>
      <c r="F416">
        <f>VLOOKUP(A416,'Remote work mental helath'!$A$2:$T$1001,9,)</f>
        <v>14</v>
      </c>
    </row>
    <row r="417" spans="1:6" x14ac:dyDescent="0.3">
      <c r="A417" t="s">
        <v>466</v>
      </c>
      <c r="B417" t="str">
        <f>VLOOKUP(A417,'Remote work mental helath'!$A$2:$T$1001,5,)</f>
        <v>Healthcare</v>
      </c>
      <c r="C417" t="str">
        <f>VLOOKUP(A417,'Remote work mental helath'!$A$2:$T$1001,7,)</f>
        <v>Hybrid</v>
      </c>
      <c r="D417">
        <f>VLOOKUP(A417,'Remote work mental helath'!$A$2:$T$1001,6,)</f>
        <v>26</v>
      </c>
      <c r="E417">
        <f>VLOOKUP(A417,'Remote work mental helath'!$A$2:$T$1001,8,)</f>
        <v>30</v>
      </c>
      <c r="F417">
        <f>VLOOKUP(A417,'Remote work mental helath'!$A$2:$T$1001,9,)</f>
        <v>15</v>
      </c>
    </row>
    <row r="418" spans="1:6" x14ac:dyDescent="0.3">
      <c r="A418" t="s">
        <v>467</v>
      </c>
      <c r="B418" t="str">
        <f>VLOOKUP(A418,'Remote work mental helath'!$A$2:$T$1001,5,)</f>
        <v>Healthcare</v>
      </c>
      <c r="C418" t="str">
        <f>VLOOKUP(A418,'Remote work mental helath'!$A$2:$T$1001,7,)</f>
        <v>Hybrid</v>
      </c>
      <c r="D418">
        <f>VLOOKUP(A418,'Remote work mental helath'!$A$2:$T$1001,6,)</f>
        <v>9</v>
      </c>
      <c r="E418">
        <f>VLOOKUP(A418,'Remote work mental helath'!$A$2:$T$1001,8,)</f>
        <v>26</v>
      </c>
      <c r="F418">
        <f>VLOOKUP(A418,'Remote work mental helath'!$A$2:$T$1001,9,)</f>
        <v>12</v>
      </c>
    </row>
    <row r="419" spans="1:6" x14ac:dyDescent="0.3">
      <c r="A419" t="s">
        <v>468</v>
      </c>
      <c r="B419" t="str">
        <f>VLOOKUP(A419,'Remote work mental helath'!$A$2:$T$1001,5,)</f>
        <v>Consulting</v>
      </c>
      <c r="C419" t="str">
        <f>VLOOKUP(A419,'Remote work mental helath'!$A$2:$T$1001,7,)</f>
        <v>Onsite</v>
      </c>
      <c r="D419">
        <f>VLOOKUP(A419,'Remote work mental helath'!$A$2:$T$1001,6,)</f>
        <v>22</v>
      </c>
      <c r="E419">
        <f>VLOOKUP(A419,'Remote work mental helath'!$A$2:$T$1001,8,)</f>
        <v>47</v>
      </c>
      <c r="F419">
        <f>VLOOKUP(A419,'Remote work mental helath'!$A$2:$T$1001,9,)</f>
        <v>10</v>
      </c>
    </row>
    <row r="420" spans="1:6" x14ac:dyDescent="0.3">
      <c r="A420" t="s">
        <v>469</v>
      </c>
      <c r="B420" t="str">
        <f>VLOOKUP(A420,'Remote work mental helath'!$A$2:$T$1001,5,)</f>
        <v>Education</v>
      </c>
      <c r="C420" t="str">
        <f>VLOOKUP(A420,'Remote work mental helath'!$A$2:$T$1001,7,)</f>
        <v>Remote</v>
      </c>
      <c r="D420">
        <f>VLOOKUP(A420,'Remote work mental helath'!$A$2:$T$1001,6,)</f>
        <v>34</v>
      </c>
      <c r="E420">
        <f>VLOOKUP(A420,'Remote work mental helath'!$A$2:$T$1001,8,)</f>
        <v>38</v>
      </c>
      <c r="F420">
        <f>VLOOKUP(A420,'Remote work mental helath'!$A$2:$T$1001,9,)</f>
        <v>7</v>
      </c>
    </row>
    <row r="421" spans="1:6" x14ac:dyDescent="0.3">
      <c r="A421" t="s">
        <v>470</v>
      </c>
      <c r="B421" t="str">
        <f>VLOOKUP(A421,'Remote work mental helath'!$A$2:$T$1001,5,)</f>
        <v>IT</v>
      </c>
      <c r="C421" t="str">
        <f>VLOOKUP(A421,'Remote work mental helath'!$A$2:$T$1001,7,)</f>
        <v>Hybrid</v>
      </c>
      <c r="D421">
        <f>VLOOKUP(A421,'Remote work mental helath'!$A$2:$T$1001,6,)</f>
        <v>30</v>
      </c>
      <c r="E421">
        <f>VLOOKUP(A421,'Remote work mental helath'!$A$2:$T$1001,8,)</f>
        <v>49</v>
      </c>
      <c r="F421">
        <f>VLOOKUP(A421,'Remote work mental helath'!$A$2:$T$1001,9,)</f>
        <v>0</v>
      </c>
    </row>
    <row r="422" spans="1:6" x14ac:dyDescent="0.3">
      <c r="A422" t="s">
        <v>471</v>
      </c>
      <c r="B422" t="str">
        <f>VLOOKUP(A422,'Remote work mental helath'!$A$2:$T$1001,5,)</f>
        <v>IT</v>
      </c>
      <c r="C422" t="str">
        <f>VLOOKUP(A422,'Remote work mental helath'!$A$2:$T$1001,7,)</f>
        <v>Remote</v>
      </c>
      <c r="D422">
        <f>VLOOKUP(A422,'Remote work mental helath'!$A$2:$T$1001,6,)</f>
        <v>32</v>
      </c>
      <c r="E422">
        <f>VLOOKUP(A422,'Remote work mental helath'!$A$2:$T$1001,8,)</f>
        <v>49</v>
      </c>
      <c r="F422">
        <f>VLOOKUP(A422,'Remote work mental helath'!$A$2:$T$1001,9,)</f>
        <v>0</v>
      </c>
    </row>
    <row r="423" spans="1:6" x14ac:dyDescent="0.3">
      <c r="A423" t="s">
        <v>472</v>
      </c>
      <c r="B423" t="str">
        <f>VLOOKUP(A423,'Remote work mental helath'!$A$2:$T$1001,5,)</f>
        <v>Finance</v>
      </c>
      <c r="C423" t="str">
        <f>VLOOKUP(A423,'Remote work mental helath'!$A$2:$T$1001,7,)</f>
        <v>Remote</v>
      </c>
      <c r="D423">
        <f>VLOOKUP(A423,'Remote work mental helath'!$A$2:$T$1001,6,)</f>
        <v>5</v>
      </c>
      <c r="E423">
        <f>VLOOKUP(A423,'Remote work mental helath'!$A$2:$T$1001,8,)</f>
        <v>37</v>
      </c>
      <c r="F423">
        <f>VLOOKUP(A423,'Remote work mental helath'!$A$2:$T$1001,9,)</f>
        <v>11</v>
      </c>
    </row>
    <row r="424" spans="1:6" x14ac:dyDescent="0.3">
      <c r="A424" t="s">
        <v>473</v>
      </c>
      <c r="B424" t="str">
        <f>VLOOKUP(A424,'Remote work mental helath'!$A$2:$T$1001,5,)</f>
        <v>Education</v>
      </c>
      <c r="C424" t="str">
        <f>VLOOKUP(A424,'Remote work mental helath'!$A$2:$T$1001,7,)</f>
        <v>Hybrid</v>
      </c>
      <c r="D424">
        <f>VLOOKUP(A424,'Remote work mental helath'!$A$2:$T$1001,6,)</f>
        <v>21</v>
      </c>
      <c r="E424">
        <f>VLOOKUP(A424,'Remote work mental helath'!$A$2:$T$1001,8,)</f>
        <v>24</v>
      </c>
      <c r="F424">
        <f>VLOOKUP(A424,'Remote work mental helath'!$A$2:$T$1001,9,)</f>
        <v>13</v>
      </c>
    </row>
    <row r="425" spans="1:6" x14ac:dyDescent="0.3">
      <c r="A425" t="s">
        <v>474</v>
      </c>
      <c r="B425" t="str">
        <f>VLOOKUP(A425,'Remote work mental helath'!$A$2:$T$1001,5,)</f>
        <v>Consulting</v>
      </c>
      <c r="C425" t="str">
        <f>VLOOKUP(A425,'Remote work mental helath'!$A$2:$T$1001,7,)</f>
        <v>Hybrid</v>
      </c>
      <c r="D425">
        <f>VLOOKUP(A425,'Remote work mental helath'!$A$2:$T$1001,6,)</f>
        <v>32</v>
      </c>
      <c r="E425">
        <f>VLOOKUP(A425,'Remote work mental helath'!$A$2:$T$1001,8,)</f>
        <v>53</v>
      </c>
      <c r="F425">
        <f>VLOOKUP(A425,'Remote work mental helath'!$A$2:$T$1001,9,)</f>
        <v>0</v>
      </c>
    </row>
    <row r="426" spans="1:6" x14ac:dyDescent="0.3">
      <c r="A426" t="s">
        <v>475</v>
      </c>
      <c r="B426" t="str">
        <f>VLOOKUP(A426,'Remote work mental helath'!$A$2:$T$1001,5,)</f>
        <v>Finance</v>
      </c>
      <c r="C426" t="str">
        <f>VLOOKUP(A426,'Remote work mental helath'!$A$2:$T$1001,7,)</f>
        <v>Remote</v>
      </c>
      <c r="D426">
        <f>VLOOKUP(A426,'Remote work mental helath'!$A$2:$T$1001,6,)</f>
        <v>30</v>
      </c>
      <c r="E426">
        <f>VLOOKUP(A426,'Remote work mental helath'!$A$2:$T$1001,8,)</f>
        <v>33</v>
      </c>
      <c r="F426">
        <f>VLOOKUP(A426,'Remote work mental helath'!$A$2:$T$1001,9,)</f>
        <v>14</v>
      </c>
    </row>
    <row r="427" spans="1:6" x14ac:dyDescent="0.3">
      <c r="A427" t="s">
        <v>476</v>
      </c>
      <c r="B427" t="str">
        <f>VLOOKUP(A427,'Remote work mental helath'!$A$2:$T$1001,5,)</f>
        <v>Consulting</v>
      </c>
      <c r="C427" t="str">
        <f>VLOOKUP(A427,'Remote work mental helath'!$A$2:$T$1001,7,)</f>
        <v>Onsite</v>
      </c>
      <c r="D427">
        <f>VLOOKUP(A427,'Remote work mental helath'!$A$2:$T$1001,6,)</f>
        <v>28</v>
      </c>
      <c r="E427">
        <f>VLOOKUP(A427,'Remote work mental helath'!$A$2:$T$1001,8,)</f>
        <v>41</v>
      </c>
      <c r="F427">
        <f>VLOOKUP(A427,'Remote work mental helath'!$A$2:$T$1001,9,)</f>
        <v>13</v>
      </c>
    </row>
    <row r="428" spans="1:6" x14ac:dyDescent="0.3">
      <c r="A428" t="s">
        <v>477</v>
      </c>
      <c r="B428" t="str">
        <f>VLOOKUP(A428,'Remote work mental helath'!$A$2:$T$1001,5,)</f>
        <v>Finance</v>
      </c>
      <c r="C428" t="str">
        <f>VLOOKUP(A428,'Remote work mental helath'!$A$2:$T$1001,7,)</f>
        <v>Remote</v>
      </c>
      <c r="D428">
        <f>VLOOKUP(A428,'Remote work mental helath'!$A$2:$T$1001,6,)</f>
        <v>4</v>
      </c>
      <c r="E428">
        <f>VLOOKUP(A428,'Remote work mental helath'!$A$2:$T$1001,8,)</f>
        <v>31</v>
      </c>
      <c r="F428">
        <f>VLOOKUP(A428,'Remote work mental helath'!$A$2:$T$1001,9,)</f>
        <v>15</v>
      </c>
    </row>
    <row r="429" spans="1:6" x14ac:dyDescent="0.3">
      <c r="A429" t="s">
        <v>478</v>
      </c>
      <c r="B429" t="str">
        <f>VLOOKUP(A429,'Remote work mental helath'!$A$2:$T$1001,5,)</f>
        <v>IT</v>
      </c>
      <c r="C429" t="str">
        <f>VLOOKUP(A429,'Remote work mental helath'!$A$2:$T$1001,7,)</f>
        <v>Onsite</v>
      </c>
      <c r="D429">
        <f>VLOOKUP(A429,'Remote work mental helath'!$A$2:$T$1001,6,)</f>
        <v>19</v>
      </c>
      <c r="E429">
        <f>VLOOKUP(A429,'Remote work mental helath'!$A$2:$T$1001,8,)</f>
        <v>29</v>
      </c>
      <c r="F429">
        <f>VLOOKUP(A429,'Remote work mental helath'!$A$2:$T$1001,9,)</f>
        <v>4</v>
      </c>
    </row>
    <row r="430" spans="1:6" x14ac:dyDescent="0.3">
      <c r="A430" t="s">
        <v>479</v>
      </c>
      <c r="B430" t="str">
        <f>VLOOKUP(A430,'Remote work mental helath'!$A$2:$T$1001,5,)</f>
        <v>IT</v>
      </c>
      <c r="C430" t="str">
        <f>VLOOKUP(A430,'Remote work mental helath'!$A$2:$T$1001,7,)</f>
        <v>Hybrid</v>
      </c>
      <c r="D430">
        <f>VLOOKUP(A430,'Remote work mental helath'!$A$2:$T$1001,6,)</f>
        <v>25</v>
      </c>
      <c r="E430">
        <f>VLOOKUP(A430,'Remote work mental helath'!$A$2:$T$1001,8,)</f>
        <v>33</v>
      </c>
      <c r="F430">
        <f>VLOOKUP(A430,'Remote work mental helath'!$A$2:$T$1001,9,)</f>
        <v>7</v>
      </c>
    </row>
    <row r="431" spans="1:6" x14ac:dyDescent="0.3">
      <c r="A431" t="s">
        <v>480</v>
      </c>
      <c r="B431" t="str">
        <f>VLOOKUP(A431,'Remote work mental helath'!$A$2:$T$1001,5,)</f>
        <v>Consulting</v>
      </c>
      <c r="C431" t="str">
        <f>VLOOKUP(A431,'Remote work mental helath'!$A$2:$T$1001,7,)</f>
        <v>Remote</v>
      </c>
      <c r="D431">
        <f>VLOOKUP(A431,'Remote work mental helath'!$A$2:$T$1001,6,)</f>
        <v>9</v>
      </c>
      <c r="E431">
        <f>VLOOKUP(A431,'Remote work mental helath'!$A$2:$T$1001,8,)</f>
        <v>58</v>
      </c>
      <c r="F431">
        <f>VLOOKUP(A431,'Remote work mental helath'!$A$2:$T$1001,9,)</f>
        <v>8</v>
      </c>
    </row>
    <row r="432" spans="1:6" x14ac:dyDescent="0.3">
      <c r="A432" t="s">
        <v>481</v>
      </c>
      <c r="B432" t="str">
        <f>VLOOKUP(A432,'Remote work mental helath'!$A$2:$T$1001,5,)</f>
        <v>Consulting</v>
      </c>
      <c r="C432" t="str">
        <f>VLOOKUP(A432,'Remote work mental helath'!$A$2:$T$1001,7,)</f>
        <v>Hybrid</v>
      </c>
      <c r="D432">
        <f>VLOOKUP(A432,'Remote work mental helath'!$A$2:$T$1001,6,)</f>
        <v>10</v>
      </c>
      <c r="E432">
        <f>VLOOKUP(A432,'Remote work mental helath'!$A$2:$T$1001,8,)</f>
        <v>42</v>
      </c>
      <c r="F432">
        <f>VLOOKUP(A432,'Remote work mental helath'!$A$2:$T$1001,9,)</f>
        <v>12</v>
      </c>
    </row>
    <row r="433" spans="1:6" x14ac:dyDescent="0.3">
      <c r="A433" t="s">
        <v>482</v>
      </c>
      <c r="B433" t="str">
        <f>VLOOKUP(A433,'Remote work mental helath'!$A$2:$T$1001,5,)</f>
        <v>Finance</v>
      </c>
      <c r="C433" t="str">
        <f>VLOOKUP(A433,'Remote work mental helath'!$A$2:$T$1001,7,)</f>
        <v>Hybrid</v>
      </c>
      <c r="D433">
        <f>VLOOKUP(A433,'Remote work mental helath'!$A$2:$T$1001,6,)</f>
        <v>26</v>
      </c>
      <c r="E433">
        <f>VLOOKUP(A433,'Remote work mental helath'!$A$2:$T$1001,8,)</f>
        <v>23</v>
      </c>
      <c r="F433">
        <f>VLOOKUP(A433,'Remote work mental helath'!$A$2:$T$1001,9,)</f>
        <v>15</v>
      </c>
    </row>
    <row r="434" spans="1:6" x14ac:dyDescent="0.3">
      <c r="A434" t="s">
        <v>483</v>
      </c>
      <c r="B434" t="str">
        <f>VLOOKUP(A434,'Remote work mental helath'!$A$2:$T$1001,5,)</f>
        <v>Consulting</v>
      </c>
      <c r="C434" t="str">
        <f>VLOOKUP(A434,'Remote work mental helath'!$A$2:$T$1001,7,)</f>
        <v>Hybrid</v>
      </c>
      <c r="D434">
        <f>VLOOKUP(A434,'Remote work mental helath'!$A$2:$T$1001,6,)</f>
        <v>26</v>
      </c>
      <c r="E434">
        <f>VLOOKUP(A434,'Remote work mental helath'!$A$2:$T$1001,8,)</f>
        <v>28</v>
      </c>
      <c r="F434">
        <f>VLOOKUP(A434,'Remote work mental helath'!$A$2:$T$1001,9,)</f>
        <v>4</v>
      </c>
    </row>
    <row r="435" spans="1:6" x14ac:dyDescent="0.3">
      <c r="A435" t="s">
        <v>484</v>
      </c>
      <c r="B435" t="str">
        <f>VLOOKUP(A435,'Remote work mental helath'!$A$2:$T$1001,5,)</f>
        <v>Finance</v>
      </c>
      <c r="C435" t="str">
        <f>VLOOKUP(A435,'Remote work mental helath'!$A$2:$T$1001,7,)</f>
        <v>Hybrid</v>
      </c>
      <c r="D435">
        <f>VLOOKUP(A435,'Remote work mental helath'!$A$2:$T$1001,6,)</f>
        <v>11</v>
      </c>
      <c r="E435">
        <f>VLOOKUP(A435,'Remote work mental helath'!$A$2:$T$1001,8,)</f>
        <v>41</v>
      </c>
      <c r="F435">
        <f>VLOOKUP(A435,'Remote work mental helath'!$A$2:$T$1001,9,)</f>
        <v>10</v>
      </c>
    </row>
    <row r="436" spans="1:6" x14ac:dyDescent="0.3">
      <c r="A436" t="s">
        <v>485</v>
      </c>
      <c r="B436" t="str">
        <f>VLOOKUP(A436,'Remote work mental helath'!$A$2:$T$1001,5,)</f>
        <v>Consulting</v>
      </c>
      <c r="C436" t="str">
        <f>VLOOKUP(A436,'Remote work mental helath'!$A$2:$T$1001,7,)</f>
        <v>Onsite</v>
      </c>
      <c r="D436">
        <f>VLOOKUP(A436,'Remote work mental helath'!$A$2:$T$1001,6,)</f>
        <v>25</v>
      </c>
      <c r="E436">
        <f>VLOOKUP(A436,'Remote work mental helath'!$A$2:$T$1001,8,)</f>
        <v>33</v>
      </c>
      <c r="F436">
        <f>VLOOKUP(A436,'Remote work mental helath'!$A$2:$T$1001,9,)</f>
        <v>9</v>
      </c>
    </row>
    <row r="437" spans="1:6" x14ac:dyDescent="0.3">
      <c r="A437" t="s">
        <v>486</v>
      </c>
      <c r="B437" t="str">
        <f>VLOOKUP(A437,'Remote work mental helath'!$A$2:$T$1001,5,)</f>
        <v>Healthcare</v>
      </c>
      <c r="C437" t="str">
        <f>VLOOKUP(A437,'Remote work mental helath'!$A$2:$T$1001,7,)</f>
        <v>Hybrid</v>
      </c>
      <c r="D437">
        <f>VLOOKUP(A437,'Remote work mental helath'!$A$2:$T$1001,6,)</f>
        <v>3</v>
      </c>
      <c r="E437">
        <f>VLOOKUP(A437,'Remote work mental helath'!$A$2:$T$1001,8,)</f>
        <v>46</v>
      </c>
      <c r="F437">
        <f>VLOOKUP(A437,'Remote work mental helath'!$A$2:$T$1001,9,)</f>
        <v>13</v>
      </c>
    </row>
    <row r="438" spans="1:6" x14ac:dyDescent="0.3">
      <c r="A438" t="s">
        <v>487</v>
      </c>
      <c r="B438" t="str">
        <f>VLOOKUP(A438,'Remote work mental helath'!$A$2:$T$1001,5,)</f>
        <v>Healthcare</v>
      </c>
      <c r="C438" t="str">
        <f>VLOOKUP(A438,'Remote work mental helath'!$A$2:$T$1001,7,)</f>
        <v>Remote</v>
      </c>
      <c r="D438">
        <f>VLOOKUP(A438,'Remote work mental helath'!$A$2:$T$1001,6,)</f>
        <v>29</v>
      </c>
      <c r="E438">
        <f>VLOOKUP(A438,'Remote work mental helath'!$A$2:$T$1001,8,)</f>
        <v>25</v>
      </c>
      <c r="F438">
        <f>VLOOKUP(A438,'Remote work mental helath'!$A$2:$T$1001,9,)</f>
        <v>9</v>
      </c>
    </row>
    <row r="439" spans="1:6" x14ac:dyDescent="0.3">
      <c r="A439" t="s">
        <v>488</v>
      </c>
      <c r="B439" t="str">
        <f>VLOOKUP(A439,'Remote work mental helath'!$A$2:$T$1001,5,)</f>
        <v>Education</v>
      </c>
      <c r="C439" t="str">
        <f>VLOOKUP(A439,'Remote work mental helath'!$A$2:$T$1001,7,)</f>
        <v>Onsite</v>
      </c>
      <c r="D439">
        <f>VLOOKUP(A439,'Remote work mental helath'!$A$2:$T$1001,6,)</f>
        <v>7</v>
      </c>
      <c r="E439">
        <f>VLOOKUP(A439,'Remote work mental helath'!$A$2:$T$1001,8,)</f>
        <v>55</v>
      </c>
      <c r="F439">
        <f>VLOOKUP(A439,'Remote work mental helath'!$A$2:$T$1001,9,)</f>
        <v>1</v>
      </c>
    </row>
    <row r="440" spans="1:6" x14ac:dyDescent="0.3">
      <c r="A440" t="s">
        <v>489</v>
      </c>
      <c r="B440" t="str">
        <f>VLOOKUP(A440,'Remote work mental helath'!$A$2:$T$1001,5,)</f>
        <v>Manufacturing</v>
      </c>
      <c r="C440" t="str">
        <f>VLOOKUP(A440,'Remote work mental helath'!$A$2:$T$1001,7,)</f>
        <v>Onsite</v>
      </c>
      <c r="D440">
        <f>VLOOKUP(A440,'Remote work mental helath'!$A$2:$T$1001,6,)</f>
        <v>28</v>
      </c>
      <c r="E440">
        <f>VLOOKUP(A440,'Remote work mental helath'!$A$2:$T$1001,8,)</f>
        <v>53</v>
      </c>
      <c r="F440">
        <f>VLOOKUP(A440,'Remote work mental helath'!$A$2:$T$1001,9,)</f>
        <v>4</v>
      </c>
    </row>
    <row r="441" spans="1:6" x14ac:dyDescent="0.3">
      <c r="A441" t="s">
        <v>490</v>
      </c>
      <c r="B441" t="str">
        <f>VLOOKUP(A441,'Remote work mental helath'!$A$2:$T$1001,5,)</f>
        <v>Retail</v>
      </c>
      <c r="C441" t="str">
        <f>VLOOKUP(A441,'Remote work mental helath'!$A$2:$T$1001,7,)</f>
        <v>Onsite</v>
      </c>
      <c r="D441">
        <f>VLOOKUP(A441,'Remote work mental helath'!$A$2:$T$1001,6,)</f>
        <v>7</v>
      </c>
      <c r="E441">
        <f>VLOOKUP(A441,'Remote work mental helath'!$A$2:$T$1001,8,)</f>
        <v>47</v>
      </c>
      <c r="F441">
        <f>VLOOKUP(A441,'Remote work mental helath'!$A$2:$T$1001,9,)</f>
        <v>10</v>
      </c>
    </row>
    <row r="442" spans="1:6" x14ac:dyDescent="0.3">
      <c r="A442" t="s">
        <v>491</v>
      </c>
      <c r="B442" t="str">
        <f>VLOOKUP(A442,'Remote work mental helath'!$A$2:$T$1001,5,)</f>
        <v>Retail</v>
      </c>
      <c r="C442" t="str">
        <f>VLOOKUP(A442,'Remote work mental helath'!$A$2:$T$1001,7,)</f>
        <v>Hybrid</v>
      </c>
      <c r="D442">
        <f>VLOOKUP(A442,'Remote work mental helath'!$A$2:$T$1001,6,)</f>
        <v>34</v>
      </c>
      <c r="E442">
        <f>VLOOKUP(A442,'Remote work mental helath'!$A$2:$T$1001,8,)</f>
        <v>35</v>
      </c>
      <c r="F442">
        <f>VLOOKUP(A442,'Remote work mental helath'!$A$2:$T$1001,9,)</f>
        <v>14</v>
      </c>
    </row>
    <row r="443" spans="1:6" x14ac:dyDescent="0.3">
      <c r="A443" t="s">
        <v>492</v>
      </c>
      <c r="B443" t="str">
        <f>VLOOKUP(A443,'Remote work mental helath'!$A$2:$T$1001,5,)</f>
        <v>Finance</v>
      </c>
      <c r="C443" t="str">
        <f>VLOOKUP(A443,'Remote work mental helath'!$A$2:$T$1001,7,)</f>
        <v>Hybrid</v>
      </c>
      <c r="D443">
        <f>VLOOKUP(A443,'Remote work mental helath'!$A$2:$T$1001,6,)</f>
        <v>3</v>
      </c>
      <c r="E443">
        <f>VLOOKUP(A443,'Remote work mental helath'!$A$2:$T$1001,8,)</f>
        <v>39</v>
      </c>
      <c r="F443">
        <f>VLOOKUP(A443,'Remote work mental helath'!$A$2:$T$1001,9,)</f>
        <v>8</v>
      </c>
    </row>
    <row r="444" spans="1:6" x14ac:dyDescent="0.3">
      <c r="A444" t="s">
        <v>493</v>
      </c>
      <c r="B444" t="str">
        <f>VLOOKUP(A444,'Remote work mental helath'!$A$2:$T$1001,5,)</f>
        <v>Consulting</v>
      </c>
      <c r="C444" t="str">
        <f>VLOOKUP(A444,'Remote work mental helath'!$A$2:$T$1001,7,)</f>
        <v>Hybrid</v>
      </c>
      <c r="D444">
        <f>VLOOKUP(A444,'Remote work mental helath'!$A$2:$T$1001,6,)</f>
        <v>24</v>
      </c>
      <c r="E444">
        <f>VLOOKUP(A444,'Remote work mental helath'!$A$2:$T$1001,8,)</f>
        <v>34</v>
      </c>
      <c r="F444">
        <f>VLOOKUP(A444,'Remote work mental helath'!$A$2:$T$1001,9,)</f>
        <v>12</v>
      </c>
    </row>
    <row r="445" spans="1:6" x14ac:dyDescent="0.3">
      <c r="A445" t="s">
        <v>494</v>
      </c>
      <c r="B445" t="str">
        <f>VLOOKUP(A445,'Remote work mental helath'!$A$2:$T$1001,5,)</f>
        <v>Retail</v>
      </c>
      <c r="C445" t="str">
        <f>VLOOKUP(A445,'Remote work mental helath'!$A$2:$T$1001,7,)</f>
        <v>Hybrid</v>
      </c>
      <c r="D445">
        <f>VLOOKUP(A445,'Remote work mental helath'!$A$2:$T$1001,6,)</f>
        <v>7</v>
      </c>
      <c r="E445">
        <f>VLOOKUP(A445,'Remote work mental helath'!$A$2:$T$1001,8,)</f>
        <v>27</v>
      </c>
      <c r="F445">
        <f>VLOOKUP(A445,'Remote work mental helath'!$A$2:$T$1001,9,)</f>
        <v>9</v>
      </c>
    </row>
    <row r="446" spans="1:6" x14ac:dyDescent="0.3">
      <c r="A446" t="s">
        <v>495</v>
      </c>
      <c r="B446" t="str">
        <f>VLOOKUP(A446,'Remote work mental helath'!$A$2:$T$1001,5,)</f>
        <v>Retail</v>
      </c>
      <c r="C446" t="str">
        <f>VLOOKUP(A446,'Remote work mental helath'!$A$2:$T$1001,7,)</f>
        <v>Remote</v>
      </c>
      <c r="D446">
        <f>VLOOKUP(A446,'Remote work mental helath'!$A$2:$T$1001,6,)</f>
        <v>18</v>
      </c>
      <c r="E446">
        <f>VLOOKUP(A446,'Remote work mental helath'!$A$2:$T$1001,8,)</f>
        <v>22</v>
      </c>
      <c r="F446">
        <f>VLOOKUP(A446,'Remote work mental helath'!$A$2:$T$1001,9,)</f>
        <v>4</v>
      </c>
    </row>
    <row r="447" spans="1:6" x14ac:dyDescent="0.3">
      <c r="A447" t="s">
        <v>496</v>
      </c>
      <c r="B447" t="str">
        <f>VLOOKUP(A447,'Remote work mental helath'!$A$2:$T$1001,5,)</f>
        <v>Healthcare</v>
      </c>
      <c r="C447" t="str">
        <f>VLOOKUP(A447,'Remote work mental helath'!$A$2:$T$1001,7,)</f>
        <v>Onsite</v>
      </c>
      <c r="D447">
        <f>VLOOKUP(A447,'Remote work mental helath'!$A$2:$T$1001,6,)</f>
        <v>33</v>
      </c>
      <c r="E447">
        <f>VLOOKUP(A447,'Remote work mental helath'!$A$2:$T$1001,8,)</f>
        <v>48</v>
      </c>
      <c r="F447">
        <f>VLOOKUP(A447,'Remote work mental helath'!$A$2:$T$1001,9,)</f>
        <v>1</v>
      </c>
    </row>
    <row r="448" spans="1:6" x14ac:dyDescent="0.3">
      <c r="A448" t="s">
        <v>497</v>
      </c>
      <c r="B448" t="str">
        <f>VLOOKUP(A448,'Remote work mental helath'!$A$2:$T$1001,5,)</f>
        <v>Healthcare</v>
      </c>
      <c r="C448" t="str">
        <f>VLOOKUP(A448,'Remote work mental helath'!$A$2:$T$1001,7,)</f>
        <v>Remote</v>
      </c>
      <c r="D448">
        <f>VLOOKUP(A448,'Remote work mental helath'!$A$2:$T$1001,6,)</f>
        <v>28</v>
      </c>
      <c r="E448">
        <f>VLOOKUP(A448,'Remote work mental helath'!$A$2:$T$1001,8,)</f>
        <v>52</v>
      </c>
      <c r="F448">
        <f>VLOOKUP(A448,'Remote work mental helath'!$A$2:$T$1001,9,)</f>
        <v>3</v>
      </c>
    </row>
    <row r="449" spans="1:6" x14ac:dyDescent="0.3">
      <c r="A449" t="s">
        <v>498</v>
      </c>
      <c r="B449" t="str">
        <f>VLOOKUP(A449,'Remote work mental helath'!$A$2:$T$1001,5,)</f>
        <v>Retail</v>
      </c>
      <c r="C449" t="str">
        <f>VLOOKUP(A449,'Remote work mental helath'!$A$2:$T$1001,7,)</f>
        <v>Onsite</v>
      </c>
      <c r="D449">
        <f>VLOOKUP(A449,'Remote work mental helath'!$A$2:$T$1001,6,)</f>
        <v>2</v>
      </c>
      <c r="E449">
        <f>VLOOKUP(A449,'Remote work mental helath'!$A$2:$T$1001,8,)</f>
        <v>40</v>
      </c>
      <c r="F449">
        <f>VLOOKUP(A449,'Remote work mental helath'!$A$2:$T$1001,9,)</f>
        <v>5</v>
      </c>
    </row>
    <row r="450" spans="1:6" x14ac:dyDescent="0.3">
      <c r="A450" t="s">
        <v>499</v>
      </c>
      <c r="B450" t="str">
        <f>VLOOKUP(A450,'Remote work mental helath'!$A$2:$T$1001,5,)</f>
        <v>Finance</v>
      </c>
      <c r="C450" t="str">
        <f>VLOOKUP(A450,'Remote work mental helath'!$A$2:$T$1001,7,)</f>
        <v>Hybrid</v>
      </c>
      <c r="D450">
        <f>VLOOKUP(A450,'Remote work mental helath'!$A$2:$T$1001,6,)</f>
        <v>22</v>
      </c>
      <c r="E450">
        <f>VLOOKUP(A450,'Remote work mental helath'!$A$2:$T$1001,8,)</f>
        <v>41</v>
      </c>
      <c r="F450">
        <f>VLOOKUP(A450,'Remote work mental helath'!$A$2:$T$1001,9,)</f>
        <v>7</v>
      </c>
    </row>
    <row r="451" spans="1:6" x14ac:dyDescent="0.3">
      <c r="A451" t="s">
        <v>500</v>
      </c>
      <c r="B451" t="str">
        <f>VLOOKUP(A451,'Remote work mental helath'!$A$2:$T$1001,5,)</f>
        <v>IT</v>
      </c>
      <c r="C451" t="str">
        <f>VLOOKUP(A451,'Remote work mental helath'!$A$2:$T$1001,7,)</f>
        <v>Hybrid</v>
      </c>
      <c r="D451">
        <f>VLOOKUP(A451,'Remote work mental helath'!$A$2:$T$1001,6,)</f>
        <v>8</v>
      </c>
      <c r="E451">
        <f>VLOOKUP(A451,'Remote work mental helath'!$A$2:$T$1001,8,)</f>
        <v>56</v>
      </c>
      <c r="F451">
        <f>VLOOKUP(A451,'Remote work mental helath'!$A$2:$T$1001,9,)</f>
        <v>15</v>
      </c>
    </row>
    <row r="452" spans="1:6" x14ac:dyDescent="0.3">
      <c r="A452" t="s">
        <v>501</v>
      </c>
      <c r="B452" t="str">
        <f>VLOOKUP(A452,'Remote work mental helath'!$A$2:$T$1001,5,)</f>
        <v>Manufacturing</v>
      </c>
      <c r="C452" t="str">
        <f>VLOOKUP(A452,'Remote work mental helath'!$A$2:$T$1001,7,)</f>
        <v>Onsite</v>
      </c>
      <c r="D452">
        <f>VLOOKUP(A452,'Remote work mental helath'!$A$2:$T$1001,6,)</f>
        <v>32</v>
      </c>
      <c r="E452">
        <f>VLOOKUP(A452,'Remote work mental helath'!$A$2:$T$1001,8,)</f>
        <v>57</v>
      </c>
      <c r="F452">
        <f>VLOOKUP(A452,'Remote work mental helath'!$A$2:$T$1001,9,)</f>
        <v>9</v>
      </c>
    </row>
    <row r="453" spans="1:6" x14ac:dyDescent="0.3">
      <c r="A453" t="s">
        <v>502</v>
      </c>
      <c r="B453" t="str">
        <f>VLOOKUP(A453,'Remote work mental helath'!$A$2:$T$1001,5,)</f>
        <v>Finance</v>
      </c>
      <c r="C453" t="str">
        <f>VLOOKUP(A453,'Remote work mental helath'!$A$2:$T$1001,7,)</f>
        <v>Remote</v>
      </c>
      <c r="D453">
        <f>VLOOKUP(A453,'Remote work mental helath'!$A$2:$T$1001,6,)</f>
        <v>21</v>
      </c>
      <c r="E453">
        <f>VLOOKUP(A453,'Remote work mental helath'!$A$2:$T$1001,8,)</f>
        <v>36</v>
      </c>
      <c r="F453">
        <f>VLOOKUP(A453,'Remote work mental helath'!$A$2:$T$1001,9,)</f>
        <v>5</v>
      </c>
    </row>
    <row r="454" spans="1:6" x14ac:dyDescent="0.3">
      <c r="A454" t="s">
        <v>503</v>
      </c>
      <c r="B454" t="str">
        <f>VLOOKUP(A454,'Remote work mental helath'!$A$2:$T$1001,5,)</f>
        <v>Finance</v>
      </c>
      <c r="C454" t="str">
        <f>VLOOKUP(A454,'Remote work mental helath'!$A$2:$T$1001,7,)</f>
        <v>Hybrid</v>
      </c>
      <c r="D454">
        <f>VLOOKUP(A454,'Remote work mental helath'!$A$2:$T$1001,6,)</f>
        <v>15</v>
      </c>
      <c r="E454">
        <f>VLOOKUP(A454,'Remote work mental helath'!$A$2:$T$1001,8,)</f>
        <v>32</v>
      </c>
      <c r="F454">
        <f>VLOOKUP(A454,'Remote work mental helath'!$A$2:$T$1001,9,)</f>
        <v>5</v>
      </c>
    </row>
    <row r="455" spans="1:6" x14ac:dyDescent="0.3">
      <c r="A455" t="s">
        <v>504</v>
      </c>
      <c r="B455" t="str">
        <f>VLOOKUP(A455,'Remote work mental helath'!$A$2:$T$1001,5,)</f>
        <v>Education</v>
      </c>
      <c r="C455" t="str">
        <f>VLOOKUP(A455,'Remote work mental helath'!$A$2:$T$1001,7,)</f>
        <v>Remote</v>
      </c>
      <c r="D455">
        <f>VLOOKUP(A455,'Remote work mental helath'!$A$2:$T$1001,6,)</f>
        <v>10</v>
      </c>
      <c r="E455">
        <f>VLOOKUP(A455,'Remote work mental helath'!$A$2:$T$1001,8,)</f>
        <v>32</v>
      </c>
      <c r="F455">
        <f>VLOOKUP(A455,'Remote work mental helath'!$A$2:$T$1001,9,)</f>
        <v>7</v>
      </c>
    </row>
    <row r="456" spans="1:6" x14ac:dyDescent="0.3">
      <c r="A456" t="s">
        <v>505</v>
      </c>
      <c r="B456" t="str">
        <f>VLOOKUP(A456,'Remote work mental helath'!$A$2:$T$1001,5,)</f>
        <v>Manufacturing</v>
      </c>
      <c r="C456" t="str">
        <f>VLOOKUP(A456,'Remote work mental helath'!$A$2:$T$1001,7,)</f>
        <v>Remote</v>
      </c>
      <c r="D456">
        <f>VLOOKUP(A456,'Remote work mental helath'!$A$2:$T$1001,6,)</f>
        <v>2</v>
      </c>
      <c r="E456">
        <f>VLOOKUP(A456,'Remote work mental helath'!$A$2:$T$1001,8,)</f>
        <v>58</v>
      </c>
      <c r="F456">
        <f>VLOOKUP(A456,'Remote work mental helath'!$A$2:$T$1001,9,)</f>
        <v>14</v>
      </c>
    </row>
    <row r="457" spans="1:6" x14ac:dyDescent="0.3">
      <c r="A457" t="s">
        <v>506</v>
      </c>
      <c r="B457" t="str">
        <f>VLOOKUP(A457,'Remote work mental helath'!$A$2:$T$1001,5,)</f>
        <v>Retail</v>
      </c>
      <c r="C457" t="str">
        <f>VLOOKUP(A457,'Remote work mental helath'!$A$2:$T$1001,7,)</f>
        <v>Remote</v>
      </c>
      <c r="D457">
        <f>VLOOKUP(A457,'Remote work mental helath'!$A$2:$T$1001,6,)</f>
        <v>10</v>
      </c>
      <c r="E457">
        <f>VLOOKUP(A457,'Remote work mental helath'!$A$2:$T$1001,8,)</f>
        <v>59</v>
      </c>
      <c r="F457">
        <f>VLOOKUP(A457,'Remote work mental helath'!$A$2:$T$1001,9,)</f>
        <v>15</v>
      </c>
    </row>
    <row r="458" spans="1:6" x14ac:dyDescent="0.3">
      <c r="A458" t="s">
        <v>507</v>
      </c>
      <c r="B458" t="str">
        <f>VLOOKUP(A458,'Remote work mental helath'!$A$2:$T$1001,5,)</f>
        <v>Healthcare</v>
      </c>
      <c r="C458" t="str">
        <f>VLOOKUP(A458,'Remote work mental helath'!$A$2:$T$1001,7,)</f>
        <v>Onsite</v>
      </c>
      <c r="D458">
        <f>VLOOKUP(A458,'Remote work mental helath'!$A$2:$T$1001,6,)</f>
        <v>28</v>
      </c>
      <c r="E458">
        <f>VLOOKUP(A458,'Remote work mental helath'!$A$2:$T$1001,8,)</f>
        <v>22</v>
      </c>
      <c r="F458">
        <f>VLOOKUP(A458,'Remote work mental helath'!$A$2:$T$1001,9,)</f>
        <v>3</v>
      </c>
    </row>
    <row r="459" spans="1:6" x14ac:dyDescent="0.3">
      <c r="A459" t="s">
        <v>508</v>
      </c>
      <c r="B459" t="str">
        <f>VLOOKUP(A459,'Remote work mental helath'!$A$2:$T$1001,5,)</f>
        <v>Manufacturing</v>
      </c>
      <c r="C459" t="str">
        <f>VLOOKUP(A459,'Remote work mental helath'!$A$2:$T$1001,7,)</f>
        <v>Remote</v>
      </c>
      <c r="D459">
        <f>VLOOKUP(A459,'Remote work mental helath'!$A$2:$T$1001,6,)</f>
        <v>27</v>
      </c>
      <c r="E459">
        <f>VLOOKUP(A459,'Remote work mental helath'!$A$2:$T$1001,8,)</f>
        <v>49</v>
      </c>
      <c r="F459">
        <f>VLOOKUP(A459,'Remote work mental helath'!$A$2:$T$1001,9,)</f>
        <v>10</v>
      </c>
    </row>
    <row r="460" spans="1:6" x14ac:dyDescent="0.3">
      <c r="A460" t="s">
        <v>509</v>
      </c>
      <c r="B460" t="str">
        <f>VLOOKUP(A460,'Remote work mental helath'!$A$2:$T$1001,5,)</f>
        <v>Consulting</v>
      </c>
      <c r="C460" t="str">
        <f>VLOOKUP(A460,'Remote work mental helath'!$A$2:$T$1001,7,)</f>
        <v>Onsite</v>
      </c>
      <c r="D460">
        <f>VLOOKUP(A460,'Remote work mental helath'!$A$2:$T$1001,6,)</f>
        <v>1</v>
      </c>
      <c r="E460">
        <f>VLOOKUP(A460,'Remote work mental helath'!$A$2:$T$1001,8,)</f>
        <v>42</v>
      </c>
      <c r="F460">
        <f>VLOOKUP(A460,'Remote work mental helath'!$A$2:$T$1001,9,)</f>
        <v>14</v>
      </c>
    </row>
    <row r="461" spans="1:6" x14ac:dyDescent="0.3">
      <c r="A461" t="s">
        <v>510</v>
      </c>
      <c r="B461" t="str">
        <f>VLOOKUP(A461,'Remote work mental helath'!$A$2:$T$1001,5,)</f>
        <v>Retail</v>
      </c>
      <c r="C461" t="str">
        <f>VLOOKUP(A461,'Remote work mental helath'!$A$2:$T$1001,7,)</f>
        <v>Onsite</v>
      </c>
      <c r="D461">
        <f>VLOOKUP(A461,'Remote work mental helath'!$A$2:$T$1001,6,)</f>
        <v>7</v>
      </c>
      <c r="E461">
        <f>VLOOKUP(A461,'Remote work mental helath'!$A$2:$T$1001,8,)</f>
        <v>20</v>
      </c>
      <c r="F461">
        <f>VLOOKUP(A461,'Remote work mental helath'!$A$2:$T$1001,9,)</f>
        <v>5</v>
      </c>
    </row>
    <row r="462" spans="1:6" x14ac:dyDescent="0.3">
      <c r="A462" t="s">
        <v>511</v>
      </c>
      <c r="B462" t="str">
        <f>VLOOKUP(A462,'Remote work mental helath'!$A$2:$T$1001,5,)</f>
        <v>IT</v>
      </c>
      <c r="C462" t="str">
        <f>VLOOKUP(A462,'Remote work mental helath'!$A$2:$T$1001,7,)</f>
        <v>Remote</v>
      </c>
      <c r="D462">
        <f>VLOOKUP(A462,'Remote work mental helath'!$A$2:$T$1001,6,)</f>
        <v>12</v>
      </c>
      <c r="E462">
        <f>VLOOKUP(A462,'Remote work mental helath'!$A$2:$T$1001,8,)</f>
        <v>22</v>
      </c>
      <c r="F462">
        <f>VLOOKUP(A462,'Remote work mental helath'!$A$2:$T$1001,9,)</f>
        <v>5</v>
      </c>
    </row>
    <row r="463" spans="1:6" x14ac:dyDescent="0.3">
      <c r="A463" t="s">
        <v>512</v>
      </c>
      <c r="B463" t="str">
        <f>VLOOKUP(A463,'Remote work mental helath'!$A$2:$T$1001,5,)</f>
        <v>Manufacturing</v>
      </c>
      <c r="C463" t="str">
        <f>VLOOKUP(A463,'Remote work mental helath'!$A$2:$T$1001,7,)</f>
        <v>Hybrid</v>
      </c>
      <c r="D463">
        <f>VLOOKUP(A463,'Remote work mental helath'!$A$2:$T$1001,6,)</f>
        <v>28</v>
      </c>
      <c r="E463">
        <f>VLOOKUP(A463,'Remote work mental helath'!$A$2:$T$1001,8,)</f>
        <v>48</v>
      </c>
      <c r="F463">
        <f>VLOOKUP(A463,'Remote work mental helath'!$A$2:$T$1001,9,)</f>
        <v>1</v>
      </c>
    </row>
    <row r="464" spans="1:6" x14ac:dyDescent="0.3">
      <c r="A464" t="s">
        <v>513</v>
      </c>
      <c r="B464" t="str">
        <f>VLOOKUP(A464,'Remote work mental helath'!$A$2:$T$1001,5,)</f>
        <v>Healthcare</v>
      </c>
      <c r="C464" t="str">
        <f>VLOOKUP(A464,'Remote work mental helath'!$A$2:$T$1001,7,)</f>
        <v>Remote</v>
      </c>
      <c r="D464">
        <f>VLOOKUP(A464,'Remote work mental helath'!$A$2:$T$1001,6,)</f>
        <v>27</v>
      </c>
      <c r="E464">
        <f>VLOOKUP(A464,'Remote work mental helath'!$A$2:$T$1001,8,)</f>
        <v>20</v>
      </c>
      <c r="F464">
        <f>VLOOKUP(A464,'Remote work mental helath'!$A$2:$T$1001,9,)</f>
        <v>1</v>
      </c>
    </row>
    <row r="465" spans="1:6" x14ac:dyDescent="0.3">
      <c r="A465" t="s">
        <v>514</v>
      </c>
      <c r="B465" t="str">
        <f>VLOOKUP(A465,'Remote work mental helath'!$A$2:$T$1001,5,)</f>
        <v>IT</v>
      </c>
      <c r="C465" t="str">
        <f>VLOOKUP(A465,'Remote work mental helath'!$A$2:$T$1001,7,)</f>
        <v>Hybrid</v>
      </c>
      <c r="D465">
        <f>VLOOKUP(A465,'Remote work mental helath'!$A$2:$T$1001,6,)</f>
        <v>19</v>
      </c>
      <c r="E465">
        <f>VLOOKUP(A465,'Remote work mental helath'!$A$2:$T$1001,8,)</f>
        <v>24</v>
      </c>
      <c r="F465">
        <f>VLOOKUP(A465,'Remote work mental helath'!$A$2:$T$1001,9,)</f>
        <v>8</v>
      </c>
    </row>
    <row r="466" spans="1:6" x14ac:dyDescent="0.3">
      <c r="A466" t="s">
        <v>515</v>
      </c>
      <c r="B466" t="str">
        <f>VLOOKUP(A466,'Remote work mental helath'!$A$2:$T$1001,5,)</f>
        <v>Consulting</v>
      </c>
      <c r="C466" t="str">
        <f>VLOOKUP(A466,'Remote work mental helath'!$A$2:$T$1001,7,)</f>
        <v>Hybrid</v>
      </c>
      <c r="D466">
        <f>VLOOKUP(A466,'Remote work mental helath'!$A$2:$T$1001,6,)</f>
        <v>15</v>
      </c>
      <c r="E466">
        <f>VLOOKUP(A466,'Remote work mental helath'!$A$2:$T$1001,8,)</f>
        <v>22</v>
      </c>
      <c r="F466">
        <f>VLOOKUP(A466,'Remote work mental helath'!$A$2:$T$1001,9,)</f>
        <v>9</v>
      </c>
    </row>
    <row r="467" spans="1:6" x14ac:dyDescent="0.3">
      <c r="A467" t="s">
        <v>516</v>
      </c>
      <c r="B467" t="str">
        <f>VLOOKUP(A467,'Remote work mental helath'!$A$2:$T$1001,5,)</f>
        <v>Finance</v>
      </c>
      <c r="C467" t="str">
        <f>VLOOKUP(A467,'Remote work mental helath'!$A$2:$T$1001,7,)</f>
        <v>Onsite</v>
      </c>
      <c r="D467">
        <f>VLOOKUP(A467,'Remote work mental helath'!$A$2:$T$1001,6,)</f>
        <v>19</v>
      </c>
      <c r="E467">
        <f>VLOOKUP(A467,'Remote work mental helath'!$A$2:$T$1001,8,)</f>
        <v>58</v>
      </c>
      <c r="F467">
        <f>VLOOKUP(A467,'Remote work mental helath'!$A$2:$T$1001,9,)</f>
        <v>4</v>
      </c>
    </row>
    <row r="468" spans="1:6" x14ac:dyDescent="0.3">
      <c r="A468" t="s">
        <v>517</v>
      </c>
      <c r="B468" t="str">
        <f>VLOOKUP(A468,'Remote work mental helath'!$A$2:$T$1001,5,)</f>
        <v>IT</v>
      </c>
      <c r="C468" t="str">
        <f>VLOOKUP(A468,'Remote work mental helath'!$A$2:$T$1001,7,)</f>
        <v>Hybrid</v>
      </c>
      <c r="D468">
        <f>VLOOKUP(A468,'Remote work mental helath'!$A$2:$T$1001,6,)</f>
        <v>17</v>
      </c>
      <c r="E468">
        <f>VLOOKUP(A468,'Remote work mental helath'!$A$2:$T$1001,8,)</f>
        <v>58</v>
      </c>
      <c r="F468">
        <f>VLOOKUP(A468,'Remote work mental helath'!$A$2:$T$1001,9,)</f>
        <v>2</v>
      </c>
    </row>
    <row r="469" spans="1:6" x14ac:dyDescent="0.3">
      <c r="A469" t="s">
        <v>518</v>
      </c>
      <c r="B469" t="str">
        <f>VLOOKUP(A469,'Remote work mental helath'!$A$2:$T$1001,5,)</f>
        <v>IT</v>
      </c>
      <c r="C469" t="str">
        <f>VLOOKUP(A469,'Remote work mental helath'!$A$2:$T$1001,7,)</f>
        <v>Hybrid</v>
      </c>
      <c r="D469">
        <f>VLOOKUP(A469,'Remote work mental helath'!$A$2:$T$1001,6,)</f>
        <v>26</v>
      </c>
      <c r="E469">
        <f>VLOOKUP(A469,'Remote work mental helath'!$A$2:$T$1001,8,)</f>
        <v>27</v>
      </c>
      <c r="F469">
        <f>VLOOKUP(A469,'Remote work mental helath'!$A$2:$T$1001,9,)</f>
        <v>9</v>
      </c>
    </row>
    <row r="470" spans="1:6" x14ac:dyDescent="0.3">
      <c r="A470" t="s">
        <v>519</v>
      </c>
      <c r="B470" t="str">
        <f>VLOOKUP(A470,'Remote work mental helath'!$A$2:$T$1001,5,)</f>
        <v>Education</v>
      </c>
      <c r="C470" t="str">
        <f>VLOOKUP(A470,'Remote work mental helath'!$A$2:$T$1001,7,)</f>
        <v>Hybrid</v>
      </c>
      <c r="D470">
        <f>VLOOKUP(A470,'Remote work mental helath'!$A$2:$T$1001,6,)</f>
        <v>14</v>
      </c>
      <c r="E470">
        <f>VLOOKUP(A470,'Remote work mental helath'!$A$2:$T$1001,8,)</f>
        <v>40</v>
      </c>
      <c r="F470">
        <f>VLOOKUP(A470,'Remote work mental helath'!$A$2:$T$1001,9,)</f>
        <v>13</v>
      </c>
    </row>
    <row r="471" spans="1:6" x14ac:dyDescent="0.3">
      <c r="A471" t="s">
        <v>520</v>
      </c>
      <c r="B471" t="str">
        <f>VLOOKUP(A471,'Remote work mental helath'!$A$2:$T$1001,5,)</f>
        <v>Finance</v>
      </c>
      <c r="C471" t="str">
        <f>VLOOKUP(A471,'Remote work mental helath'!$A$2:$T$1001,7,)</f>
        <v>Hybrid</v>
      </c>
      <c r="D471">
        <f>VLOOKUP(A471,'Remote work mental helath'!$A$2:$T$1001,6,)</f>
        <v>1</v>
      </c>
      <c r="E471">
        <f>VLOOKUP(A471,'Remote work mental helath'!$A$2:$T$1001,8,)</f>
        <v>24</v>
      </c>
      <c r="F471">
        <f>VLOOKUP(A471,'Remote work mental helath'!$A$2:$T$1001,9,)</f>
        <v>14</v>
      </c>
    </row>
    <row r="472" spans="1:6" x14ac:dyDescent="0.3">
      <c r="A472" t="s">
        <v>521</v>
      </c>
      <c r="B472" t="str">
        <f>VLOOKUP(A472,'Remote work mental helath'!$A$2:$T$1001,5,)</f>
        <v>IT</v>
      </c>
      <c r="C472" t="str">
        <f>VLOOKUP(A472,'Remote work mental helath'!$A$2:$T$1001,7,)</f>
        <v>Onsite</v>
      </c>
      <c r="D472">
        <f>VLOOKUP(A472,'Remote work mental helath'!$A$2:$T$1001,6,)</f>
        <v>26</v>
      </c>
      <c r="E472">
        <f>VLOOKUP(A472,'Remote work mental helath'!$A$2:$T$1001,8,)</f>
        <v>43</v>
      </c>
      <c r="F472">
        <f>VLOOKUP(A472,'Remote work mental helath'!$A$2:$T$1001,9,)</f>
        <v>7</v>
      </c>
    </row>
    <row r="473" spans="1:6" x14ac:dyDescent="0.3">
      <c r="A473" t="s">
        <v>522</v>
      </c>
      <c r="B473" t="str">
        <f>VLOOKUP(A473,'Remote work mental helath'!$A$2:$T$1001,5,)</f>
        <v>Manufacturing</v>
      </c>
      <c r="C473" t="str">
        <f>VLOOKUP(A473,'Remote work mental helath'!$A$2:$T$1001,7,)</f>
        <v>Remote</v>
      </c>
      <c r="D473">
        <f>VLOOKUP(A473,'Remote work mental helath'!$A$2:$T$1001,6,)</f>
        <v>14</v>
      </c>
      <c r="E473">
        <f>VLOOKUP(A473,'Remote work mental helath'!$A$2:$T$1001,8,)</f>
        <v>50</v>
      </c>
      <c r="F473">
        <f>VLOOKUP(A473,'Remote work mental helath'!$A$2:$T$1001,9,)</f>
        <v>9</v>
      </c>
    </row>
    <row r="474" spans="1:6" x14ac:dyDescent="0.3">
      <c r="A474" t="s">
        <v>523</v>
      </c>
      <c r="B474" t="str">
        <f>VLOOKUP(A474,'Remote work mental helath'!$A$2:$T$1001,5,)</f>
        <v>Manufacturing</v>
      </c>
      <c r="C474" t="str">
        <f>VLOOKUP(A474,'Remote work mental helath'!$A$2:$T$1001,7,)</f>
        <v>Remote</v>
      </c>
      <c r="D474">
        <f>VLOOKUP(A474,'Remote work mental helath'!$A$2:$T$1001,6,)</f>
        <v>17</v>
      </c>
      <c r="E474">
        <f>VLOOKUP(A474,'Remote work mental helath'!$A$2:$T$1001,8,)</f>
        <v>30</v>
      </c>
      <c r="F474">
        <f>VLOOKUP(A474,'Remote work mental helath'!$A$2:$T$1001,9,)</f>
        <v>14</v>
      </c>
    </row>
    <row r="475" spans="1:6" x14ac:dyDescent="0.3">
      <c r="A475" t="s">
        <v>524</v>
      </c>
      <c r="B475" t="str">
        <f>VLOOKUP(A475,'Remote work mental helath'!$A$2:$T$1001,5,)</f>
        <v>Consulting</v>
      </c>
      <c r="C475" t="str">
        <f>VLOOKUP(A475,'Remote work mental helath'!$A$2:$T$1001,7,)</f>
        <v>Hybrid</v>
      </c>
      <c r="D475">
        <f>VLOOKUP(A475,'Remote work mental helath'!$A$2:$T$1001,6,)</f>
        <v>26</v>
      </c>
      <c r="E475">
        <f>VLOOKUP(A475,'Remote work mental helath'!$A$2:$T$1001,8,)</f>
        <v>35</v>
      </c>
      <c r="F475">
        <f>VLOOKUP(A475,'Remote work mental helath'!$A$2:$T$1001,9,)</f>
        <v>15</v>
      </c>
    </row>
    <row r="476" spans="1:6" x14ac:dyDescent="0.3">
      <c r="A476" t="s">
        <v>525</v>
      </c>
      <c r="B476" t="str">
        <f>VLOOKUP(A476,'Remote work mental helath'!$A$2:$T$1001,5,)</f>
        <v>Education</v>
      </c>
      <c r="C476" t="str">
        <f>VLOOKUP(A476,'Remote work mental helath'!$A$2:$T$1001,7,)</f>
        <v>Remote</v>
      </c>
      <c r="D476">
        <f>VLOOKUP(A476,'Remote work mental helath'!$A$2:$T$1001,6,)</f>
        <v>33</v>
      </c>
      <c r="E476">
        <f>VLOOKUP(A476,'Remote work mental helath'!$A$2:$T$1001,8,)</f>
        <v>37</v>
      </c>
      <c r="F476">
        <f>VLOOKUP(A476,'Remote work mental helath'!$A$2:$T$1001,9,)</f>
        <v>13</v>
      </c>
    </row>
    <row r="477" spans="1:6" x14ac:dyDescent="0.3">
      <c r="A477" t="s">
        <v>526</v>
      </c>
      <c r="B477" t="str">
        <f>VLOOKUP(A477,'Remote work mental helath'!$A$2:$T$1001,5,)</f>
        <v>Retail</v>
      </c>
      <c r="C477" t="str">
        <f>VLOOKUP(A477,'Remote work mental helath'!$A$2:$T$1001,7,)</f>
        <v>Onsite</v>
      </c>
      <c r="D477">
        <f>VLOOKUP(A477,'Remote work mental helath'!$A$2:$T$1001,6,)</f>
        <v>7</v>
      </c>
      <c r="E477">
        <f>VLOOKUP(A477,'Remote work mental helath'!$A$2:$T$1001,8,)</f>
        <v>51</v>
      </c>
      <c r="F477">
        <f>VLOOKUP(A477,'Remote work mental helath'!$A$2:$T$1001,9,)</f>
        <v>9</v>
      </c>
    </row>
    <row r="478" spans="1:6" x14ac:dyDescent="0.3">
      <c r="A478" t="s">
        <v>527</v>
      </c>
      <c r="B478" t="str">
        <f>VLOOKUP(A478,'Remote work mental helath'!$A$2:$T$1001,5,)</f>
        <v>Manufacturing</v>
      </c>
      <c r="C478" t="str">
        <f>VLOOKUP(A478,'Remote work mental helath'!$A$2:$T$1001,7,)</f>
        <v>Onsite</v>
      </c>
      <c r="D478">
        <f>VLOOKUP(A478,'Remote work mental helath'!$A$2:$T$1001,6,)</f>
        <v>5</v>
      </c>
      <c r="E478">
        <f>VLOOKUP(A478,'Remote work mental helath'!$A$2:$T$1001,8,)</f>
        <v>54</v>
      </c>
      <c r="F478">
        <f>VLOOKUP(A478,'Remote work mental helath'!$A$2:$T$1001,9,)</f>
        <v>11</v>
      </c>
    </row>
    <row r="479" spans="1:6" x14ac:dyDescent="0.3">
      <c r="A479" t="s">
        <v>528</v>
      </c>
      <c r="B479" t="str">
        <f>VLOOKUP(A479,'Remote work mental helath'!$A$2:$T$1001,5,)</f>
        <v>Retail</v>
      </c>
      <c r="C479" t="str">
        <f>VLOOKUP(A479,'Remote work mental helath'!$A$2:$T$1001,7,)</f>
        <v>Remote</v>
      </c>
      <c r="D479">
        <f>VLOOKUP(A479,'Remote work mental helath'!$A$2:$T$1001,6,)</f>
        <v>25</v>
      </c>
      <c r="E479">
        <f>VLOOKUP(A479,'Remote work mental helath'!$A$2:$T$1001,8,)</f>
        <v>58</v>
      </c>
      <c r="F479">
        <f>VLOOKUP(A479,'Remote work mental helath'!$A$2:$T$1001,9,)</f>
        <v>15</v>
      </c>
    </row>
    <row r="480" spans="1:6" x14ac:dyDescent="0.3">
      <c r="A480" t="s">
        <v>529</v>
      </c>
      <c r="B480" t="str">
        <f>VLOOKUP(A480,'Remote work mental helath'!$A$2:$T$1001,5,)</f>
        <v>Finance</v>
      </c>
      <c r="C480" t="str">
        <f>VLOOKUP(A480,'Remote work mental helath'!$A$2:$T$1001,7,)</f>
        <v>Onsite</v>
      </c>
      <c r="D480">
        <f>VLOOKUP(A480,'Remote work mental helath'!$A$2:$T$1001,6,)</f>
        <v>3</v>
      </c>
      <c r="E480">
        <f>VLOOKUP(A480,'Remote work mental helath'!$A$2:$T$1001,8,)</f>
        <v>36</v>
      </c>
      <c r="F480">
        <f>VLOOKUP(A480,'Remote work mental helath'!$A$2:$T$1001,9,)</f>
        <v>1</v>
      </c>
    </row>
    <row r="481" spans="1:6" x14ac:dyDescent="0.3">
      <c r="A481" t="s">
        <v>530</v>
      </c>
      <c r="B481" t="str">
        <f>VLOOKUP(A481,'Remote work mental helath'!$A$2:$T$1001,5,)</f>
        <v>Retail</v>
      </c>
      <c r="C481" t="str">
        <f>VLOOKUP(A481,'Remote work mental helath'!$A$2:$T$1001,7,)</f>
        <v>Onsite</v>
      </c>
      <c r="D481">
        <f>VLOOKUP(A481,'Remote work mental helath'!$A$2:$T$1001,6,)</f>
        <v>2</v>
      </c>
      <c r="E481">
        <f>VLOOKUP(A481,'Remote work mental helath'!$A$2:$T$1001,8,)</f>
        <v>53</v>
      </c>
      <c r="F481">
        <f>VLOOKUP(A481,'Remote work mental helath'!$A$2:$T$1001,9,)</f>
        <v>10</v>
      </c>
    </row>
    <row r="482" spans="1:6" x14ac:dyDescent="0.3">
      <c r="A482" t="s">
        <v>531</v>
      </c>
      <c r="B482" t="str">
        <f>VLOOKUP(A482,'Remote work mental helath'!$A$2:$T$1001,5,)</f>
        <v>Retail</v>
      </c>
      <c r="C482" t="str">
        <f>VLOOKUP(A482,'Remote work mental helath'!$A$2:$T$1001,7,)</f>
        <v>Hybrid</v>
      </c>
      <c r="D482">
        <f>VLOOKUP(A482,'Remote work mental helath'!$A$2:$T$1001,6,)</f>
        <v>13</v>
      </c>
      <c r="E482">
        <f>VLOOKUP(A482,'Remote work mental helath'!$A$2:$T$1001,8,)</f>
        <v>56</v>
      </c>
      <c r="F482">
        <f>VLOOKUP(A482,'Remote work mental helath'!$A$2:$T$1001,9,)</f>
        <v>12</v>
      </c>
    </row>
    <row r="483" spans="1:6" x14ac:dyDescent="0.3">
      <c r="A483" t="s">
        <v>532</v>
      </c>
      <c r="B483" t="str">
        <f>VLOOKUP(A483,'Remote work mental helath'!$A$2:$T$1001,5,)</f>
        <v>Retail</v>
      </c>
      <c r="C483" t="str">
        <f>VLOOKUP(A483,'Remote work mental helath'!$A$2:$T$1001,7,)</f>
        <v>Hybrid</v>
      </c>
      <c r="D483">
        <f>VLOOKUP(A483,'Remote work mental helath'!$A$2:$T$1001,6,)</f>
        <v>8</v>
      </c>
      <c r="E483">
        <f>VLOOKUP(A483,'Remote work mental helath'!$A$2:$T$1001,8,)</f>
        <v>27</v>
      </c>
      <c r="F483">
        <f>VLOOKUP(A483,'Remote work mental helath'!$A$2:$T$1001,9,)</f>
        <v>4</v>
      </c>
    </row>
    <row r="484" spans="1:6" x14ac:dyDescent="0.3">
      <c r="A484" t="s">
        <v>533</v>
      </c>
      <c r="B484" t="str">
        <f>VLOOKUP(A484,'Remote work mental helath'!$A$2:$T$1001,5,)</f>
        <v>Education</v>
      </c>
      <c r="C484" t="str">
        <f>VLOOKUP(A484,'Remote work mental helath'!$A$2:$T$1001,7,)</f>
        <v>Remote</v>
      </c>
      <c r="D484">
        <f>VLOOKUP(A484,'Remote work mental helath'!$A$2:$T$1001,6,)</f>
        <v>16</v>
      </c>
      <c r="E484">
        <f>VLOOKUP(A484,'Remote work mental helath'!$A$2:$T$1001,8,)</f>
        <v>20</v>
      </c>
      <c r="F484">
        <f>VLOOKUP(A484,'Remote work mental helath'!$A$2:$T$1001,9,)</f>
        <v>11</v>
      </c>
    </row>
    <row r="485" spans="1:6" x14ac:dyDescent="0.3">
      <c r="A485" t="s">
        <v>534</v>
      </c>
      <c r="B485" t="str">
        <f>VLOOKUP(A485,'Remote work mental helath'!$A$2:$T$1001,5,)</f>
        <v>Education</v>
      </c>
      <c r="C485" t="str">
        <f>VLOOKUP(A485,'Remote work mental helath'!$A$2:$T$1001,7,)</f>
        <v>Remote</v>
      </c>
      <c r="D485">
        <f>VLOOKUP(A485,'Remote work mental helath'!$A$2:$T$1001,6,)</f>
        <v>21</v>
      </c>
      <c r="E485">
        <f>VLOOKUP(A485,'Remote work mental helath'!$A$2:$T$1001,8,)</f>
        <v>25</v>
      </c>
      <c r="F485">
        <f>VLOOKUP(A485,'Remote work mental helath'!$A$2:$T$1001,9,)</f>
        <v>14</v>
      </c>
    </row>
    <row r="486" spans="1:6" x14ac:dyDescent="0.3">
      <c r="A486" t="s">
        <v>535</v>
      </c>
      <c r="B486" t="str">
        <f>VLOOKUP(A486,'Remote work mental helath'!$A$2:$T$1001,5,)</f>
        <v>Consulting</v>
      </c>
      <c r="C486" t="str">
        <f>VLOOKUP(A486,'Remote work mental helath'!$A$2:$T$1001,7,)</f>
        <v>Remote</v>
      </c>
      <c r="D486">
        <f>VLOOKUP(A486,'Remote work mental helath'!$A$2:$T$1001,6,)</f>
        <v>20</v>
      </c>
      <c r="E486">
        <f>VLOOKUP(A486,'Remote work mental helath'!$A$2:$T$1001,8,)</f>
        <v>33</v>
      </c>
      <c r="F486">
        <f>VLOOKUP(A486,'Remote work mental helath'!$A$2:$T$1001,9,)</f>
        <v>14</v>
      </c>
    </row>
    <row r="487" spans="1:6" x14ac:dyDescent="0.3">
      <c r="A487" t="s">
        <v>536</v>
      </c>
      <c r="B487" t="str">
        <f>VLOOKUP(A487,'Remote work mental helath'!$A$2:$T$1001,5,)</f>
        <v>Finance</v>
      </c>
      <c r="C487" t="str">
        <f>VLOOKUP(A487,'Remote work mental helath'!$A$2:$T$1001,7,)</f>
        <v>Onsite</v>
      </c>
      <c r="D487">
        <f>VLOOKUP(A487,'Remote work mental helath'!$A$2:$T$1001,6,)</f>
        <v>12</v>
      </c>
      <c r="E487">
        <f>VLOOKUP(A487,'Remote work mental helath'!$A$2:$T$1001,8,)</f>
        <v>35</v>
      </c>
      <c r="F487">
        <f>VLOOKUP(A487,'Remote work mental helath'!$A$2:$T$1001,9,)</f>
        <v>5</v>
      </c>
    </row>
    <row r="488" spans="1:6" x14ac:dyDescent="0.3">
      <c r="A488" t="s">
        <v>537</v>
      </c>
      <c r="B488" t="str">
        <f>VLOOKUP(A488,'Remote work mental helath'!$A$2:$T$1001,5,)</f>
        <v>Manufacturing</v>
      </c>
      <c r="C488" t="str">
        <f>VLOOKUP(A488,'Remote work mental helath'!$A$2:$T$1001,7,)</f>
        <v>Hybrid</v>
      </c>
      <c r="D488">
        <f>VLOOKUP(A488,'Remote work mental helath'!$A$2:$T$1001,6,)</f>
        <v>1</v>
      </c>
      <c r="E488">
        <f>VLOOKUP(A488,'Remote work mental helath'!$A$2:$T$1001,8,)</f>
        <v>34</v>
      </c>
      <c r="F488">
        <f>VLOOKUP(A488,'Remote work mental helath'!$A$2:$T$1001,9,)</f>
        <v>4</v>
      </c>
    </row>
    <row r="489" spans="1:6" x14ac:dyDescent="0.3">
      <c r="A489" t="s">
        <v>538</v>
      </c>
      <c r="B489" t="str">
        <f>VLOOKUP(A489,'Remote work mental helath'!$A$2:$T$1001,5,)</f>
        <v>Healthcare</v>
      </c>
      <c r="C489" t="str">
        <f>VLOOKUP(A489,'Remote work mental helath'!$A$2:$T$1001,7,)</f>
        <v>Onsite</v>
      </c>
      <c r="D489">
        <f>VLOOKUP(A489,'Remote work mental helath'!$A$2:$T$1001,6,)</f>
        <v>32</v>
      </c>
      <c r="E489">
        <f>VLOOKUP(A489,'Remote work mental helath'!$A$2:$T$1001,8,)</f>
        <v>21</v>
      </c>
      <c r="F489">
        <f>VLOOKUP(A489,'Remote work mental helath'!$A$2:$T$1001,9,)</f>
        <v>5</v>
      </c>
    </row>
    <row r="490" spans="1:6" x14ac:dyDescent="0.3">
      <c r="A490" t="s">
        <v>539</v>
      </c>
      <c r="B490" t="str">
        <f>VLOOKUP(A490,'Remote work mental helath'!$A$2:$T$1001,5,)</f>
        <v>Healthcare</v>
      </c>
      <c r="C490" t="str">
        <f>VLOOKUP(A490,'Remote work mental helath'!$A$2:$T$1001,7,)</f>
        <v>Remote</v>
      </c>
      <c r="D490">
        <f>VLOOKUP(A490,'Remote work mental helath'!$A$2:$T$1001,6,)</f>
        <v>22</v>
      </c>
      <c r="E490">
        <f>VLOOKUP(A490,'Remote work mental helath'!$A$2:$T$1001,8,)</f>
        <v>21</v>
      </c>
      <c r="F490">
        <f>VLOOKUP(A490,'Remote work mental helath'!$A$2:$T$1001,9,)</f>
        <v>2</v>
      </c>
    </row>
    <row r="491" spans="1:6" x14ac:dyDescent="0.3">
      <c r="A491" t="s">
        <v>540</v>
      </c>
      <c r="B491" t="str">
        <f>VLOOKUP(A491,'Remote work mental helath'!$A$2:$T$1001,5,)</f>
        <v>Healthcare</v>
      </c>
      <c r="C491" t="str">
        <f>VLOOKUP(A491,'Remote work mental helath'!$A$2:$T$1001,7,)</f>
        <v>Onsite</v>
      </c>
      <c r="D491">
        <f>VLOOKUP(A491,'Remote work mental helath'!$A$2:$T$1001,6,)</f>
        <v>23</v>
      </c>
      <c r="E491">
        <f>VLOOKUP(A491,'Remote work mental helath'!$A$2:$T$1001,8,)</f>
        <v>29</v>
      </c>
      <c r="F491">
        <f>VLOOKUP(A491,'Remote work mental helath'!$A$2:$T$1001,9,)</f>
        <v>8</v>
      </c>
    </row>
    <row r="492" spans="1:6" x14ac:dyDescent="0.3">
      <c r="A492" t="s">
        <v>541</v>
      </c>
      <c r="B492" t="str">
        <f>VLOOKUP(A492,'Remote work mental helath'!$A$2:$T$1001,5,)</f>
        <v>IT</v>
      </c>
      <c r="C492" t="str">
        <f>VLOOKUP(A492,'Remote work mental helath'!$A$2:$T$1001,7,)</f>
        <v>Onsite</v>
      </c>
      <c r="D492">
        <f>VLOOKUP(A492,'Remote work mental helath'!$A$2:$T$1001,6,)</f>
        <v>27</v>
      </c>
      <c r="E492">
        <f>VLOOKUP(A492,'Remote work mental helath'!$A$2:$T$1001,8,)</f>
        <v>33</v>
      </c>
      <c r="F492">
        <f>VLOOKUP(A492,'Remote work mental helath'!$A$2:$T$1001,9,)</f>
        <v>5</v>
      </c>
    </row>
    <row r="493" spans="1:6" x14ac:dyDescent="0.3">
      <c r="A493" t="s">
        <v>542</v>
      </c>
      <c r="B493" t="str">
        <f>VLOOKUP(A493,'Remote work mental helath'!$A$2:$T$1001,5,)</f>
        <v>Finance</v>
      </c>
      <c r="C493" t="str">
        <f>VLOOKUP(A493,'Remote work mental helath'!$A$2:$T$1001,7,)</f>
        <v>Hybrid</v>
      </c>
      <c r="D493">
        <f>VLOOKUP(A493,'Remote work mental helath'!$A$2:$T$1001,6,)</f>
        <v>10</v>
      </c>
      <c r="E493">
        <f>VLOOKUP(A493,'Remote work mental helath'!$A$2:$T$1001,8,)</f>
        <v>42</v>
      </c>
      <c r="F493">
        <f>VLOOKUP(A493,'Remote work mental helath'!$A$2:$T$1001,9,)</f>
        <v>11</v>
      </c>
    </row>
    <row r="494" spans="1:6" x14ac:dyDescent="0.3">
      <c r="A494" t="s">
        <v>543</v>
      </c>
      <c r="B494" t="str">
        <f>VLOOKUP(A494,'Remote work mental helath'!$A$2:$T$1001,5,)</f>
        <v>Education</v>
      </c>
      <c r="C494" t="str">
        <f>VLOOKUP(A494,'Remote work mental helath'!$A$2:$T$1001,7,)</f>
        <v>Onsite</v>
      </c>
      <c r="D494">
        <f>VLOOKUP(A494,'Remote work mental helath'!$A$2:$T$1001,6,)</f>
        <v>23</v>
      </c>
      <c r="E494">
        <f>VLOOKUP(A494,'Remote work mental helath'!$A$2:$T$1001,8,)</f>
        <v>38</v>
      </c>
      <c r="F494">
        <f>VLOOKUP(A494,'Remote work mental helath'!$A$2:$T$1001,9,)</f>
        <v>7</v>
      </c>
    </row>
    <row r="495" spans="1:6" x14ac:dyDescent="0.3">
      <c r="A495" t="s">
        <v>544</v>
      </c>
      <c r="B495" t="str">
        <f>VLOOKUP(A495,'Remote work mental helath'!$A$2:$T$1001,5,)</f>
        <v>Finance</v>
      </c>
      <c r="C495" t="str">
        <f>VLOOKUP(A495,'Remote work mental helath'!$A$2:$T$1001,7,)</f>
        <v>Remote</v>
      </c>
      <c r="D495">
        <f>VLOOKUP(A495,'Remote work mental helath'!$A$2:$T$1001,6,)</f>
        <v>24</v>
      </c>
      <c r="E495">
        <f>VLOOKUP(A495,'Remote work mental helath'!$A$2:$T$1001,8,)</f>
        <v>40</v>
      </c>
      <c r="F495">
        <f>VLOOKUP(A495,'Remote work mental helath'!$A$2:$T$1001,9,)</f>
        <v>4</v>
      </c>
    </row>
    <row r="496" spans="1:6" x14ac:dyDescent="0.3">
      <c r="A496" t="s">
        <v>545</v>
      </c>
      <c r="B496" t="str">
        <f>VLOOKUP(A496,'Remote work mental helath'!$A$2:$T$1001,5,)</f>
        <v>Education</v>
      </c>
      <c r="C496" t="str">
        <f>VLOOKUP(A496,'Remote work mental helath'!$A$2:$T$1001,7,)</f>
        <v>Remote</v>
      </c>
      <c r="D496">
        <f>VLOOKUP(A496,'Remote work mental helath'!$A$2:$T$1001,6,)</f>
        <v>16</v>
      </c>
      <c r="E496">
        <f>VLOOKUP(A496,'Remote work mental helath'!$A$2:$T$1001,8,)</f>
        <v>24</v>
      </c>
      <c r="F496">
        <f>VLOOKUP(A496,'Remote work mental helath'!$A$2:$T$1001,9,)</f>
        <v>4</v>
      </c>
    </row>
    <row r="497" spans="1:6" x14ac:dyDescent="0.3">
      <c r="A497" t="s">
        <v>546</v>
      </c>
      <c r="B497" t="str">
        <f>VLOOKUP(A497,'Remote work mental helath'!$A$2:$T$1001,5,)</f>
        <v>Retail</v>
      </c>
      <c r="C497" t="str">
        <f>VLOOKUP(A497,'Remote work mental helath'!$A$2:$T$1001,7,)</f>
        <v>Hybrid</v>
      </c>
      <c r="D497">
        <f>VLOOKUP(A497,'Remote work mental helath'!$A$2:$T$1001,6,)</f>
        <v>19</v>
      </c>
      <c r="E497">
        <f>VLOOKUP(A497,'Remote work mental helath'!$A$2:$T$1001,8,)</f>
        <v>28</v>
      </c>
      <c r="F497">
        <f>VLOOKUP(A497,'Remote work mental helath'!$A$2:$T$1001,9,)</f>
        <v>4</v>
      </c>
    </row>
    <row r="498" spans="1:6" x14ac:dyDescent="0.3">
      <c r="A498" t="s">
        <v>547</v>
      </c>
      <c r="B498" t="str">
        <f>VLOOKUP(A498,'Remote work mental helath'!$A$2:$T$1001,5,)</f>
        <v>Education</v>
      </c>
      <c r="C498" t="str">
        <f>VLOOKUP(A498,'Remote work mental helath'!$A$2:$T$1001,7,)</f>
        <v>Hybrid</v>
      </c>
      <c r="D498">
        <f>VLOOKUP(A498,'Remote work mental helath'!$A$2:$T$1001,6,)</f>
        <v>14</v>
      </c>
      <c r="E498">
        <f>VLOOKUP(A498,'Remote work mental helath'!$A$2:$T$1001,8,)</f>
        <v>57</v>
      </c>
      <c r="F498">
        <f>VLOOKUP(A498,'Remote work mental helath'!$A$2:$T$1001,9,)</f>
        <v>7</v>
      </c>
    </row>
    <row r="499" spans="1:6" x14ac:dyDescent="0.3">
      <c r="A499" t="s">
        <v>548</v>
      </c>
      <c r="B499" t="str">
        <f>VLOOKUP(A499,'Remote work mental helath'!$A$2:$T$1001,5,)</f>
        <v>Finance</v>
      </c>
      <c r="C499" t="str">
        <f>VLOOKUP(A499,'Remote work mental helath'!$A$2:$T$1001,7,)</f>
        <v>Remote</v>
      </c>
      <c r="D499">
        <f>VLOOKUP(A499,'Remote work mental helath'!$A$2:$T$1001,6,)</f>
        <v>23</v>
      </c>
      <c r="E499">
        <f>VLOOKUP(A499,'Remote work mental helath'!$A$2:$T$1001,8,)</f>
        <v>41</v>
      </c>
      <c r="F499">
        <f>VLOOKUP(A499,'Remote work mental helath'!$A$2:$T$1001,9,)</f>
        <v>13</v>
      </c>
    </row>
    <row r="500" spans="1:6" x14ac:dyDescent="0.3">
      <c r="A500" t="s">
        <v>549</v>
      </c>
      <c r="B500" t="str">
        <f>VLOOKUP(A500,'Remote work mental helath'!$A$2:$T$1001,5,)</f>
        <v>Retail</v>
      </c>
      <c r="C500" t="str">
        <f>VLOOKUP(A500,'Remote work mental helath'!$A$2:$T$1001,7,)</f>
        <v>Onsite</v>
      </c>
      <c r="D500">
        <f>VLOOKUP(A500,'Remote work mental helath'!$A$2:$T$1001,6,)</f>
        <v>14</v>
      </c>
      <c r="E500">
        <f>VLOOKUP(A500,'Remote work mental helath'!$A$2:$T$1001,8,)</f>
        <v>40</v>
      </c>
      <c r="F500">
        <f>VLOOKUP(A500,'Remote work mental helath'!$A$2:$T$1001,9,)</f>
        <v>13</v>
      </c>
    </row>
    <row r="501" spans="1:6" x14ac:dyDescent="0.3">
      <c r="A501" t="s">
        <v>550</v>
      </c>
      <c r="B501" t="str">
        <f>VLOOKUP(A501,'Remote work mental helath'!$A$2:$T$1001,5,)</f>
        <v>Retail</v>
      </c>
      <c r="C501" t="str">
        <f>VLOOKUP(A501,'Remote work mental helath'!$A$2:$T$1001,7,)</f>
        <v>Onsite</v>
      </c>
      <c r="D501">
        <f>VLOOKUP(A501,'Remote work mental helath'!$A$2:$T$1001,6,)</f>
        <v>10</v>
      </c>
      <c r="E501">
        <f>VLOOKUP(A501,'Remote work mental helath'!$A$2:$T$1001,8,)</f>
        <v>47</v>
      </c>
      <c r="F501">
        <f>VLOOKUP(A501,'Remote work mental helath'!$A$2:$T$1001,9,)</f>
        <v>3</v>
      </c>
    </row>
    <row r="502" spans="1:6" x14ac:dyDescent="0.3">
      <c r="A502" t="s">
        <v>551</v>
      </c>
      <c r="B502" t="str">
        <f>VLOOKUP(A502,'Remote work mental helath'!$A$2:$T$1001,5,)</f>
        <v>Consulting</v>
      </c>
      <c r="C502" t="str">
        <f>VLOOKUP(A502,'Remote work mental helath'!$A$2:$T$1001,7,)</f>
        <v>Onsite</v>
      </c>
      <c r="D502">
        <f>VLOOKUP(A502,'Remote work mental helath'!$A$2:$T$1001,6,)</f>
        <v>7</v>
      </c>
      <c r="E502">
        <f>VLOOKUP(A502,'Remote work mental helath'!$A$2:$T$1001,8,)</f>
        <v>53</v>
      </c>
      <c r="F502">
        <f>VLOOKUP(A502,'Remote work mental helath'!$A$2:$T$1001,9,)</f>
        <v>2</v>
      </c>
    </row>
    <row r="503" spans="1:6" x14ac:dyDescent="0.3">
      <c r="A503" t="s">
        <v>552</v>
      </c>
      <c r="B503" t="str">
        <f>VLOOKUP(A503,'Remote work mental helath'!$A$2:$T$1001,5,)</f>
        <v>Retail</v>
      </c>
      <c r="C503" t="str">
        <f>VLOOKUP(A503,'Remote work mental helath'!$A$2:$T$1001,7,)</f>
        <v>Hybrid</v>
      </c>
      <c r="D503">
        <f>VLOOKUP(A503,'Remote work mental helath'!$A$2:$T$1001,6,)</f>
        <v>25</v>
      </c>
      <c r="E503">
        <f>VLOOKUP(A503,'Remote work mental helath'!$A$2:$T$1001,8,)</f>
        <v>27</v>
      </c>
      <c r="F503">
        <f>VLOOKUP(A503,'Remote work mental helath'!$A$2:$T$1001,9,)</f>
        <v>13</v>
      </c>
    </row>
    <row r="504" spans="1:6" x14ac:dyDescent="0.3">
      <c r="A504" t="s">
        <v>553</v>
      </c>
      <c r="B504" t="str">
        <f>VLOOKUP(A504,'Remote work mental helath'!$A$2:$T$1001,5,)</f>
        <v>Consulting</v>
      </c>
      <c r="C504" t="str">
        <f>VLOOKUP(A504,'Remote work mental helath'!$A$2:$T$1001,7,)</f>
        <v>Hybrid</v>
      </c>
      <c r="D504">
        <f>VLOOKUP(A504,'Remote work mental helath'!$A$2:$T$1001,6,)</f>
        <v>21</v>
      </c>
      <c r="E504">
        <f>VLOOKUP(A504,'Remote work mental helath'!$A$2:$T$1001,8,)</f>
        <v>33</v>
      </c>
      <c r="F504">
        <f>VLOOKUP(A504,'Remote work mental helath'!$A$2:$T$1001,9,)</f>
        <v>13</v>
      </c>
    </row>
    <row r="505" spans="1:6" x14ac:dyDescent="0.3">
      <c r="A505" t="s">
        <v>554</v>
      </c>
      <c r="B505" t="str">
        <f>VLOOKUP(A505,'Remote work mental helath'!$A$2:$T$1001,5,)</f>
        <v>Healthcare</v>
      </c>
      <c r="C505" t="str">
        <f>VLOOKUP(A505,'Remote work mental helath'!$A$2:$T$1001,7,)</f>
        <v>Hybrid</v>
      </c>
      <c r="D505">
        <f>VLOOKUP(A505,'Remote work mental helath'!$A$2:$T$1001,6,)</f>
        <v>22</v>
      </c>
      <c r="E505">
        <f>VLOOKUP(A505,'Remote work mental helath'!$A$2:$T$1001,8,)</f>
        <v>50</v>
      </c>
      <c r="F505">
        <f>VLOOKUP(A505,'Remote work mental helath'!$A$2:$T$1001,9,)</f>
        <v>3</v>
      </c>
    </row>
    <row r="506" spans="1:6" x14ac:dyDescent="0.3">
      <c r="A506" t="s">
        <v>555</v>
      </c>
      <c r="B506" t="str">
        <f>VLOOKUP(A506,'Remote work mental helath'!$A$2:$T$1001,5,)</f>
        <v>Retail</v>
      </c>
      <c r="C506" t="str">
        <f>VLOOKUP(A506,'Remote work mental helath'!$A$2:$T$1001,7,)</f>
        <v>Remote</v>
      </c>
      <c r="D506">
        <f>VLOOKUP(A506,'Remote work mental helath'!$A$2:$T$1001,6,)</f>
        <v>29</v>
      </c>
      <c r="E506">
        <f>VLOOKUP(A506,'Remote work mental helath'!$A$2:$T$1001,8,)</f>
        <v>40</v>
      </c>
      <c r="F506">
        <f>VLOOKUP(A506,'Remote work mental helath'!$A$2:$T$1001,9,)</f>
        <v>5</v>
      </c>
    </row>
    <row r="507" spans="1:6" x14ac:dyDescent="0.3">
      <c r="A507" t="s">
        <v>556</v>
      </c>
      <c r="B507" t="str">
        <f>VLOOKUP(A507,'Remote work mental helath'!$A$2:$T$1001,5,)</f>
        <v>Education</v>
      </c>
      <c r="C507" t="str">
        <f>VLOOKUP(A507,'Remote work mental helath'!$A$2:$T$1001,7,)</f>
        <v>Remote</v>
      </c>
      <c r="D507">
        <f>VLOOKUP(A507,'Remote work mental helath'!$A$2:$T$1001,6,)</f>
        <v>14</v>
      </c>
      <c r="E507">
        <f>VLOOKUP(A507,'Remote work mental helath'!$A$2:$T$1001,8,)</f>
        <v>56</v>
      </c>
      <c r="F507">
        <f>VLOOKUP(A507,'Remote work mental helath'!$A$2:$T$1001,9,)</f>
        <v>8</v>
      </c>
    </row>
    <row r="508" spans="1:6" x14ac:dyDescent="0.3">
      <c r="A508" t="s">
        <v>557</v>
      </c>
      <c r="B508" t="str">
        <f>VLOOKUP(A508,'Remote work mental helath'!$A$2:$T$1001,5,)</f>
        <v>Healthcare</v>
      </c>
      <c r="C508" t="str">
        <f>VLOOKUP(A508,'Remote work mental helath'!$A$2:$T$1001,7,)</f>
        <v>Remote</v>
      </c>
      <c r="D508">
        <f>VLOOKUP(A508,'Remote work mental helath'!$A$2:$T$1001,6,)</f>
        <v>17</v>
      </c>
      <c r="E508">
        <f>VLOOKUP(A508,'Remote work mental helath'!$A$2:$T$1001,8,)</f>
        <v>29</v>
      </c>
      <c r="F508">
        <f>VLOOKUP(A508,'Remote work mental helath'!$A$2:$T$1001,9,)</f>
        <v>15</v>
      </c>
    </row>
    <row r="509" spans="1:6" x14ac:dyDescent="0.3">
      <c r="A509" t="s">
        <v>558</v>
      </c>
      <c r="B509" t="str">
        <f>VLOOKUP(A509,'Remote work mental helath'!$A$2:$T$1001,5,)</f>
        <v>Consulting</v>
      </c>
      <c r="C509" t="str">
        <f>VLOOKUP(A509,'Remote work mental helath'!$A$2:$T$1001,7,)</f>
        <v>Remote</v>
      </c>
      <c r="D509">
        <f>VLOOKUP(A509,'Remote work mental helath'!$A$2:$T$1001,6,)</f>
        <v>18</v>
      </c>
      <c r="E509">
        <f>VLOOKUP(A509,'Remote work mental helath'!$A$2:$T$1001,8,)</f>
        <v>27</v>
      </c>
      <c r="F509">
        <f>VLOOKUP(A509,'Remote work mental helath'!$A$2:$T$1001,9,)</f>
        <v>1</v>
      </c>
    </row>
    <row r="510" spans="1:6" x14ac:dyDescent="0.3">
      <c r="A510" t="s">
        <v>559</v>
      </c>
      <c r="B510" t="str">
        <f>VLOOKUP(A510,'Remote work mental helath'!$A$2:$T$1001,5,)</f>
        <v>Education</v>
      </c>
      <c r="C510" t="str">
        <f>VLOOKUP(A510,'Remote work mental helath'!$A$2:$T$1001,7,)</f>
        <v>Onsite</v>
      </c>
      <c r="D510">
        <f>VLOOKUP(A510,'Remote work mental helath'!$A$2:$T$1001,6,)</f>
        <v>27</v>
      </c>
      <c r="E510">
        <f>VLOOKUP(A510,'Remote work mental helath'!$A$2:$T$1001,8,)</f>
        <v>55</v>
      </c>
      <c r="F510">
        <f>VLOOKUP(A510,'Remote work mental helath'!$A$2:$T$1001,9,)</f>
        <v>11</v>
      </c>
    </row>
    <row r="511" spans="1:6" x14ac:dyDescent="0.3">
      <c r="A511" t="s">
        <v>560</v>
      </c>
      <c r="B511" t="str">
        <f>VLOOKUP(A511,'Remote work mental helath'!$A$2:$T$1001,5,)</f>
        <v>Finance</v>
      </c>
      <c r="C511" t="str">
        <f>VLOOKUP(A511,'Remote work mental helath'!$A$2:$T$1001,7,)</f>
        <v>Remote</v>
      </c>
      <c r="D511">
        <f>VLOOKUP(A511,'Remote work mental helath'!$A$2:$T$1001,6,)</f>
        <v>10</v>
      </c>
      <c r="E511">
        <f>VLOOKUP(A511,'Remote work mental helath'!$A$2:$T$1001,8,)</f>
        <v>28</v>
      </c>
      <c r="F511">
        <f>VLOOKUP(A511,'Remote work mental helath'!$A$2:$T$1001,9,)</f>
        <v>14</v>
      </c>
    </row>
    <row r="512" spans="1:6" x14ac:dyDescent="0.3">
      <c r="A512" t="s">
        <v>561</v>
      </c>
      <c r="B512" t="str">
        <f>VLOOKUP(A512,'Remote work mental helath'!$A$2:$T$1001,5,)</f>
        <v>Manufacturing</v>
      </c>
      <c r="C512" t="str">
        <f>VLOOKUP(A512,'Remote work mental helath'!$A$2:$T$1001,7,)</f>
        <v>Remote</v>
      </c>
      <c r="D512">
        <f>VLOOKUP(A512,'Remote work mental helath'!$A$2:$T$1001,6,)</f>
        <v>5</v>
      </c>
      <c r="E512">
        <f>VLOOKUP(A512,'Remote work mental helath'!$A$2:$T$1001,8,)</f>
        <v>59</v>
      </c>
      <c r="F512">
        <f>VLOOKUP(A512,'Remote work mental helath'!$A$2:$T$1001,9,)</f>
        <v>12</v>
      </c>
    </row>
    <row r="513" spans="1:6" x14ac:dyDescent="0.3">
      <c r="A513" t="s">
        <v>562</v>
      </c>
      <c r="B513" t="str">
        <f>VLOOKUP(A513,'Remote work mental helath'!$A$2:$T$1001,5,)</f>
        <v>Education</v>
      </c>
      <c r="C513" t="str">
        <f>VLOOKUP(A513,'Remote work mental helath'!$A$2:$T$1001,7,)</f>
        <v>Hybrid</v>
      </c>
      <c r="D513">
        <f>VLOOKUP(A513,'Remote work mental helath'!$A$2:$T$1001,6,)</f>
        <v>23</v>
      </c>
      <c r="E513">
        <f>VLOOKUP(A513,'Remote work mental helath'!$A$2:$T$1001,8,)</f>
        <v>40</v>
      </c>
      <c r="F513">
        <f>VLOOKUP(A513,'Remote work mental helath'!$A$2:$T$1001,9,)</f>
        <v>1</v>
      </c>
    </row>
    <row r="514" spans="1:6" x14ac:dyDescent="0.3">
      <c r="A514" t="s">
        <v>563</v>
      </c>
      <c r="B514" t="str">
        <f>VLOOKUP(A514,'Remote work mental helath'!$A$2:$T$1001,5,)</f>
        <v>IT</v>
      </c>
      <c r="C514" t="str">
        <f>VLOOKUP(A514,'Remote work mental helath'!$A$2:$T$1001,7,)</f>
        <v>Onsite</v>
      </c>
      <c r="D514">
        <f>VLOOKUP(A514,'Remote work mental helath'!$A$2:$T$1001,6,)</f>
        <v>27</v>
      </c>
      <c r="E514">
        <f>VLOOKUP(A514,'Remote work mental helath'!$A$2:$T$1001,8,)</f>
        <v>38</v>
      </c>
      <c r="F514">
        <f>VLOOKUP(A514,'Remote work mental helath'!$A$2:$T$1001,9,)</f>
        <v>13</v>
      </c>
    </row>
    <row r="515" spans="1:6" x14ac:dyDescent="0.3">
      <c r="A515" t="s">
        <v>564</v>
      </c>
      <c r="B515" t="str">
        <f>VLOOKUP(A515,'Remote work mental helath'!$A$2:$T$1001,5,)</f>
        <v>Education</v>
      </c>
      <c r="C515" t="str">
        <f>VLOOKUP(A515,'Remote work mental helath'!$A$2:$T$1001,7,)</f>
        <v>Remote</v>
      </c>
      <c r="D515">
        <f>VLOOKUP(A515,'Remote work mental helath'!$A$2:$T$1001,6,)</f>
        <v>6</v>
      </c>
      <c r="E515">
        <f>VLOOKUP(A515,'Remote work mental helath'!$A$2:$T$1001,8,)</f>
        <v>37</v>
      </c>
      <c r="F515">
        <f>VLOOKUP(A515,'Remote work mental helath'!$A$2:$T$1001,9,)</f>
        <v>13</v>
      </c>
    </row>
    <row r="516" spans="1:6" x14ac:dyDescent="0.3">
      <c r="A516" t="s">
        <v>565</v>
      </c>
      <c r="B516" t="str">
        <f>VLOOKUP(A516,'Remote work mental helath'!$A$2:$T$1001,5,)</f>
        <v>IT</v>
      </c>
      <c r="C516" t="str">
        <f>VLOOKUP(A516,'Remote work mental helath'!$A$2:$T$1001,7,)</f>
        <v>Remote</v>
      </c>
      <c r="D516">
        <f>VLOOKUP(A516,'Remote work mental helath'!$A$2:$T$1001,6,)</f>
        <v>32</v>
      </c>
      <c r="E516">
        <f>VLOOKUP(A516,'Remote work mental helath'!$A$2:$T$1001,8,)</f>
        <v>36</v>
      </c>
      <c r="F516">
        <f>VLOOKUP(A516,'Remote work mental helath'!$A$2:$T$1001,9,)</f>
        <v>0</v>
      </c>
    </row>
    <row r="517" spans="1:6" x14ac:dyDescent="0.3">
      <c r="A517" t="s">
        <v>566</v>
      </c>
      <c r="B517" t="str">
        <f>VLOOKUP(A517,'Remote work mental helath'!$A$2:$T$1001,5,)</f>
        <v>Finance</v>
      </c>
      <c r="C517" t="str">
        <f>VLOOKUP(A517,'Remote work mental helath'!$A$2:$T$1001,7,)</f>
        <v>Remote</v>
      </c>
      <c r="D517">
        <f>VLOOKUP(A517,'Remote work mental helath'!$A$2:$T$1001,6,)</f>
        <v>20</v>
      </c>
      <c r="E517">
        <f>VLOOKUP(A517,'Remote work mental helath'!$A$2:$T$1001,8,)</f>
        <v>55</v>
      </c>
      <c r="F517">
        <f>VLOOKUP(A517,'Remote work mental helath'!$A$2:$T$1001,9,)</f>
        <v>11</v>
      </c>
    </row>
    <row r="518" spans="1:6" x14ac:dyDescent="0.3">
      <c r="A518" t="s">
        <v>567</v>
      </c>
      <c r="B518" t="str">
        <f>VLOOKUP(A518,'Remote work mental helath'!$A$2:$T$1001,5,)</f>
        <v>IT</v>
      </c>
      <c r="C518" t="str">
        <f>VLOOKUP(A518,'Remote work mental helath'!$A$2:$T$1001,7,)</f>
        <v>Remote</v>
      </c>
      <c r="D518">
        <f>VLOOKUP(A518,'Remote work mental helath'!$A$2:$T$1001,6,)</f>
        <v>32</v>
      </c>
      <c r="E518">
        <f>VLOOKUP(A518,'Remote work mental helath'!$A$2:$T$1001,8,)</f>
        <v>47</v>
      </c>
      <c r="F518">
        <f>VLOOKUP(A518,'Remote work mental helath'!$A$2:$T$1001,9,)</f>
        <v>10</v>
      </c>
    </row>
    <row r="519" spans="1:6" x14ac:dyDescent="0.3">
      <c r="A519" t="s">
        <v>568</v>
      </c>
      <c r="B519" t="str">
        <f>VLOOKUP(A519,'Remote work mental helath'!$A$2:$T$1001,5,)</f>
        <v>Healthcare</v>
      </c>
      <c r="C519" t="str">
        <f>VLOOKUP(A519,'Remote work mental helath'!$A$2:$T$1001,7,)</f>
        <v>Onsite</v>
      </c>
      <c r="D519">
        <f>VLOOKUP(A519,'Remote work mental helath'!$A$2:$T$1001,6,)</f>
        <v>8</v>
      </c>
      <c r="E519">
        <f>VLOOKUP(A519,'Remote work mental helath'!$A$2:$T$1001,8,)</f>
        <v>51</v>
      </c>
      <c r="F519">
        <f>VLOOKUP(A519,'Remote work mental helath'!$A$2:$T$1001,9,)</f>
        <v>14</v>
      </c>
    </row>
    <row r="520" spans="1:6" x14ac:dyDescent="0.3">
      <c r="A520" t="s">
        <v>569</v>
      </c>
      <c r="B520" t="str">
        <f>VLOOKUP(A520,'Remote work mental helath'!$A$2:$T$1001,5,)</f>
        <v>Retail</v>
      </c>
      <c r="C520" t="str">
        <f>VLOOKUP(A520,'Remote work mental helath'!$A$2:$T$1001,7,)</f>
        <v>Hybrid</v>
      </c>
      <c r="D520">
        <f>VLOOKUP(A520,'Remote work mental helath'!$A$2:$T$1001,6,)</f>
        <v>29</v>
      </c>
      <c r="E520">
        <f>VLOOKUP(A520,'Remote work mental helath'!$A$2:$T$1001,8,)</f>
        <v>42</v>
      </c>
      <c r="F520">
        <f>VLOOKUP(A520,'Remote work mental helath'!$A$2:$T$1001,9,)</f>
        <v>14</v>
      </c>
    </row>
    <row r="521" spans="1:6" x14ac:dyDescent="0.3">
      <c r="A521" t="s">
        <v>570</v>
      </c>
      <c r="B521" t="str">
        <f>VLOOKUP(A521,'Remote work mental helath'!$A$2:$T$1001,5,)</f>
        <v>Consulting</v>
      </c>
      <c r="C521" t="str">
        <f>VLOOKUP(A521,'Remote work mental helath'!$A$2:$T$1001,7,)</f>
        <v>Hybrid</v>
      </c>
      <c r="D521">
        <f>VLOOKUP(A521,'Remote work mental helath'!$A$2:$T$1001,6,)</f>
        <v>22</v>
      </c>
      <c r="E521">
        <f>VLOOKUP(A521,'Remote work mental helath'!$A$2:$T$1001,8,)</f>
        <v>45</v>
      </c>
      <c r="F521">
        <f>VLOOKUP(A521,'Remote work mental helath'!$A$2:$T$1001,9,)</f>
        <v>6</v>
      </c>
    </row>
    <row r="522" spans="1:6" x14ac:dyDescent="0.3">
      <c r="A522" t="s">
        <v>571</v>
      </c>
      <c r="B522" t="str">
        <f>VLOOKUP(A522,'Remote work mental helath'!$A$2:$T$1001,5,)</f>
        <v>Finance</v>
      </c>
      <c r="C522" t="str">
        <f>VLOOKUP(A522,'Remote work mental helath'!$A$2:$T$1001,7,)</f>
        <v>Hybrid</v>
      </c>
      <c r="D522">
        <f>VLOOKUP(A522,'Remote work mental helath'!$A$2:$T$1001,6,)</f>
        <v>8</v>
      </c>
      <c r="E522">
        <f>VLOOKUP(A522,'Remote work mental helath'!$A$2:$T$1001,8,)</f>
        <v>46</v>
      </c>
      <c r="F522">
        <f>VLOOKUP(A522,'Remote work mental helath'!$A$2:$T$1001,9,)</f>
        <v>4</v>
      </c>
    </row>
    <row r="523" spans="1:6" x14ac:dyDescent="0.3">
      <c r="A523" t="s">
        <v>572</v>
      </c>
      <c r="B523" t="str">
        <f>VLOOKUP(A523,'Remote work mental helath'!$A$2:$T$1001,5,)</f>
        <v>Finance</v>
      </c>
      <c r="C523" t="str">
        <f>VLOOKUP(A523,'Remote work mental helath'!$A$2:$T$1001,7,)</f>
        <v>Hybrid</v>
      </c>
      <c r="D523">
        <f>VLOOKUP(A523,'Remote work mental helath'!$A$2:$T$1001,6,)</f>
        <v>33</v>
      </c>
      <c r="E523">
        <f>VLOOKUP(A523,'Remote work mental helath'!$A$2:$T$1001,8,)</f>
        <v>60</v>
      </c>
      <c r="F523">
        <f>VLOOKUP(A523,'Remote work mental helath'!$A$2:$T$1001,9,)</f>
        <v>0</v>
      </c>
    </row>
    <row r="524" spans="1:6" x14ac:dyDescent="0.3">
      <c r="A524" t="s">
        <v>573</v>
      </c>
      <c r="B524" t="str">
        <f>VLOOKUP(A524,'Remote work mental helath'!$A$2:$T$1001,5,)</f>
        <v>Retail</v>
      </c>
      <c r="C524" t="str">
        <f>VLOOKUP(A524,'Remote work mental helath'!$A$2:$T$1001,7,)</f>
        <v>Onsite</v>
      </c>
      <c r="D524">
        <f>VLOOKUP(A524,'Remote work mental helath'!$A$2:$T$1001,6,)</f>
        <v>6</v>
      </c>
      <c r="E524">
        <f>VLOOKUP(A524,'Remote work mental helath'!$A$2:$T$1001,8,)</f>
        <v>45</v>
      </c>
      <c r="F524">
        <f>VLOOKUP(A524,'Remote work mental helath'!$A$2:$T$1001,9,)</f>
        <v>2</v>
      </c>
    </row>
    <row r="525" spans="1:6" x14ac:dyDescent="0.3">
      <c r="A525" t="s">
        <v>574</v>
      </c>
      <c r="B525" t="str">
        <f>VLOOKUP(A525,'Remote work mental helath'!$A$2:$T$1001,5,)</f>
        <v>Consulting</v>
      </c>
      <c r="C525" t="str">
        <f>VLOOKUP(A525,'Remote work mental helath'!$A$2:$T$1001,7,)</f>
        <v>Hybrid</v>
      </c>
      <c r="D525">
        <f>VLOOKUP(A525,'Remote work mental helath'!$A$2:$T$1001,6,)</f>
        <v>6</v>
      </c>
      <c r="E525">
        <f>VLOOKUP(A525,'Remote work mental helath'!$A$2:$T$1001,8,)</f>
        <v>33</v>
      </c>
      <c r="F525">
        <f>VLOOKUP(A525,'Remote work mental helath'!$A$2:$T$1001,9,)</f>
        <v>11</v>
      </c>
    </row>
    <row r="526" spans="1:6" x14ac:dyDescent="0.3">
      <c r="A526" t="s">
        <v>575</v>
      </c>
      <c r="B526" t="str">
        <f>VLOOKUP(A526,'Remote work mental helath'!$A$2:$T$1001,5,)</f>
        <v>Retail</v>
      </c>
      <c r="C526" t="str">
        <f>VLOOKUP(A526,'Remote work mental helath'!$A$2:$T$1001,7,)</f>
        <v>Onsite</v>
      </c>
      <c r="D526">
        <f>VLOOKUP(A526,'Remote work mental helath'!$A$2:$T$1001,6,)</f>
        <v>9</v>
      </c>
      <c r="E526">
        <f>VLOOKUP(A526,'Remote work mental helath'!$A$2:$T$1001,8,)</f>
        <v>44</v>
      </c>
      <c r="F526">
        <f>VLOOKUP(A526,'Remote work mental helath'!$A$2:$T$1001,9,)</f>
        <v>2</v>
      </c>
    </row>
    <row r="527" spans="1:6" x14ac:dyDescent="0.3">
      <c r="A527" t="s">
        <v>576</v>
      </c>
      <c r="B527" t="str">
        <f>VLOOKUP(A527,'Remote work mental helath'!$A$2:$T$1001,5,)</f>
        <v>Finance</v>
      </c>
      <c r="C527" t="str">
        <f>VLOOKUP(A527,'Remote work mental helath'!$A$2:$T$1001,7,)</f>
        <v>Remote</v>
      </c>
      <c r="D527">
        <f>VLOOKUP(A527,'Remote work mental helath'!$A$2:$T$1001,6,)</f>
        <v>10</v>
      </c>
      <c r="E527">
        <f>VLOOKUP(A527,'Remote work mental helath'!$A$2:$T$1001,8,)</f>
        <v>24</v>
      </c>
      <c r="F527">
        <f>VLOOKUP(A527,'Remote work mental helath'!$A$2:$T$1001,9,)</f>
        <v>0</v>
      </c>
    </row>
    <row r="528" spans="1:6" x14ac:dyDescent="0.3">
      <c r="A528" t="s">
        <v>577</v>
      </c>
      <c r="B528" t="str">
        <f>VLOOKUP(A528,'Remote work mental helath'!$A$2:$T$1001,5,)</f>
        <v>Consulting</v>
      </c>
      <c r="C528" t="str">
        <f>VLOOKUP(A528,'Remote work mental helath'!$A$2:$T$1001,7,)</f>
        <v>Hybrid</v>
      </c>
      <c r="D528">
        <f>VLOOKUP(A528,'Remote work mental helath'!$A$2:$T$1001,6,)</f>
        <v>26</v>
      </c>
      <c r="E528">
        <f>VLOOKUP(A528,'Remote work mental helath'!$A$2:$T$1001,8,)</f>
        <v>28</v>
      </c>
      <c r="F528">
        <f>VLOOKUP(A528,'Remote work mental helath'!$A$2:$T$1001,9,)</f>
        <v>4</v>
      </c>
    </row>
    <row r="529" spans="1:6" x14ac:dyDescent="0.3">
      <c r="A529" t="s">
        <v>578</v>
      </c>
      <c r="B529" t="str">
        <f>VLOOKUP(A529,'Remote work mental helath'!$A$2:$T$1001,5,)</f>
        <v>Healthcare</v>
      </c>
      <c r="C529" t="str">
        <f>VLOOKUP(A529,'Remote work mental helath'!$A$2:$T$1001,7,)</f>
        <v>Hybrid</v>
      </c>
      <c r="D529">
        <f>VLOOKUP(A529,'Remote work mental helath'!$A$2:$T$1001,6,)</f>
        <v>14</v>
      </c>
      <c r="E529">
        <f>VLOOKUP(A529,'Remote work mental helath'!$A$2:$T$1001,8,)</f>
        <v>56</v>
      </c>
      <c r="F529">
        <f>VLOOKUP(A529,'Remote work mental helath'!$A$2:$T$1001,9,)</f>
        <v>1</v>
      </c>
    </row>
    <row r="530" spans="1:6" x14ac:dyDescent="0.3">
      <c r="A530" t="s">
        <v>579</v>
      </c>
      <c r="B530" t="str">
        <f>VLOOKUP(A530,'Remote work mental helath'!$A$2:$T$1001,5,)</f>
        <v>IT</v>
      </c>
      <c r="C530" t="str">
        <f>VLOOKUP(A530,'Remote work mental helath'!$A$2:$T$1001,7,)</f>
        <v>Onsite</v>
      </c>
      <c r="D530">
        <f>VLOOKUP(A530,'Remote work mental helath'!$A$2:$T$1001,6,)</f>
        <v>5</v>
      </c>
      <c r="E530">
        <f>VLOOKUP(A530,'Remote work mental helath'!$A$2:$T$1001,8,)</f>
        <v>22</v>
      </c>
      <c r="F530">
        <f>VLOOKUP(A530,'Remote work mental helath'!$A$2:$T$1001,9,)</f>
        <v>5</v>
      </c>
    </row>
    <row r="531" spans="1:6" x14ac:dyDescent="0.3">
      <c r="A531" t="s">
        <v>580</v>
      </c>
      <c r="B531" t="str">
        <f>VLOOKUP(A531,'Remote work mental helath'!$A$2:$T$1001,5,)</f>
        <v>Retail</v>
      </c>
      <c r="C531" t="str">
        <f>VLOOKUP(A531,'Remote work mental helath'!$A$2:$T$1001,7,)</f>
        <v>Onsite</v>
      </c>
      <c r="D531">
        <f>VLOOKUP(A531,'Remote work mental helath'!$A$2:$T$1001,6,)</f>
        <v>15</v>
      </c>
      <c r="E531">
        <f>VLOOKUP(A531,'Remote work mental helath'!$A$2:$T$1001,8,)</f>
        <v>34</v>
      </c>
      <c r="F531">
        <f>VLOOKUP(A531,'Remote work mental helath'!$A$2:$T$1001,9,)</f>
        <v>4</v>
      </c>
    </row>
    <row r="532" spans="1:6" x14ac:dyDescent="0.3">
      <c r="A532" t="s">
        <v>581</v>
      </c>
      <c r="B532" t="str">
        <f>VLOOKUP(A532,'Remote work mental helath'!$A$2:$T$1001,5,)</f>
        <v>Retail</v>
      </c>
      <c r="C532" t="str">
        <f>VLOOKUP(A532,'Remote work mental helath'!$A$2:$T$1001,7,)</f>
        <v>Onsite</v>
      </c>
      <c r="D532">
        <f>VLOOKUP(A532,'Remote work mental helath'!$A$2:$T$1001,6,)</f>
        <v>14</v>
      </c>
      <c r="E532">
        <f>VLOOKUP(A532,'Remote work mental helath'!$A$2:$T$1001,8,)</f>
        <v>34</v>
      </c>
      <c r="F532">
        <f>VLOOKUP(A532,'Remote work mental helath'!$A$2:$T$1001,9,)</f>
        <v>1</v>
      </c>
    </row>
    <row r="533" spans="1:6" x14ac:dyDescent="0.3">
      <c r="A533" t="s">
        <v>582</v>
      </c>
      <c r="B533" t="str">
        <f>VLOOKUP(A533,'Remote work mental helath'!$A$2:$T$1001,5,)</f>
        <v>Retail</v>
      </c>
      <c r="C533" t="str">
        <f>VLOOKUP(A533,'Remote work mental helath'!$A$2:$T$1001,7,)</f>
        <v>Hybrid</v>
      </c>
      <c r="D533">
        <f>VLOOKUP(A533,'Remote work mental helath'!$A$2:$T$1001,6,)</f>
        <v>16</v>
      </c>
      <c r="E533">
        <f>VLOOKUP(A533,'Remote work mental helath'!$A$2:$T$1001,8,)</f>
        <v>55</v>
      </c>
      <c r="F533">
        <f>VLOOKUP(A533,'Remote work mental helath'!$A$2:$T$1001,9,)</f>
        <v>8</v>
      </c>
    </row>
    <row r="534" spans="1:6" x14ac:dyDescent="0.3">
      <c r="A534" t="s">
        <v>583</v>
      </c>
      <c r="B534" t="str">
        <f>VLOOKUP(A534,'Remote work mental helath'!$A$2:$T$1001,5,)</f>
        <v>IT</v>
      </c>
      <c r="C534" t="str">
        <f>VLOOKUP(A534,'Remote work mental helath'!$A$2:$T$1001,7,)</f>
        <v>Onsite</v>
      </c>
      <c r="D534">
        <f>VLOOKUP(A534,'Remote work mental helath'!$A$2:$T$1001,6,)</f>
        <v>35</v>
      </c>
      <c r="E534">
        <f>VLOOKUP(A534,'Remote work mental helath'!$A$2:$T$1001,8,)</f>
        <v>20</v>
      </c>
      <c r="F534">
        <f>VLOOKUP(A534,'Remote work mental helath'!$A$2:$T$1001,9,)</f>
        <v>15</v>
      </c>
    </row>
    <row r="535" spans="1:6" x14ac:dyDescent="0.3">
      <c r="A535" t="s">
        <v>584</v>
      </c>
      <c r="B535" t="str">
        <f>VLOOKUP(A535,'Remote work mental helath'!$A$2:$T$1001,5,)</f>
        <v>Healthcare</v>
      </c>
      <c r="C535" t="str">
        <f>VLOOKUP(A535,'Remote work mental helath'!$A$2:$T$1001,7,)</f>
        <v>Onsite</v>
      </c>
      <c r="D535">
        <f>VLOOKUP(A535,'Remote work mental helath'!$A$2:$T$1001,6,)</f>
        <v>25</v>
      </c>
      <c r="E535">
        <f>VLOOKUP(A535,'Remote work mental helath'!$A$2:$T$1001,8,)</f>
        <v>53</v>
      </c>
      <c r="F535">
        <f>VLOOKUP(A535,'Remote work mental helath'!$A$2:$T$1001,9,)</f>
        <v>7</v>
      </c>
    </row>
    <row r="536" spans="1:6" x14ac:dyDescent="0.3">
      <c r="A536" t="s">
        <v>585</v>
      </c>
      <c r="B536" t="str">
        <f>VLOOKUP(A536,'Remote work mental helath'!$A$2:$T$1001,5,)</f>
        <v>Healthcare</v>
      </c>
      <c r="C536" t="str">
        <f>VLOOKUP(A536,'Remote work mental helath'!$A$2:$T$1001,7,)</f>
        <v>Hybrid</v>
      </c>
      <c r="D536">
        <f>VLOOKUP(A536,'Remote work mental helath'!$A$2:$T$1001,6,)</f>
        <v>2</v>
      </c>
      <c r="E536">
        <f>VLOOKUP(A536,'Remote work mental helath'!$A$2:$T$1001,8,)</f>
        <v>31</v>
      </c>
      <c r="F536">
        <f>VLOOKUP(A536,'Remote work mental helath'!$A$2:$T$1001,9,)</f>
        <v>3</v>
      </c>
    </row>
    <row r="537" spans="1:6" x14ac:dyDescent="0.3">
      <c r="A537" t="s">
        <v>586</v>
      </c>
      <c r="B537" t="str">
        <f>VLOOKUP(A537,'Remote work mental helath'!$A$2:$T$1001,5,)</f>
        <v>Education</v>
      </c>
      <c r="C537" t="str">
        <f>VLOOKUP(A537,'Remote work mental helath'!$A$2:$T$1001,7,)</f>
        <v>Hybrid</v>
      </c>
      <c r="D537">
        <f>VLOOKUP(A537,'Remote work mental helath'!$A$2:$T$1001,6,)</f>
        <v>32</v>
      </c>
      <c r="E537">
        <f>VLOOKUP(A537,'Remote work mental helath'!$A$2:$T$1001,8,)</f>
        <v>51</v>
      </c>
      <c r="F537">
        <f>VLOOKUP(A537,'Remote work mental helath'!$A$2:$T$1001,9,)</f>
        <v>10</v>
      </c>
    </row>
    <row r="538" spans="1:6" x14ac:dyDescent="0.3">
      <c r="A538" t="s">
        <v>587</v>
      </c>
      <c r="B538" t="str">
        <f>VLOOKUP(A538,'Remote work mental helath'!$A$2:$T$1001,5,)</f>
        <v>IT</v>
      </c>
      <c r="C538" t="str">
        <f>VLOOKUP(A538,'Remote work mental helath'!$A$2:$T$1001,7,)</f>
        <v>Hybrid</v>
      </c>
      <c r="D538">
        <f>VLOOKUP(A538,'Remote work mental helath'!$A$2:$T$1001,6,)</f>
        <v>28</v>
      </c>
      <c r="E538">
        <f>VLOOKUP(A538,'Remote work mental helath'!$A$2:$T$1001,8,)</f>
        <v>33</v>
      </c>
      <c r="F538">
        <f>VLOOKUP(A538,'Remote work mental helath'!$A$2:$T$1001,9,)</f>
        <v>3</v>
      </c>
    </row>
    <row r="539" spans="1:6" x14ac:dyDescent="0.3">
      <c r="A539" t="s">
        <v>588</v>
      </c>
      <c r="B539" t="str">
        <f>VLOOKUP(A539,'Remote work mental helath'!$A$2:$T$1001,5,)</f>
        <v>Retail</v>
      </c>
      <c r="C539" t="str">
        <f>VLOOKUP(A539,'Remote work mental helath'!$A$2:$T$1001,7,)</f>
        <v>Hybrid</v>
      </c>
      <c r="D539">
        <f>VLOOKUP(A539,'Remote work mental helath'!$A$2:$T$1001,6,)</f>
        <v>12</v>
      </c>
      <c r="E539">
        <f>VLOOKUP(A539,'Remote work mental helath'!$A$2:$T$1001,8,)</f>
        <v>46</v>
      </c>
      <c r="F539">
        <f>VLOOKUP(A539,'Remote work mental helath'!$A$2:$T$1001,9,)</f>
        <v>0</v>
      </c>
    </row>
    <row r="540" spans="1:6" x14ac:dyDescent="0.3">
      <c r="A540" t="s">
        <v>589</v>
      </c>
      <c r="B540" t="str">
        <f>VLOOKUP(A540,'Remote work mental helath'!$A$2:$T$1001,5,)</f>
        <v>Retail</v>
      </c>
      <c r="C540" t="str">
        <f>VLOOKUP(A540,'Remote work mental helath'!$A$2:$T$1001,7,)</f>
        <v>Onsite</v>
      </c>
      <c r="D540">
        <f>VLOOKUP(A540,'Remote work mental helath'!$A$2:$T$1001,6,)</f>
        <v>14</v>
      </c>
      <c r="E540">
        <f>VLOOKUP(A540,'Remote work mental helath'!$A$2:$T$1001,8,)</f>
        <v>32</v>
      </c>
      <c r="F540">
        <f>VLOOKUP(A540,'Remote work mental helath'!$A$2:$T$1001,9,)</f>
        <v>4</v>
      </c>
    </row>
    <row r="541" spans="1:6" x14ac:dyDescent="0.3">
      <c r="A541" t="s">
        <v>590</v>
      </c>
      <c r="B541" t="str">
        <f>VLOOKUP(A541,'Remote work mental helath'!$A$2:$T$1001,5,)</f>
        <v>Healthcare</v>
      </c>
      <c r="C541" t="str">
        <f>VLOOKUP(A541,'Remote work mental helath'!$A$2:$T$1001,7,)</f>
        <v>Remote</v>
      </c>
      <c r="D541">
        <f>VLOOKUP(A541,'Remote work mental helath'!$A$2:$T$1001,6,)</f>
        <v>27</v>
      </c>
      <c r="E541">
        <f>VLOOKUP(A541,'Remote work mental helath'!$A$2:$T$1001,8,)</f>
        <v>25</v>
      </c>
      <c r="F541">
        <f>VLOOKUP(A541,'Remote work mental helath'!$A$2:$T$1001,9,)</f>
        <v>11</v>
      </c>
    </row>
    <row r="542" spans="1:6" x14ac:dyDescent="0.3">
      <c r="A542" t="s">
        <v>591</v>
      </c>
      <c r="B542" t="str">
        <f>VLOOKUP(A542,'Remote work mental helath'!$A$2:$T$1001,5,)</f>
        <v>Retail</v>
      </c>
      <c r="C542" t="str">
        <f>VLOOKUP(A542,'Remote work mental helath'!$A$2:$T$1001,7,)</f>
        <v>Hybrid</v>
      </c>
      <c r="D542">
        <f>VLOOKUP(A542,'Remote work mental helath'!$A$2:$T$1001,6,)</f>
        <v>1</v>
      </c>
      <c r="E542">
        <f>VLOOKUP(A542,'Remote work mental helath'!$A$2:$T$1001,8,)</f>
        <v>43</v>
      </c>
      <c r="F542">
        <f>VLOOKUP(A542,'Remote work mental helath'!$A$2:$T$1001,9,)</f>
        <v>14</v>
      </c>
    </row>
    <row r="543" spans="1:6" x14ac:dyDescent="0.3">
      <c r="A543" t="s">
        <v>592</v>
      </c>
      <c r="B543" t="str">
        <f>VLOOKUP(A543,'Remote work mental helath'!$A$2:$T$1001,5,)</f>
        <v>Education</v>
      </c>
      <c r="C543" t="str">
        <f>VLOOKUP(A543,'Remote work mental helath'!$A$2:$T$1001,7,)</f>
        <v>Remote</v>
      </c>
      <c r="D543">
        <f>VLOOKUP(A543,'Remote work mental helath'!$A$2:$T$1001,6,)</f>
        <v>30</v>
      </c>
      <c r="E543">
        <f>VLOOKUP(A543,'Remote work mental helath'!$A$2:$T$1001,8,)</f>
        <v>42</v>
      </c>
      <c r="F543">
        <f>VLOOKUP(A543,'Remote work mental helath'!$A$2:$T$1001,9,)</f>
        <v>1</v>
      </c>
    </row>
    <row r="544" spans="1:6" x14ac:dyDescent="0.3">
      <c r="A544" t="s">
        <v>593</v>
      </c>
      <c r="B544" t="str">
        <f>VLOOKUP(A544,'Remote work mental helath'!$A$2:$T$1001,5,)</f>
        <v>Healthcare</v>
      </c>
      <c r="C544" t="str">
        <f>VLOOKUP(A544,'Remote work mental helath'!$A$2:$T$1001,7,)</f>
        <v>Remote</v>
      </c>
      <c r="D544">
        <f>VLOOKUP(A544,'Remote work mental helath'!$A$2:$T$1001,6,)</f>
        <v>8</v>
      </c>
      <c r="E544">
        <f>VLOOKUP(A544,'Remote work mental helath'!$A$2:$T$1001,8,)</f>
        <v>49</v>
      </c>
      <c r="F544">
        <f>VLOOKUP(A544,'Remote work mental helath'!$A$2:$T$1001,9,)</f>
        <v>10</v>
      </c>
    </row>
    <row r="545" spans="1:6" x14ac:dyDescent="0.3">
      <c r="A545" t="s">
        <v>594</v>
      </c>
      <c r="B545" t="str">
        <f>VLOOKUP(A545,'Remote work mental helath'!$A$2:$T$1001,5,)</f>
        <v>IT</v>
      </c>
      <c r="C545" t="str">
        <f>VLOOKUP(A545,'Remote work mental helath'!$A$2:$T$1001,7,)</f>
        <v>Hybrid</v>
      </c>
      <c r="D545">
        <f>VLOOKUP(A545,'Remote work mental helath'!$A$2:$T$1001,6,)</f>
        <v>11</v>
      </c>
      <c r="E545">
        <f>VLOOKUP(A545,'Remote work mental helath'!$A$2:$T$1001,8,)</f>
        <v>50</v>
      </c>
      <c r="F545">
        <f>VLOOKUP(A545,'Remote work mental helath'!$A$2:$T$1001,9,)</f>
        <v>2</v>
      </c>
    </row>
    <row r="546" spans="1:6" x14ac:dyDescent="0.3">
      <c r="A546" t="s">
        <v>595</v>
      </c>
      <c r="B546" t="str">
        <f>VLOOKUP(A546,'Remote work mental helath'!$A$2:$T$1001,5,)</f>
        <v>Finance</v>
      </c>
      <c r="C546" t="str">
        <f>VLOOKUP(A546,'Remote work mental helath'!$A$2:$T$1001,7,)</f>
        <v>Onsite</v>
      </c>
      <c r="D546">
        <f>VLOOKUP(A546,'Remote work mental helath'!$A$2:$T$1001,6,)</f>
        <v>20</v>
      </c>
      <c r="E546">
        <f>VLOOKUP(A546,'Remote work mental helath'!$A$2:$T$1001,8,)</f>
        <v>44</v>
      </c>
      <c r="F546">
        <f>VLOOKUP(A546,'Remote work mental helath'!$A$2:$T$1001,9,)</f>
        <v>6</v>
      </c>
    </row>
    <row r="547" spans="1:6" x14ac:dyDescent="0.3">
      <c r="A547" t="s">
        <v>596</v>
      </c>
      <c r="B547" t="str">
        <f>VLOOKUP(A547,'Remote work mental helath'!$A$2:$T$1001,5,)</f>
        <v>IT</v>
      </c>
      <c r="C547" t="str">
        <f>VLOOKUP(A547,'Remote work mental helath'!$A$2:$T$1001,7,)</f>
        <v>Remote</v>
      </c>
      <c r="D547">
        <f>VLOOKUP(A547,'Remote work mental helath'!$A$2:$T$1001,6,)</f>
        <v>23</v>
      </c>
      <c r="E547">
        <f>VLOOKUP(A547,'Remote work mental helath'!$A$2:$T$1001,8,)</f>
        <v>32</v>
      </c>
      <c r="F547">
        <f>VLOOKUP(A547,'Remote work mental helath'!$A$2:$T$1001,9,)</f>
        <v>6</v>
      </c>
    </row>
    <row r="548" spans="1:6" x14ac:dyDescent="0.3">
      <c r="A548" t="s">
        <v>597</v>
      </c>
      <c r="B548" t="str">
        <f>VLOOKUP(A548,'Remote work mental helath'!$A$2:$T$1001,5,)</f>
        <v>Education</v>
      </c>
      <c r="C548" t="str">
        <f>VLOOKUP(A548,'Remote work mental helath'!$A$2:$T$1001,7,)</f>
        <v>Hybrid</v>
      </c>
      <c r="D548">
        <f>VLOOKUP(A548,'Remote work mental helath'!$A$2:$T$1001,6,)</f>
        <v>32</v>
      </c>
      <c r="E548">
        <f>VLOOKUP(A548,'Remote work mental helath'!$A$2:$T$1001,8,)</f>
        <v>51</v>
      </c>
      <c r="F548">
        <f>VLOOKUP(A548,'Remote work mental helath'!$A$2:$T$1001,9,)</f>
        <v>3</v>
      </c>
    </row>
    <row r="549" spans="1:6" x14ac:dyDescent="0.3">
      <c r="A549" t="s">
        <v>598</v>
      </c>
      <c r="B549" t="str">
        <f>VLOOKUP(A549,'Remote work mental helath'!$A$2:$T$1001,5,)</f>
        <v>IT</v>
      </c>
      <c r="C549" t="str">
        <f>VLOOKUP(A549,'Remote work mental helath'!$A$2:$T$1001,7,)</f>
        <v>Hybrid</v>
      </c>
      <c r="D549">
        <f>VLOOKUP(A549,'Remote work mental helath'!$A$2:$T$1001,6,)</f>
        <v>5</v>
      </c>
      <c r="E549">
        <f>VLOOKUP(A549,'Remote work mental helath'!$A$2:$T$1001,8,)</f>
        <v>51</v>
      </c>
      <c r="F549">
        <f>VLOOKUP(A549,'Remote work mental helath'!$A$2:$T$1001,9,)</f>
        <v>6</v>
      </c>
    </row>
    <row r="550" spans="1:6" x14ac:dyDescent="0.3">
      <c r="A550" t="s">
        <v>599</v>
      </c>
      <c r="B550" t="str">
        <f>VLOOKUP(A550,'Remote work mental helath'!$A$2:$T$1001,5,)</f>
        <v>Retail</v>
      </c>
      <c r="C550" t="str">
        <f>VLOOKUP(A550,'Remote work mental helath'!$A$2:$T$1001,7,)</f>
        <v>Remote</v>
      </c>
      <c r="D550">
        <f>VLOOKUP(A550,'Remote work mental helath'!$A$2:$T$1001,6,)</f>
        <v>18</v>
      </c>
      <c r="E550">
        <f>VLOOKUP(A550,'Remote work mental helath'!$A$2:$T$1001,8,)</f>
        <v>55</v>
      </c>
      <c r="F550">
        <f>VLOOKUP(A550,'Remote work mental helath'!$A$2:$T$1001,9,)</f>
        <v>8</v>
      </c>
    </row>
    <row r="551" spans="1:6" x14ac:dyDescent="0.3">
      <c r="A551" t="s">
        <v>600</v>
      </c>
      <c r="B551" t="str">
        <f>VLOOKUP(A551,'Remote work mental helath'!$A$2:$T$1001,5,)</f>
        <v>Retail</v>
      </c>
      <c r="C551" t="str">
        <f>VLOOKUP(A551,'Remote work mental helath'!$A$2:$T$1001,7,)</f>
        <v>Onsite</v>
      </c>
      <c r="D551">
        <f>VLOOKUP(A551,'Remote work mental helath'!$A$2:$T$1001,6,)</f>
        <v>35</v>
      </c>
      <c r="E551">
        <f>VLOOKUP(A551,'Remote work mental helath'!$A$2:$T$1001,8,)</f>
        <v>26</v>
      </c>
      <c r="F551">
        <f>VLOOKUP(A551,'Remote work mental helath'!$A$2:$T$1001,9,)</f>
        <v>12</v>
      </c>
    </row>
    <row r="552" spans="1:6" x14ac:dyDescent="0.3">
      <c r="A552" t="s">
        <v>601</v>
      </c>
      <c r="B552" t="str">
        <f>VLOOKUP(A552,'Remote work mental helath'!$A$2:$T$1001,5,)</f>
        <v>Manufacturing</v>
      </c>
      <c r="C552" t="str">
        <f>VLOOKUP(A552,'Remote work mental helath'!$A$2:$T$1001,7,)</f>
        <v>Onsite</v>
      </c>
      <c r="D552">
        <f>VLOOKUP(A552,'Remote work mental helath'!$A$2:$T$1001,6,)</f>
        <v>20</v>
      </c>
      <c r="E552">
        <f>VLOOKUP(A552,'Remote work mental helath'!$A$2:$T$1001,8,)</f>
        <v>58</v>
      </c>
      <c r="F552">
        <f>VLOOKUP(A552,'Remote work mental helath'!$A$2:$T$1001,9,)</f>
        <v>12</v>
      </c>
    </row>
    <row r="553" spans="1:6" x14ac:dyDescent="0.3">
      <c r="A553" t="s">
        <v>602</v>
      </c>
      <c r="B553" t="str">
        <f>VLOOKUP(A553,'Remote work mental helath'!$A$2:$T$1001,5,)</f>
        <v>Healthcare</v>
      </c>
      <c r="C553" t="str">
        <f>VLOOKUP(A553,'Remote work mental helath'!$A$2:$T$1001,7,)</f>
        <v>Hybrid</v>
      </c>
      <c r="D553">
        <f>VLOOKUP(A553,'Remote work mental helath'!$A$2:$T$1001,6,)</f>
        <v>28</v>
      </c>
      <c r="E553">
        <f>VLOOKUP(A553,'Remote work mental helath'!$A$2:$T$1001,8,)</f>
        <v>44</v>
      </c>
      <c r="F553">
        <f>VLOOKUP(A553,'Remote work mental helath'!$A$2:$T$1001,9,)</f>
        <v>6</v>
      </c>
    </row>
    <row r="554" spans="1:6" x14ac:dyDescent="0.3">
      <c r="A554" t="s">
        <v>603</v>
      </c>
      <c r="B554" t="str">
        <f>VLOOKUP(A554,'Remote work mental helath'!$A$2:$T$1001,5,)</f>
        <v>Manufacturing</v>
      </c>
      <c r="C554" t="str">
        <f>VLOOKUP(A554,'Remote work mental helath'!$A$2:$T$1001,7,)</f>
        <v>Onsite</v>
      </c>
      <c r="D554">
        <f>VLOOKUP(A554,'Remote work mental helath'!$A$2:$T$1001,6,)</f>
        <v>29</v>
      </c>
      <c r="E554">
        <f>VLOOKUP(A554,'Remote work mental helath'!$A$2:$T$1001,8,)</f>
        <v>39</v>
      </c>
      <c r="F554">
        <f>VLOOKUP(A554,'Remote work mental helath'!$A$2:$T$1001,9,)</f>
        <v>11</v>
      </c>
    </row>
    <row r="555" spans="1:6" x14ac:dyDescent="0.3">
      <c r="A555" t="s">
        <v>604</v>
      </c>
      <c r="B555" t="str">
        <f>VLOOKUP(A555,'Remote work mental helath'!$A$2:$T$1001,5,)</f>
        <v>IT</v>
      </c>
      <c r="C555" t="str">
        <f>VLOOKUP(A555,'Remote work mental helath'!$A$2:$T$1001,7,)</f>
        <v>Hybrid</v>
      </c>
      <c r="D555">
        <f>VLOOKUP(A555,'Remote work mental helath'!$A$2:$T$1001,6,)</f>
        <v>26</v>
      </c>
      <c r="E555">
        <f>VLOOKUP(A555,'Remote work mental helath'!$A$2:$T$1001,8,)</f>
        <v>39</v>
      </c>
      <c r="F555">
        <f>VLOOKUP(A555,'Remote work mental helath'!$A$2:$T$1001,9,)</f>
        <v>0</v>
      </c>
    </row>
    <row r="556" spans="1:6" x14ac:dyDescent="0.3">
      <c r="A556" t="s">
        <v>605</v>
      </c>
      <c r="B556" t="str">
        <f>VLOOKUP(A556,'Remote work mental helath'!$A$2:$T$1001,5,)</f>
        <v>Healthcare</v>
      </c>
      <c r="C556" t="str">
        <f>VLOOKUP(A556,'Remote work mental helath'!$A$2:$T$1001,7,)</f>
        <v>Remote</v>
      </c>
      <c r="D556">
        <f>VLOOKUP(A556,'Remote work mental helath'!$A$2:$T$1001,6,)</f>
        <v>18</v>
      </c>
      <c r="E556">
        <f>VLOOKUP(A556,'Remote work mental helath'!$A$2:$T$1001,8,)</f>
        <v>45</v>
      </c>
      <c r="F556">
        <f>VLOOKUP(A556,'Remote work mental helath'!$A$2:$T$1001,9,)</f>
        <v>1</v>
      </c>
    </row>
    <row r="557" spans="1:6" x14ac:dyDescent="0.3">
      <c r="A557" t="s">
        <v>606</v>
      </c>
      <c r="B557" t="str">
        <f>VLOOKUP(A557,'Remote work mental helath'!$A$2:$T$1001,5,)</f>
        <v>IT</v>
      </c>
      <c r="C557" t="str">
        <f>VLOOKUP(A557,'Remote work mental helath'!$A$2:$T$1001,7,)</f>
        <v>Remote</v>
      </c>
      <c r="D557">
        <f>VLOOKUP(A557,'Remote work mental helath'!$A$2:$T$1001,6,)</f>
        <v>4</v>
      </c>
      <c r="E557">
        <f>VLOOKUP(A557,'Remote work mental helath'!$A$2:$T$1001,8,)</f>
        <v>57</v>
      </c>
      <c r="F557">
        <f>VLOOKUP(A557,'Remote work mental helath'!$A$2:$T$1001,9,)</f>
        <v>13</v>
      </c>
    </row>
    <row r="558" spans="1:6" x14ac:dyDescent="0.3">
      <c r="A558" t="s">
        <v>607</v>
      </c>
      <c r="B558" t="str">
        <f>VLOOKUP(A558,'Remote work mental helath'!$A$2:$T$1001,5,)</f>
        <v>Education</v>
      </c>
      <c r="C558" t="str">
        <f>VLOOKUP(A558,'Remote work mental helath'!$A$2:$T$1001,7,)</f>
        <v>Onsite</v>
      </c>
      <c r="D558">
        <f>VLOOKUP(A558,'Remote work mental helath'!$A$2:$T$1001,6,)</f>
        <v>4</v>
      </c>
      <c r="E558">
        <f>VLOOKUP(A558,'Remote work mental helath'!$A$2:$T$1001,8,)</f>
        <v>48</v>
      </c>
      <c r="F558">
        <f>VLOOKUP(A558,'Remote work mental helath'!$A$2:$T$1001,9,)</f>
        <v>4</v>
      </c>
    </row>
    <row r="559" spans="1:6" x14ac:dyDescent="0.3">
      <c r="A559" t="s">
        <v>608</v>
      </c>
      <c r="B559" t="str">
        <f>VLOOKUP(A559,'Remote work mental helath'!$A$2:$T$1001,5,)</f>
        <v>Manufacturing</v>
      </c>
      <c r="C559" t="str">
        <f>VLOOKUP(A559,'Remote work mental helath'!$A$2:$T$1001,7,)</f>
        <v>Hybrid</v>
      </c>
      <c r="D559">
        <f>VLOOKUP(A559,'Remote work mental helath'!$A$2:$T$1001,6,)</f>
        <v>10</v>
      </c>
      <c r="E559">
        <f>VLOOKUP(A559,'Remote work mental helath'!$A$2:$T$1001,8,)</f>
        <v>30</v>
      </c>
      <c r="F559">
        <f>VLOOKUP(A559,'Remote work mental helath'!$A$2:$T$1001,9,)</f>
        <v>2</v>
      </c>
    </row>
    <row r="560" spans="1:6" x14ac:dyDescent="0.3">
      <c r="A560" t="s">
        <v>609</v>
      </c>
      <c r="B560" t="str">
        <f>VLOOKUP(A560,'Remote work mental helath'!$A$2:$T$1001,5,)</f>
        <v>Manufacturing</v>
      </c>
      <c r="C560" t="str">
        <f>VLOOKUP(A560,'Remote work mental helath'!$A$2:$T$1001,7,)</f>
        <v>Remote</v>
      </c>
      <c r="D560">
        <f>VLOOKUP(A560,'Remote work mental helath'!$A$2:$T$1001,6,)</f>
        <v>2</v>
      </c>
      <c r="E560">
        <f>VLOOKUP(A560,'Remote work mental helath'!$A$2:$T$1001,8,)</f>
        <v>27</v>
      </c>
      <c r="F560">
        <f>VLOOKUP(A560,'Remote work mental helath'!$A$2:$T$1001,9,)</f>
        <v>11</v>
      </c>
    </row>
    <row r="561" spans="1:6" x14ac:dyDescent="0.3">
      <c r="A561" t="s">
        <v>610</v>
      </c>
      <c r="B561" t="str">
        <f>VLOOKUP(A561,'Remote work mental helath'!$A$2:$T$1001,5,)</f>
        <v>Education</v>
      </c>
      <c r="C561" t="str">
        <f>VLOOKUP(A561,'Remote work mental helath'!$A$2:$T$1001,7,)</f>
        <v>Hybrid</v>
      </c>
      <c r="D561">
        <f>VLOOKUP(A561,'Remote work mental helath'!$A$2:$T$1001,6,)</f>
        <v>2</v>
      </c>
      <c r="E561">
        <f>VLOOKUP(A561,'Remote work mental helath'!$A$2:$T$1001,8,)</f>
        <v>25</v>
      </c>
      <c r="F561">
        <f>VLOOKUP(A561,'Remote work mental helath'!$A$2:$T$1001,9,)</f>
        <v>9</v>
      </c>
    </row>
    <row r="562" spans="1:6" x14ac:dyDescent="0.3">
      <c r="A562" t="s">
        <v>611</v>
      </c>
      <c r="B562" t="str">
        <f>VLOOKUP(A562,'Remote work mental helath'!$A$2:$T$1001,5,)</f>
        <v>Finance</v>
      </c>
      <c r="C562" t="str">
        <f>VLOOKUP(A562,'Remote work mental helath'!$A$2:$T$1001,7,)</f>
        <v>Hybrid</v>
      </c>
      <c r="D562">
        <f>VLOOKUP(A562,'Remote work mental helath'!$A$2:$T$1001,6,)</f>
        <v>8</v>
      </c>
      <c r="E562">
        <f>VLOOKUP(A562,'Remote work mental helath'!$A$2:$T$1001,8,)</f>
        <v>25</v>
      </c>
      <c r="F562">
        <f>VLOOKUP(A562,'Remote work mental helath'!$A$2:$T$1001,9,)</f>
        <v>14</v>
      </c>
    </row>
    <row r="563" spans="1:6" x14ac:dyDescent="0.3">
      <c r="A563" t="s">
        <v>612</v>
      </c>
      <c r="B563" t="str">
        <f>VLOOKUP(A563,'Remote work mental helath'!$A$2:$T$1001,5,)</f>
        <v>Retail</v>
      </c>
      <c r="C563" t="str">
        <f>VLOOKUP(A563,'Remote work mental helath'!$A$2:$T$1001,7,)</f>
        <v>Onsite</v>
      </c>
      <c r="D563">
        <f>VLOOKUP(A563,'Remote work mental helath'!$A$2:$T$1001,6,)</f>
        <v>34</v>
      </c>
      <c r="E563">
        <f>VLOOKUP(A563,'Remote work mental helath'!$A$2:$T$1001,8,)</f>
        <v>39</v>
      </c>
      <c r="F563">
        <f>VLOOKUP(A563,'Remote work mental helath'!$A$2:$T$1001,9,)</f>
        <v>9</v>
      </c>
    </row>
    <row r="564" spans="1:6" x14ac:dyDescent="0.3">
      <c r="A564" t="s">
        <v>613</v>
      </c>
      <c r="B564" t="str">
        <f>VLOOKUP(A564,'Remote work mental helath'!$A$2:$T$1001,5,)</f>
        <v>Manufacturing</v>
      </c>
      <c r="C564" t="str">
        <f>VLOOKUP(A564,'Remote work mental helath'!$A$2:$T$1001,7,)</f>
        <v>Hybrid</v>
      </c>
      <c r="D564">
        <f>VLOOKUP(A564,'Remote work mental helath'!$A$2:$T$1001,6,)</f>
        <v>31</v>
      </c>
      <c r="E564">
        <f>VLOOKUP(A564,'Remote work mental helath'!$A$2:$T$1001,8,)</f>
        <v>31</v>
      </c>
      <c r="F564">
        <f>VLOOKUP(A564,'Remote work mental helath'!$A$2:$T$1001,9,)</f>
        <v>6</v>
      </c>
    </row>
    <row r="565" spans="1:6" x14ac:dyDescent="0.3">
      <c r="A565" t="s">
        <v>614</v>
      </c>
      <c r="B565" t="str">
        <f>VLOOKUP(A565,'Remote work mental helath'!$A$2:$T$1001,5,)</f>
        <v>Education</v>
      </c>
      <c r="C565" t="str">
        <f>VLOOKUP(A565,'Remote work mental helath'!$A$2:$T$1001,7,)</f>
        <v>Remote</v>
      </c>
      <c r="D565">
        <f>VLOOKUP(A565,'Remote work mental helath'!$A$2:$T$1001,6,)</f>
        <v>8</v>
      </c>
      <c r="E565">
        <f>VLOOKUP(A565,'Remote work mental helath'!$A$2:$T$1001,8,)</f>
        <v>23</v>
      </c>
      <c r="F565">
        <f>VLOOKUP(A565,'Remote work mental helath'!$A$2:$T$1001,9,)</f>
        <v>6</v>
      </c>
    </row>
    <row r="566" spans="1:6" x14ac:dyDescent="0.3">
      <c r="A566" t="s">
        <v>615</v>
      </c>
      <c r="B566" t="str">
        <f>VLOOKUP(A566,'Remote work mental helath'!$A$2:$T$1001,5,)</f>
        <v>IT</v>
      </c>
      <c r="C566" t="str">
        <f>VLOOKUP(A566,'Remote work mental helath'!$A$2:$T$1001,7,)</f>
        <v>Hybrid</v>
      </c>
      <c r="D566">
        <f>VLOOKUP(A566,'Remote work mental helath'!$A$2:$T$1001,6,)</f>
        <v>25</v>
      </c>
      <c r="E566">
        <f>VLOOKUP(A566,'Remote work mental helath'!$A$2:$T$1001,8,)</f>
        <v>39</v>
      </c>
      <c r="F566">
        <f>VLOOKUP(A566,'Remote work mental helath'!$A$2:$T$1001,9,)</f>
        <v>9</v>
      </c>
    </row>
    <row r="567" spans="1:6" x14ac:dyDescent="0.3">
      <c r="A567" t="s">
        <v>616</v>
      </c>
      <c r="B567" t="str">
        <f>VLOOKUP(A567,'Remote work mental helath'!$A$2:$T$1001,5,)</f>
        <v>Retail</v>
      </c>
      <c r="C567" t="str">
        <f>VLOOKUP(A567,'Remote work mental helath'!$A$2:$T$1001,7,)</f>
        <v>Onsite</v>
      </c>
      <c r="D567">
        <f>VLOOKUP(A567,'Remote work mental helath'!$A$2:$T$1001,6,)</f>
        <v>18</v>
      </c>
      <c r="E567">
        <f>VLOOKUP(A567,'Remote work mental helath'!$A$2:$T$1001,8,)</f>
        <v>39</v>
      </c>
      <c r="F567">
        <f>VLOOKUP(A567,'Remote work mental helath'!$A$2:$T$1001,9,)</f>
        <v>10</v>
      </c>
    </row>
    <row r="568" spans="1:6" x14ac:dyDescent="0.3">
      <c r="A568" t="s">
        <v>617</v>
      </c>
      <c r="B568" t="str">
        <f>VLOOKUP(A568,'Remote work mental helath'!$A$2:$T$1001,5,)</f>
        <v>Education</v>
      </c>
      <c r="C568" t="str">
        <f>VLOOKUP(A568,'Remote work mental helath'!$A$2:$T$1001,7,)</f>
        <v>Remote</v>
      </c>
      <c r="D568">
        <f>VLOOKUP(A568,'Remote work mental helath'!$A$2:$T$1001,6,)</f>
        <v>3</v>
      </c>
      <c r="E568">
        <f>VLOOKUP(A568,'Remote work mental helath'!$A$2:$T$1001,8,)</f>
        <v>27</v>
      </c>
      <c r="F568">
        <f>VLOOKUP(A568,'Remote work mental helath'!$A$2:$T$1001,9,)</f>
        <v>11</v>
      </c>
    </row>
    <row r="569" spans="1:6" x14ac:dyDescent="0.3">
      <c r="A569" t="s">
        <v>618</v>
      </c>
      <c r="B569" t="str">
        <f>VLOOKUP(A569,'Remote work mental helath'!$A$2:$T$1001,5,)</f>
        <v>Finance</v>
      </c>
      <c r="C569" t="str">
        <f>VLOOKUP(A569,'Remote work mental helath'!$A$2:$T$1001,7,)</f>
        <v>Hybrid</v>
      </c>
      <c r="D569">
        <f>VLOOKUP(A569,'Remote work mental helath'!$A$2:$T$1001,6,)</f>
        <v>35</v>
      </c>
      <c r="E569">
        <f>VLOOKUP(A569,'Remote work mental helath'!$A$2:$T$1001,8,)</f>
        <v>45</v>
      </c>
      <c r="F569">
        <f>VLOOKUP(A569,'Remote work mental helath'!$A$2:$T$1001,9,)</f>
        <v>12</v>
      </c>
    </row>
    <row r="570" spans="1:6" x14ac:dyDescent="0.3">
      <c r="A570" t="s">
        <v>619</v>
      </c>
      <c r="B570" t="str">
        <f>VLOOKUP(A570,'Remote work mental helath'!$A$2:$T$1001,5,)</f>
        <v>Retail</v>
      </c>
      <c r="C570" t="str">
        <f>VLOOKUP(A570,'Remote work mental helath'!$A$2:$T$1001,7,)</f>
        <v>Hybrid</v>
      </c>
      <c r="D570">
        <f>VLOOKUP(A570,'Remote work mental helath'!$A$2:$T$1001,6,)</f>
        <v>26</v>
      </c>
      <c r="E570">
        <f>VLOOKUP(A570,'Remote work mental helath'!$A$2:$T$1001,8,)</f>
        <v>23</v>
      </c>
      <c r="F570">
        <f>VLOOKUP(A570,'Remote work mental helath'!$A$2:$T$1001,9,)</f>
        <v>0</v>
      </c>
    </row>
    <row r="571" spans="1:6" x14ac:dyDescent="0.3">
      <c r="A571" t="s">
        <v>620</v>
      </c>
      <c r="B571" t="str">
        <f>VLOOKUP(A571,'Remote work mental helath'!$A$2:$T$1001,5,)</f>
        <v>Retail</v>
      </c>
      <c r="C571" t="str">
        <f>VLOOKUP(A571,'Remote work mental helath'!$A$2:$T$1001,7,)</f>
        <v>Remote</v>
      </c>
      <c r="D571">
        <f>VLOOKUP(A571,'Remote work mental helath'!$A$2:$T$1001,6,)</f>
        <v>25</v>
      </c>
      <c r="E571">
        <f>VLOOKUP(A571,'Remote work mental helath'!$A$2:$T$1001,8,)</f>
        <v>39</v>
      </c>
      <c r="F571">
        <f>VLOOKUP(A571,'Remote work mental helath'!$A$2:$T$1001,9,)</f>
        <v>3</v>
      </c>
    </row>
    <row r="572" spans="1:6" x14ac:dyDescent="0.3">
      <c r="A572" t="s">
        <v>621</v>
      </c>
      <c r="B572" t="str">
        <f>VLOOKUP(A572,'Remote work mental helath'!$A$2:$T$1001,5,)</f>
        <v>Manufacturing</v>
      </c>
      <c r="C572" t="str">
        <f>VLOOKUP(A572,'Remote work mental helath'!$A$2:$T$1001,7,)</f>
        <v>Onsite</v>
      </c>
      <c r="D572">
        <f>VLOOKUP(A572,'Remote work mental helath'!$A$2:$T$1001,6,)</f>
        <v>4</v>
      </c>
      <c r="E572">
        <f>VLOOKUP(A572,'Remote work mental helath'!$A$2:$T$1001,8,)</f>
        <v>27</v>
      </c>
      <c r="F572">
        <f>VLOOKUP(A572,'Remote work mental helath'!$A$2:$T$1001,9,)</f>
        <v>6</v>
      </c>
    </row>
    <row r="573" spans="1:6" x14ac:dyDescent="0.3">
      <c r="A573" t="s">
        <v>622</v>
      </c>
      <c r="B573" t="str">
        <f>VLOOKUP(A573,'Remote work mental helath'!$A$2:$T$1001,5,)</f>
        <v>Healthcare</v>
      </c>
      <c r="C573" t="str">
        <f>VLOOKUP(A573,'Remote work mental helath'!$A$2:$T$1001,7,)</f>
        <v>Remote</v>
      </c>
      <c r="D573">
        <f>VLOOKUP(A573,'Remote work mental helath'!$A$2:$T$1001,6,)</f>
        <v>17</v>
      </c>
      <c r="E573">
        <f>VLOOKUP(A573,'Remote work mental helath'!$A$2:$T$1001,8,)</f>
        <v>27</v>
      </c>
      <c r="F573">
        <f>VLOOKUP(A573,'Remote work mental helath'!$A$2:$T$1001,9,)</f>
        <v>8</v>
      </c>
    </row>
    <row r="574" spans="1:6" x14ac:dyDescent="0.3">
      <c r="A574" t="s">
        <v>623</v>
      </c>
      <c r="B574" t="str">
        <f>VLOOKUP(A574,'Remote work mental helath'!$A$2:$T$1001,5,)</f>
        <v>Education</v>
      </c>
      <c r="C574" t="str">
        <f>VLOOKUP(A574,'Remote work mental helath'!$A$2:$T$1001,7,)</f>
        <v>Onsite</v>
      </c>
      <c r="D574">
        <f>VLOOKUP(A574,'Remote work mental helath'!$A$2:$T$1001,6,)</f>
        <v>11</v>
      </c>
      <c r="E574">
        <f>VLOOKUP(A574,'Remote work mental helath'!$A$2:$T$1001,8,)</f>
        <v>33</v>
      </c>
      <c r="F574">
        <f>VLOOKUP(A574,'Remote work mental helath'!$A$2:$T$1001,9,)</f>
        <v>5</v>
      </c>
    </row>
    <row r="575" spans="1:6" x14ac:dyDescent="0.3">
      <c r="A575" t="s">
        <v>624</v>
      </c>
      <c r="B575" t="str">
        <f>VLOOKUP(A575,'Remote work mental helath'!$A$2:$T$1001,5,)</f>
        <v>Healthcare</v>
      </c>
      <c r="C575" t="str">
        <f>VLOOKUP(A575,'Remote work mental helath'!$A$2:$T$1001,7,)</f>
        <v>Hybrid</v>
      </c>
      <c r="D575">
        <f>VLOOKUP(A575,'Remote work mental helath'!$A$2:$T$1001,6,)</f>
        <v>19</v>
      </c>
      <c r="E575">
        <f>VLOOKUP(A575,'Remote work mental helath'!$A$2:$T$1001,8,)</f>
        <v>44</v>
      </c>
      <c r="F575">
        <f>VLOOKUP(A575,'Remote work mental helath'!$A$2:$T$1001,9,)</f>
        <v>8</v>
      </c>
    </row>
    <row r="576" spans="1:6" x14ac:dyDescent="0.3">
      <c r="A576" t="s">
        <v>625</v>
      </c>
      <c r="B576" t="str">
        <f>VLOOKUP(A576,'Remote work mental helath'!$A$2:$T$1001,5,)</f>
        <v>Consulting</v>
      </c>
      <c r="C576" t="str">
        <f>VLOOKUP(A576,'Remote work mental helath'!$A$2:$T$1001,7,)</f>
        <v>Remote</v>
      </c>
      <c r="D576">
        <f>VLOOKUP(A576,'Remote work mental helath'!$A$2:$T$1001,6,)</f>
        <v>8</v>
      </c>
      <c r="E576">
        <f>VLOOKUP(A576,'Remote work mental helath'!$A$2:$T$1001,8,)</f>
        <v>45</v>
      </c>
      <c r="F576">
        <f>VLOOKUP(A576,'Remote work mental helath'!$A$2:$T$1001,9,)</f>
        <v>0</v>
      </c>
    </row>
    <row r="577" spans="1:6" x14ac:dyDescent="0.3">
      <c r="A577" t="s">
        <v>626</v>
      </c>
      <c r="B577" t="str">
        <f>VLOOKUP(A577,'Remote work mental helath'!$A$2:$T$1001,5,)</f>
        <v>Retail</v>
      </c>
      <c r="C577" t="str">
        <f>VLOOKUP(A577,'Remote work mental helath'!$A$2:$T$1001,7,)</f>
        <v>Hybrid</v>
      </c>
      <c r="D577">
        <f>VLOOKUP(A577,'Remote work mental helath'!$A$2:$T$1001,6,)</f>
        <v>23</v>
      </c>
      <c r="E577">
        <f>VLOOKUP(A577,'Remote work mental helath'!$A$2:$T$1001,8,)</f>
        <v>46</v>
      </c>
      <c r="F577">
        <f>VLOOKUP(A577,'Remote work mental helath'!$A$2:$T$1001,9,)</f>
        <v>6</v>
      </c>
    </row>
    <row r="578" spans="1:6" x14ac:dyDescent="0.3">
      <c r="A578" t="s">
        <v>627</v>
      </c>
      <c r="B578" t="str">
        <f>VLOOKUP(A578,'Remote work mental helath'!$A$2:$T$1001,5,)</f>
        <v>Retail</v>
      </c>
      <c r="C578" t="str">
        <f>VLOOKUP(A578,'Remote work mental helath'!$A$2:$T$1001,7,)</f>
        <v>Hybrid</v>
      </c>
      <c r="D578">
        <f>VLOOKUP(A578,'Remote work mental helath'!$A$2:$T$1001,6,)</f>
        <v>2</v>
      </c>
      <c r="E578">
        <f>VLOOKUP(A578,'Remote work mental helath'!$A$2:$T$1001,8,)</f>
        <v>40</v>
      </c>
      <c r="F578">
        <f>VLOOKUP(A578,'Remote work mental helath'!$A$2:$T$1001,9,)</f>
        <v>0</v>
      </c>
    </row>
    <row r="579" spans="1:6" x14ac:dyDescent="0.3">
      <c r="A579" t="s">
        <v>628</v>
      </c>
      <c r="B579" t="str">
        <f>VLOOKUP(A579,'Remote work mental helath'!$A$2:$T$1001,5,)</f>
        <v>Finance</v>
      </c>
      <c r="C579" t="str">
        <f>VLOOKUP(A579,'Remote work mental helath'!$A$2:$T$1001,7,)</f>
        <v>Remote</v>
      </c>
      <c r="D579">
        <f>VLOOKUP(A579,'Remote work mental helath'!$A$2:$T$1001,6,)</f>
        <v>12</v>
      </c>
      <c r="E579">
        <f>VLOOKUP(A579,'Remote work mental helath'!$A$2:$T$1001,8,)</f>
        <v>25</v>
      </c>
      <c r="F579">
        <f>VLOOKUP(A579,'Remote work mental helath'!$A$2:$T$1001,9,)</f>
        <v>10</v>
      </c>
    </row>
    <row r="580" spans="1:6" x14ac:dyDescent="0.3">
      <c r="A580" t="s">
        <v>629</v>
      </c>
      <c r="B580" t="str">
        <f>VLOOKUP(A580,'Remote work mental helath'!$A$2:$T$1001,5,)</f>
        <v>Healthcare</v>
      </c>
      <c r="C580" t="str">
        <f>VLOOKUP(A580,'Remote work mental helath'!$A$2:$T$1001,7,)</f>
        <v>Hybrid</v>
      </c>
      <c r="D580">
        <f>VLOOKUP(A580,'Remote work mental helath'!$A$2:$T$1001,6,)</f>
        <v>35</v>
      </c>
      <c r="E580">
        <f>VLOOKUP(A580,'Remote work mental helath'!$A$2:$T$1001,8,)</f>
        <v>29</v>
      </c>
      <c r="F580">
        <f>VLOOKUP(A580,'Remote work mental helath'!$A$2:$T$1001,9,)</f>
        <v>4</v>
      </c>
    </row>
    <row r="581" spans="1:6" x14ac:dyDescent="0.3">
      <c r="A581" t="s">
        <v>630</v>
      </c>
      <c r="B581" t="str">
        <f>VLOOKUP(A581,'Remote work mental helath'!$A$2:$T$1001,5,)</f>
        <v>IT</v>
      </c>
      <c r="C581" t="str">
        <f>VLOOKUP(A581,'Remote work mental helath'!$A$2:$T$1001,7,)</f>
        <v>Remote</v>
      </c>
      <c r="D581">
        <f>VLOOKUP(A581,'Remote work mental helath'!$A$2:$T$1001,6,)</f>
        <v>18</v>
      </c>
      <c r="E581">
        <f>VLOOKUP(A581,'Remote work mental helath'!$A$2:$T$1001,8,)</f>
        <v>22</v>
      </c>
      <c r="F581">
        <f>VLOOKUP(A581,'Remote work mental helath'!$A$2:$T$1001,9,)</f>
        <v>13</v>
      </c>
    </row>
    <row r="582" spans="1:6" x14ac:dyDescent="0.3">
      <c r="A582" t="s">
        <v>631</v>
      </c>
      <c r="B582" t="str">
        <f>VLOOKUP(A582,'Remote work mental helath'!$A$2:$T$1001,5,)</f>
        <v>Manufacturing</v>
      </c>
      <c r="C582" t="str">
        <f>VLOOKUP(A582,'Remote work mental helath'!$A$2:$T$1001,7,)</f>
        <v>Onsite</v>
      </c>
      <c r="D582">
        <f>VLOOKUP(A582,'Remote work mental helath'!$A$2:$T$1001,6,)</f>
        <v>15</v>
      </c>
      <c r="E582">
        <f>VLOOKUP(A582,'Remote work mental helath'!$A$2:$T$1001,8,)</f>
        <v>27</v>
      </c>
      <c r="F582">
        <f>VLOOKUP(A582,'Remote work mental helath'!$A$2:$T$1001,9,)</f>
        <v>3</v>
      </c>
    </row>
    <row r="583" spans="1:6" x14ac:dyDescent="0.3">
      <c r="A583" t="s">
        <v>632</v>
      </c>
      <c r="B583" t="str">
        <f>VLOOKUP(A583,'Remote work mental helath'!$A$2:$T$1001,5,)</f>
        <v>Manufacturing</v>
      </c>
      <c r="C583" t="str">
        <f>VLOOKUP(A583,'Remote work mental helath'!$A$2:$T$1001,7,)</f>
        <v>Hybrid</v>
      </c>
      <c r="D583">
        <f>VLOOKUP(A583,'Remote work mental helath'!$A$2:$T$1001,6,)</f>
        <v>23</v>
      </c>
      <c r="E583">
        <f>VLOOKUP(A583,'Remote work mental helath'!$A$2:$T$1001,8,)</f>
        <v>59</v>
      </c>
      <c r="F583">
        <f>VLOOKUP(A583,'Remote work mental helath'!$A$2:$T$1001,9,)</f>
        <v>2</v>
      </c>
    </row>
    <row r="584" spans="1:6" x14ac:dyDescent="0.3">
      <c r="A584" t="s">
        <v>633</v>
      </c>
      <c r="B584" t="str">
        <f>VLOOKUP(A584,'Remote work mental helath'!$A$2:$T$1001,5,)</f>
        <v>Finance</v>
      </c>
      <c r="C584" t="str">
        <f>VLOOKUP(A584,'Remote work mental helath'!$A$2:$T$1001,7,)</f>
        <v>Remote</v>
      </c>
      <c r="D584">
        <f>VLOOKUP(A584,'Remote work mental helath'!$A$2:$T$1001,6,)</f>
        <v>26</v>
      </c>
      <c r="E584">
        <f>VLOOKUP(A584,'Remote work mental helath'!$A$2:$T$1001,8,)</f>
        <v>57</v>
      </c>
      <c r="F584">
        <f>VLOOKUP(A584,'Remote work mental helath'!$A$2:$T$1001,9,)</f>
        <v>10</v>
      </c>
    </row>
    <row r="585" spans="1:6" x14ac:dyDescent="0.3">
      <c r="A585" t="s">
        <v>634</v>
      </c>
      <c r="B585" t="str">
        <f>VLOOKUP(A585,'Remote work mental helath'!$A$2:$T$1001,5,)</f>
        <v>Retail</v>
      </c>
      <c r="C585" t="str">
        <f>VLOOKUP(A585,'Remote work mental helath'!$A$2:$T$1001,7,)</f>
        <v>Hybrid</v>
      </c>
      <c r="D585">
        <f>VLOOKUP(A585,'Remote work mental helath'!$A$2:$T$1001,6,)</f>
        <v>2</v>
      </c>
      <c r="E585">
        <f>VLOOKUP(A585,'Remote work mental helath'!$A$2:$T$1001,8,)</f>
        <v>34</v>
      </c>
      <c r="F585">
        <f>VLOOKUP(A585,'Remote work mental helath'!$A$2:$T$1001,9,)</f>
        <v>0</v>
      </c>
    </row>
    <row r="586" spans="1:6" x14ac:dyDescent="0.3">
      <c r="A586" t="s">
        <v>635</v>
      </c>
      <c r="B586" t="str">
        <f>VLOOKUP(A586,'Remote work mental helath'!$A$2:$T$1001,5,)</f>
        <v>Retail</v>
      </c>
      <c r="C586" t="str">
        <f>VLOOKUP(A586,'Remote work mental helath'!$A$2:$T$1001,7,)</f>
        <v>Hybrid</v>
      </c>
      <c r="D586">
        <f>VLOOKUP(A586,'Remote work mental helath'!$A$2:$T$1001,6,)</f>
        <v>6</v>
      </c>
      <c r="E586">
        <f>VLOOKUP(A586,'Remote work mental helath'!$A$2:$T$1001,8,)</f>
        <v>20</v>
      </c>
      <c r="F586">
        <f>VLOOKUP(A586,'Remote work mental helath'!$A$2:$T$1001,9,)</f>
        <v>2</v>
      </c>
    </row>
    <row r="587" spans="1:6" x14ac:dyDescent="0.3">
      <c r="A587" t="s">
        <v>636</v>
      </c>
      <c r="B587" t="str">
        <f>VLOOKUP(A587,'Remote work mental helath'!$A$2:$T$1001,5,)</f>
        <v>Education</v>
      </c>
      <c r="C587" t="str">
        <f>VLOOKUP(A587,'Remote work mental helath'!$A$2:$T$1001,7,)</f>
        <v>Onsite</v>
      </c>
      <c r="D587">
        <f>VLOOKUP(A587,'Remote work mental helath'!$A$2:$T$1001,6,)</f>
        <v>13</v>
      </c>
      <c r="E587">
        <f>VLOOKUP(A587,'Remote work mental helath'!$A$2:$T$1001,8,)</f>
        <v>20</v>
      </c>
      <c r="F587">
        <f>VLOOKUP(A587,'Remote work mental helath'!$A$2:$T$1001,9,)</f>
        <v>5</v>
      </c>
    </row>
    <row r="588" spans="1:6" x14ac:dyDescent="0.3">
      <c r="A588" t="s">
        <v>637</v>
      </c>
      <c r="B588" t="str">
        <f>VLOOKUP(A588,'Remote work mental helath'!$A$2:$T$1001,5,)</f>
        <v>Education</v>
      </c>
      <c r="C588" t="str">
        <f>VLOOKUP(A588,'Remote work mental helath'!$A$2:$T$1001,7,)</f>
        <v>Remote</v>
      </c>
      <c r="D588">
        <f>VLOOKUP(A588,'Remote work mental helath'!$A$2:$T$1001,6,)</f>
        <v>18</v>
      </c>
      <c r="E588">
        <f>VLOOKUP(A588,'Remote work mental helath'!$A$2:$T$1001,8,)</f>
        <v>57</v>
      </c>
      <c r="F588">
        <f>VLOOKUP(A588,'Remote work mental helath'!$A$2:$T$1001,9,)</f>
        <v>14</v>
      </c>
    </row>
    <row r="589" spans="1:6" x14ac:dyDescent="0.3">
      <c r="A589" t="s">
        <v>638</v>
      </c>
      <c r="B589" t="str">
        <f>VLOOKUP(A589,'Remote work mental helath'!$A$2:$T$1001,5,)</f>
        <v>Education</v>
      </c>
      <c r="C589" t="str">
        <f>VLOOKUP(A589,'Remote work mental helath'!$A$2:$T$1001,7,)</f>
        <v>Hybrid</v>
      </c>
      <c r="D589">
        <f>VLOOKUP(A589,'Remote work mental helath'!$A$2:$T$1001,6,)</f>
        <v>27</v>
      </c>
      <c r="E589">
        <f>VLOOKUP(A589,'Remote work mental helath'!$A$2:$T$1001,8,)</f>
        <v>53</v>
      </c>
      <c r="F589">
        <f>VLOOKUP(A589,'Remote work mental helath'!$A$2:$T$1001,9,)</f>
        <v>2</v>
      </c>
    </row>
    <row r="590" spans="1:6" x14ac:dyDescent="0.3">
      <c r="A590" t="s">
        <v>639</v>
      </c>
      <c r="B590" t="str">
        <f>VLOOKUP(A590,'Remote work mental helath'!$A$2:$T$1001,5,)</f>
        <v>Finance</v>
      </c>
      <c r="C590" t="str">
        <f>VLOOKUP(A590,'Remote work mental helath'!$A$2:$T$1001,7,)</f>
        <v>Remote</v>
      </c>
      <c r="D590">
        <f>VLOOKUP(A590,'Remote work mental helath'!$A$2:$T$1001,6,)</f>
        <v>21</v>
      </c>
      <c r="E590">
        <f>VLOOKUP(A590,'Remote work mental helath'!$A$2:$T$1001,8,)</f>
        <v>24</v>
      </c>
      <c r="F590">
        <f>VLOOKUP(A590,'Remote work mental helath'!$A$2:$T$1001,9,)</f>
        <v>8</v>
      </c>
    </row>
    <row r="591" spans="1:6" x14ac:dyDescent="0.3">
      <c r="A591" t="s">
        <v>640</v>
      </c>
      <c r="B591" t="str">
        <f>VLOOKUP(A591,'Remote work mental helath'!$A$2:$T$1001,5,)</f>
        <v>Healthcare</v>
      </c>
      <c r="C591" t="str">
        <f>VLOOKUP(A591,'Remote work mental helath'!$A$2:$T$1001,7,)</f>
        <v>Hybrid</v>
      </c>
      <c r="D591">
        <f>VLOOKUP(A591,'Remote work mental helath'!$A$2:$T$1001,6,)</f>
        <v>17</v>
      </c>
      <c r="E591">
        <f>VLOOKUP(A591,'Remote work mental helath'!$A$2:$T$1001,8,)</f>
        <v>40</v>
      </c>
      <c r="F591">
        <f>VLOOKUP(A591,'Remote work mental helath'!$A$2:$T$1001,9,)</f>
        <v>15</v>
      </c>
    </row>
    <row r="592" spans="1:6" x14ac:dyDescent="0.3">
      <c r="A592" t="s">
        <v>641</v>
      </c>
      <c r="B592" t="str">
        <f>VLOOKUP(A592,'Remote work mental helath'!$A$2:$T$1001,5,)</f>
        <v>Healthcare</v>
      </c>
      <c r="C592" t="str">
        <f>VLOOKUP(A592,'Remote work mental helath'!$A$2:$T$1001,7,)</f>
        <v>Hybrid</v>
      </c>
      <c r="D592">
        <f>VLOOKUP(A592,'Remote work mental helath'!$A$2:$T$1001,6,)</f>
        <v>6</v>
      </c>
      <c r="E592">
        <f>VLOOKUP(A592,'Remote work mental helath'!$A$2:$T$1001,8,)</f>
        <v>49</v>
      </c>
      <c r="F592">
        <f>VLOOKUP(A592,'Remote work mental helath'!$A$2:$T$1001,9,)</f>
        <v>11</v>
      </c>
    </row>
    <row r="593" spans="1:6" x14ac:dyDescent="0.3">
      <c r="A593" t="s">
        <v>642</v>
      </c>
      <c r="B593" t="str">
        <f>VLOOKUP(A593,'Remote work mental helath'!$A$2:$T$1001,5,)</f>
        <v>Retail</v>
      </c>
      <c r="C593" t="str">
        <f>VLOOKUP(A593,'Remote work mental helath'!$A$2:$T$1001,7,)</f>
        <v>Remote</v>
      </c>
      <c r="D593">
        <f>VLOOKUP(A593,'Remote work mental helath'!$A$2:$T$1001,6,)</f>
        <v>8</v>
      </c>
      <c r="E593">
        <f>VLOOKUP(A593,'Remote work mental helath'!$A$2:$T$1001,8,)</f>
        <v>44</v>
      </c>
      <c r="F593">
        <f>VLOOKUP(A593,'Remote work mental helath'!$A$2:$T$1001,9,)</f>
        <v>14</v>
      </c>
    </row>
    <row r="594" spans="1:6" x14ac:dyDescent="0.3">
      <c r="A594" t="s">
        <v>643</v>
      </c>
      <c r="B594" t="str">
        <f>VLOOKUP(A594,'Remote work mental helath'!$A$2:$T$1001,5,)</f>
        <v>IT</v>
      </c>
      <c r="C594" t="str">
        <f>VLOOKUP(A594,'Remote work mental helath'!$A$2:$T$1001,7,)</f>
        <v>Remote</v>
      </c>
      <c r="D594">
        <f>VLOOKUP(A594,'Remote work mental helath'!$A$2:$T$1001,6,)</f>
        <v>10</v>
      </c>
      <c r="E594">
        <f>VLOOKUP(A594,'Remote work mental helath'!$A$2:$T$1001,8,)</f>
        <v>53</v>
      </c>
      <c r="F594">
        <f>VLOOKUP(A594,'Remote work mental helath'!$A$2:$T$1001,9,)</f>
        <v>13</v>
      </c>
    </row>
    <row r="595" spans="1:6" x14ac:dyDescent="0.3">
      <c r="A595" t="s">
        <v>644</v>
      </c>
      <c r="B595" t="str">
        <f>VLOOKUP(A595,'Remote work mental helath'!$A$2:$T$1001,5,)</f>
        <v>Healthcare</v>
      </c>
      <c r="C595" t="str">
        <f>VLOOKUP(A595,'Remote work mental helath'!$A$2:$T$1001,7,)</f>
        <v>Remote</v>
      </c>
      <c r="D595">
        <f>VLOOKUP(A595,'Remote work mental helath'!$A$2:$T$1001,6,)</f>
        <v>30</v>
      </c>
      <c r="E595">
        <f>VLOOKUP(A595,'Remote work mental helath'!$A$2:$T$1001,8,)</f>
        <v>28</v>
      </c>
      <c r="F595">
        <f>VLOOKUP(A595,'Remote work mental helath'!$A$2:$T$1001,9,)</f>
        <v>0</v>
      </c>
    </row>
    <row r="596" spans="1:6" x14ac:dyDescent="0.3">
      <c r="A596" t="s">
        <v>645</v>
      </c>
      <c r="B596" t="str">
        <f>VLOOKUP(A596,'Remote work mental helath'!$A$2:$T$1001,5,)</f>
        <v>Manufacturing</v>
      </c>
      <c r="C596" t="str">
        <f>VLOOKUP(A596,'Remote work mental helath'!$A$2:$T$1001,7,)</f>
        <v>Hybrid</v>
      </c>
      <c r="D596">
        <f>VLOOKUP(A596,'Remote work mental helath'!$A$2:$T$1001,6,)</f>
        <v>3</v>
      </c>
      <c r="E596">
        <f>VLOOKUP(A596,'Remote work mental helath'!$A$2:$T$1001,8,)</f>
        <v>53</v>
      </c>
      <c r="F596">
        <f>VLOOKUP(A596,'Remote work mental helath'!$A$2:$T$1001,9,)</f>
        <v>7</v>
      </c>
    </row>
    <row r="597" spans="1:6" x14ac:dyDescent="0.3">
      <c r="A597" t="s">
        <v>646</v>
      </c>
      <c r="B597" t="str">
        <f>VLOOKUP(A597,'Remote work mental helath'!$A$2:$T$1001,5,)</f>
        <v>Consulting</v>
      </c>
      <c r="C597" t="str">
        <f>VLOOKUP(A597,'Remote work mental helath'!$A$2:$T$1001,7,)</f>
        <v>Hybrid</v>
      </c>
      <c r="D597">
        <f>VLOOKUP(A597,'Remote work mental helath'!$A$2:$T$1001,6,)</f>
        <v>22</v>
      </c>
      <c r="E597">
        <f>VLOOKUP(A597,'Remote work mental helath'!$A$2:$T$1001,8,)</f>
        <v>54</v>
      </c>
      <c r="F597">
        <f>VLOOKUP(A597,'Remote work mental helath'!$A$2:$T$1001,9,)</f>
        <v>9</v>
      </c>
    </row>
    <row r="598" spans="1:6" x14ac:dyDescent="0.3">
      <c r="A598" t="s">
        <v>647</v>
      </c>
      <c r="B598" t="str">
        <f>VLOOKUP(A598,'Remote work mental helath'!$A$2:$T$1001,5,)</f>
        <v>IT</v>
      </c>
      <c r="C598" t="str">
        <f>VLOOKUP(A598,'Remote work mental helath'!$A$2:$T$1001,7,)</f>
        <v>Remote</v>
      </c>
      <c r="D598">
        <f>VLOOKUP(A598,'Remote work mental helath'!$A$2:$T$1001,6,)</f>
        <v>35</v>
      </c>
      <c r="E598">
        <f>VLOOKUP(A598,'Remote work mental helath'!$A$2:$T$1001,8,)</f>
        <v>23</v>
      </c>
      <c r="F598">
        <f>VLOOKUP(A598,'Remote work mental helath'!$A$2:$T$1001,9,)</f>
        <v>10</v>
      </c>
    </row>
    <row r="599" spans="1:6" x14ac:dyDescent="0.3">
      <c r="A599" t="s">
        <v>648</v>
      </c>
      <c r="B599" t="str">
        <f>VLOOKUP(A599,'Remote work mental helath'!$A$2:$T$1001,5,)</f>
        <v>Finance</v>
      </c>
      <c r="C599" t="str">
        <f>VLOOKUP(A599,'Remote work mental helath'!$A$2:$T$1001,7,)</f>
        <v>Remote</v>
      </c>
      <c r="D599">
        <f>VLOOKUP(A599,'Remote work mental helath'!$A$2:$T$1001,6,)</f>
        <v>19</v>
      </c>
      <c r="E599">
        <f>VLOOKUP(A599,'Remote work mental helath'!$A$2:$T$1001,8,)</f>
        <v>45</v>
      </c>
      <c r="F599">
        <f>VLOOKUP(A599,'Remote work mental helath'!$A$2:$T$1001,9,)</f>
        <v>12</v>
      </c>
    </row>
    <row r="600" spans="1:6" x14ac:dyDescent="0.3">
      <c r="A600" t="s">
        <v>649</v>
      </c>
      <c r="B600" t="str">
        <f>VLOOKUP(A600,'Remote work mental helath'!$A$2:$T$1001,5,)</f>
        <v>Finance</v>
      </c>
      <c r="C600" t="str">
        <f>VLOOKUP(A600,'Remote work mental helath'!$A$2:$T$1001,7,)</f>
        <v>Remote</v>
      </c>
      <c r="D600">
        <f>VLOOKUP(A600,'Remote work mental helath'!$A$2:$T$1001,6,)</f>
        <v>12</v>
      </c>
      <c r="E600">
        <f>VLOOKUP(A600,'Remote work mental helath'!$A$2:$T$1001,8,)</f>
        <v>59</v>
      </c>
      <c r="F600">
        <f>VLOOKUP(A600,'Remote work mental helath'!$A$2:$T$1001,9,)</f>
        <v>5</v>
      </c>
    </row>
    <row r="601" spans="1:6" x14ac:dyDescent="0.3">
      <c r="A601" t="s">
        <v>650</v>
      </c>
      <c r="B601" t="str">
        <f>VLOOKUP(A601,'Remote work mental helath'!$A$2:$T$1001,5,)</f>
        <v>Retail</v>
      </c>
      <c r="C601" t="str">
        <f>VLOOKUP(A601,'Remote work mental helath'!$A$2:$T$1001,7,)</f>
        <v>Hybrid</v>
      </c>
      <c r="D601">
        <f>VLOOKUP(A601,'Remote work mental helath'!$A$2:$T$1001,6,)</f>
        <v>31</v>
      </c>
      <c r="E601">
        <f>VLOOKUP(A601,'Remote work mental helath'!$A$2:$T$1001,8,)</f>
        <v>20</v>
      </c>
      <c r="F601">
        <f>VLOOKUP(A601,'Remote work mental helath'!$A$2:$T$1001,9,)</f>
        <v>1</v>
      </c>
    </row>
    <row r="602" spans="1:6" x14ac:dyDescent="0.3">
      <c r="A602" t="s">
        <v>651</v>
      </c>
      <c r="B602" t="str">
        <f>VLOOKUP(A602,'Remote work mental helath'!$A$2:$T$1001,5,)</f>
        <v>IT</v>
      </c>
      <c r="C602" t="str">
        <f>VLOOKUP(A602,'Remote work mental helath'!$A$2:$T$1001,7,)</f>
        <v>Hybrid</v>
      </c>
      <c r="D602">
        <f>VLOOKUP(A602,'Remote work mental helath'!$A$2:$T$1001,6,)</f>
        <v>22</v>
      </c>
      <c r="E602">
        <f>VLOOKUP(A602,'Remote work mental helath'!$A$2:$T$1001,8,)</f>
        <v>26</v>
      </c>
      <c r="F602">
        <f>VLOOKUP(A602,'Remote work mental helath'!$A$2:$T$1001,9,)</f>
        <v>11</v>
      </c>
    </row>
    <row r="603" spans="1:6" x14ac:dyDescent="0.3">
      <c r="A603" t="s">
        <v>652</v>
      </c>
      <c r="B603" t="str">
        <f>VLOOKUP(A603,'Remote work mental helath'!$A$2:$T$1001,5,)</f>
        <v>Retail</v>
      </c>
      <c r="C603" t="str">
        <f>VLOOKUP(A603,'Remote work mental helath'!$A$2:$T$1001,7,)</f>
        <v>Onsite</v>
      </c>
      <c r="D603">
        <f>VLOOKUP(A603,'Remote work mental helath'!$A$2:$T$1001,6,)</f>
        <v>34</v>
      </c>
      <c r="E603">
        <f>VLOOKUP(A603,'Remote work mental helath'!$A$2:$T$1001,8,)</f>
        <v>47</v>
      </c>
      <c r="F603">
        <f>VLOOKUP(A603,'Remote work mental helath'!$A$2:$T$1001,9,)</f>
        <v>6</v>
      </c>
    </row>
    <row r="604" spans="1:6" x14ac:dyDescent="0.3">
      <c r="A604" t="s">
        <v>653</v>
      </c>
      <c r="B604" t="str">
        <f>VLOOKUP(A604,'Remote work mental helath'!$A$2:$T$1001,5,)</f>
        <v>Healthcare</v>
      </c>
      <c r="C604" t="str">
        <f>VLOOKUP(A604,'Remote work mental helath'!$A$2:$T$1001,7,)</f>
        <v>Onsite</v>
      </c>
      <c r="D604">
        <f>VLOOKUP(A604,'Remote work mental helath'!$A$2:$T$1001,6,)</f>
        <v>11</v>
      </c>
      <c r="E604">
        <f>VLOOKUP(A604,'Remote work mental helath'!$A$2:$T$1001,8,)</f>
        <v>37</v>
      </c>
      <c r="F604">
        <f>VLOOKUP(A604,'Remote work mental helath'!$A$2:$T$1001,9,)</f>
        <v>3</v>
      </c>
    </row>
    <row r="605" spans="1:6" x14ac:dyDescent="0.3">
      <c r="A605" t="s">
        <v>654</v>
      </c>
      <c r="B605" t="str">
        <f>VLOOKUP(A605,'Remote work mental helath'!$A$2:$T$1001,5,)</f>
        <v>Retail</v>
      </c>
      <c r="C605" t="str">
        <f>VLOOKUP(A605,'Remote work mental helath'!$A$2:$T$1001,7,)</f>
        <v>Hybrid</v>
      </c>
      <c r="D605">
        <f>VLOOKUP(A605,'Remote work mental helath'!$A$2:$T$1001,6,)</f>
        <v>1</v>
      </c>
      <c r="E605">
        <f>VLOOKUP(A605,'Remote work mental helath'!$A$2:$T$1001,8,)</f>
        <v>25</v>
      </c>
      <c r="F605">
        <f>VLOOKUP(A605,'Remote work mental helath'!$A$2:$T$1001,9,)</f>
        <v>10</v>
      </c>
    </row>
    <row r="606" spans="1:6" x14ac:dyDescent="0.3">
      <c r="A606" t="s">
        <v>655</v>
      </c>
      <c r="B606" t="str">
        <f>VLOOKUP(A606,'Remote work mental helath'!$A$2:$T$1001,5,)</f>
        <v>Retail</v>
      </c>
      <c r="C606" t="str">
        <f>VLOOKUP(A606,'Remote work mental helath'!$A$2:$T$1001,7,)</f>
        <v>Hybrid</v>
      </c>
      <c r="D606">
        <f>VLOOKUP(A606,'Remote work mental helath'!$A$2:$T$1001,6,)</f>
        <v>35</v>
      </c>
      <c r="E606">
        <f>VLOOKUP(A606,'Remote work mental helath'!$A$2:$T$1001,8,)</f>
        <v>38</v>
      </c>
      <c r="F606">
        <f>VLOOKUP(A606,'Remote work mental helath'!$A$2:$T$1001,9,)</f>
        <v>11</v>
      </c>
    </row>
    <row r="607" spans="1:6" x14ac:dyDescent="0.3">
      <c r="A607" t="s">
        <v>656</v>
      </c>
      <c r="B607" t="str">
        <f>VLOOKUP(A607,'Remote work mental helath'!$A$2:$T$1001,5,)</f>
        <v>Education</v>
      </c>
      <c r="C607" t="str">
        <f>VLOOKUP(A607,'Remote work mental helath'!$A$2:$T$1001,7,)</f>
        <v>Remote</v>
      </c>
      <c r="D607">
        <f>VLOOKUP(A607,'Remote work mental helath'!$A$2:$T$1001,6,)</f>
        <v>9</v>
      </c>
      <c r="E607">
        <f>VLOOKUP(A607,'Remote work mental helath'!$A$2:$T$1001,8,)</f>
        <v>23</v>
      </c>
      <c r="F607">
        <f>VLOOKUP(A607,'Remote work mental helath'!$A$2:$T$1001,9,)</f>
        <v>0</v>
      </c>
    </row>
    <row r="608" spans="1:6" x14ac:dyDescent="0.3">
      <c r="A608" t="s">
        <v>657</v>
      </c>
      <c r="B608" t="str">
        <f>VLOOKUP(A608,'Remote work mental helath'!$A$2:$T$1001,5,)</f>
        <v>Retail</v>
      </c>
      <c r="C608" t="str">
        <f>VLOOKUP(A608,'Remote work mental helath'!$A$2:$T$1001,7,)</f>
        <v>Hybrid</v>
      </c>
      <c r="D608">
        <f>VLOOKUP(A608,'Remote work mental helath'!$A$2:$T$1001,6,)</f>
        <v>21</v>
      </c>
      <c r="E608">
        <f>VLOOKUP(A608,'Remote work mental helath'!$A$2:$T$1001,8,)</f>
        <v>49</v>
      </c>
      <c r="F608">
        <f>VLOOKUP(A608,'Remote work mental helath'!$A$2:$T$1001,9,)</f>
        <v>13</v>
      </c>
    </row>
    <row r="609" spans="1:6" x14ac:dyDescent="0.3">
      <c r="A609" t="s">
        <v>658</v>
      </c>
      <c r="B609" t="str">
        <f>VLOOKUP(A609,'Remote work mental helath'!$A$2:$T$1001,5,)</f>
        <v>Healthcare</v>
      </c>
      <c r="C609" t="str">
        <f>VLOOKUP(A609,'Remote work mental helath'!$A$2:$T$1001,7,)</f>
        <v>Onsite</v>
      </c>
      <c r="D609">
        <f>VLOOKUP(A609,'Remote work mental helath'!$A$2:$T$1001,6,)</f>
        <v>13</v>
      </c>
      <c r="E609">
        <f>VLOOKUP(A609,'Remote work mental helath'!$A$2:$T$1001,8,)</f>
        <v>44</v>
      </c>
      <c r="F609">
        <f>VLOOKUP(A609,'Remote work mental helath'!$A$2:$T$1001,9,)</f>
        <v>6</v>
      </c>
    </row>
    <row r="610" spans="1:6" x14ac:dyDescent="0.3">
      <c r="A610" t="s">
        <v>659</v>
      </c>
      <c r="B610" t="str">
        <f>VLOOKUP(A610,'Remote work mental helath'!$A$2:$T$1001,5,)</f>
        <v>Education</v>
      </c>
      <c r="C610" t="str">
        <f>VLOOKUP(A610,'Remote work mental helath'!$A$2:$T$1001,7,)</f>
        <v>Hybrid</v>
      </c>
      <c r="D610">
        <f>VLOOKUP(A610,'Remote work mental helath'!$A$2:$T$1001,6,)</f>
        <v>10</v>
      </c>
      <c r="E610">
        <f>VLOOKUP(A610,'Remote work mental helath'!$A$2:$T$1001,8,)</f>
        <v>34</v>
      </c>
      <c r="F610">
        <f>VLOOKUP(A610,'Remote work mental helath'!$A$2:$T$1001,9,)</f>
        <v>13</v>
      </c>
    </row>
    <row r="611" spans="1:6" x14ac:dyDescent="0.3">
      <c r="A611" t="s">
        <v>660</v>
      </c>
      <c r="B611" t="str">
        <f>VLOOKUP(A611,'Remote work mental helath'!$A$2:$T$1001,5,)</f>
        <v>Finance</v>
      </c>
      <c r="C611" t="str">
        <f>VLOOKUP(A611,'Remote work mental helath'!$A$2:$T$1001,7,)</f>
        <v>Hybrid</v>
      </c>
      <c r="D611">
        <f>VLOOKUP(A611,'Remote work mental helath'!$A$2:$T$1001,6,)</f>
        <v>13</v>
      </c>
      <c r="E611">
        <f>VLOOKUP(A611,'Remote work mental helath'!$A$2:$T$1001,8,)</f>
        <v>36</v>
      </c>
      <c r="F611">
        <f>VLOOKUP(A611,'Remote work mental helath'!$A$2:$T$1001,9,)</f>
        <v>2</v>
      </c>
    </row>
    <row r="612" spans="1:6" x14ac:dyDescent="0.3">
      <c r="A612" t="s">
        <v>661</v>
      </c>
      <c r="B612" t="str">
        <f>VLOOKUP(A612,'Remote work mental helath'!$A$2:$T$1001,5,)</f>
        <v>Healthcare</v>
      </c>
      <c r="C612" t="str">
        <f>VLOOKUP(A612,'Remote work mental helath'!$A$2:$T$1001,7,)</f>
        <v>Hybrid</v>
      </c>
      <c r="D612">
        <f>VLOOKUP(A612,'Remote work mental helath'!$A$2:$T$1001,6,)</f>
        <v>30</v>
      </c>
      <c r="E612">
        <f>VLOOKUP(A612,'Remote work mental helath'!$A$2:$T$1001,8,)</f>
        <v>44</v>
      </c>
      <c r="F612">
        <f>VLOOKUP(A612,'Remote work mental helath'!$A$2:$T$1001,9,)</f>
        <v>15</v>
      </c>
    </row>
    <row r="613" spans="1:6" x14ac:dyDescent="0.3">
      <c r="A613" t="s">
        <v>662</v>
      </c>
      <c r="B613" t="str">
        <f>VLOOKUP(A613,'Remote work mental helath'!$A$2:$T$1001,5,)</f>
        <v>IT</v>
      </c>
      <c r="C613" t="str">
        <f>VLOOKUP(A613,'Remote work mental helath'!$A$2:$T$1001,7,)</f>
        <v>Hybrid</v>
      </c>
      <c r="D613">
        <f>VLOOKUP(A613,'Remote work mental helath'!$A$2:$T$1001,6,)</f>
        <v>6</v>
      </c>
      <c r="E613">
        <f>VLOOKUP(A613,'Remote work mental helath'!$A$2:$T$1001,8,)</f>
        <v>27</v>
      </c>
      <c r="F613">
        <f>VLOOKUP(A613,'Remote work mental helath'!$A$2:$T$1001,9,)</f>
        <v>10</v>
      </c>
    </row>
    <row r="614" spans="1:6" x14ac:dyDescent="0.3">
      <c r="A614" t="s">
        <v>663</v>
      </c>
      <c r="B614" t="str">
        <f>VLOOKUP(A614,'Remote work mental helath'!$A$2:$T$1001,5,)</f>
        <v>Consulting</v>
      </c>
      <c r="C614" t="str">
        <f>VLOOKUP(A614,'Remote work mental helath'!$A$2:$T$1001,7,)</f>
        <v>Remote</v>
      </c>
      <c r="D614">
        <f>VLOOKUP(A614,'Remote work mental helath'!$A$2:$T$1001,6,)</f>
        <v>35</v>
      </c>
      <c r="E614">
        <f>VLOOKUP(A614,'Remote work mental helath'!$A$2:$T$1001,8,)</f>
        <v>54</v>
      </c>
      <c r="F614">
        <f>VLOOKUP(A614,'Remote work mental helath'!$A$2:$T$1001,9,)</f>
        <v>15</v>
      </c>
    </row>
    <row r="615" spans="1:6" x14ac:dyDescent="0.3">
      <c r="A615" t="s">
        <v>664</v>
      </c>
      <c r="B615" t="str">
        <f>VLOOKUP(A615,'Remote work mental helath'!$A$2:$T$1001,5,)</f>
        <v>Finance</v>
      </c>
      <c r="C615" t="str">
        <f>VLOOKUP(A615,'Remote work mental helath'!$A$2:$T$1001,7,)</f>
        <v>Hybrid</v>
      </c>
      <c r="D615">
        <f>VLOOKUP(A615,'Remote work mental helath'!$A$2:$T$1001,6,)</f>
        <v>8</v>
      </c>
      <c r="E615">
        <f>VLOOKUP(A615,'Remote work mental helath'!$A$2:$T$1001,8,)</f>
        <v>46</v>
      </c>
      <c r="F615">
        <f>VLOOKUP(A615,'Remote work mental helath'!$A$2:$T$1001,9,)</f>
        <v>9</v>
      </c>
    </row>
    <row r="616" spans="1:6" x14ac:dyDescent="0.3">
      <c r="A616" t="s">
        <v>665</v>
      </c>
      <c r="B616" t="str">
        <f>VLOOKUP(A616,'Remote work mental helath'!$A$2:$T$1001,5,)</f>
        <v>Finance</v>
      </c>
      <c r="C616" t="str">
        <f>VLOOKUP(A616,'Remote work mental helath'!$A$2:$T$1001,7,)</f>
        <v>Remote</v>
      </c>
      <c r="D616">
        <f>VLOOKUP(A616,'Remote work mental helath'!$A$2:$T$1001,6,)</f>
        <v>20</v>
      </c>
      <c r="E616">
        <f>VLOOKUP(A616,'Remote work mental helath'!$A$2:$T$1001,8,)</f>
        <v>60</v>
      </c>
      <c r="F616">
        <f>VLOOKUP(A616,'Remote work mental helath'!$A$2:$T$1001,9,)</f>
        <v>11</v>
      </c>
    </row>
    <row r="617" spans="1:6" x14ac:dyDescent="0.3">
      <c r="A617" t="s">
        <v>666</v>
      </c>
      <c r="B617" t="str">
        <f>VLOOKUP(A617,'Remote work mental helath'!$A$2:$T$1001,5,)</f>
        <v>Retail</v>
      </c>
      <c r="C617" t="str">
        <f>VLOOKUP(A617,'Remote work mental helath'!$A$2:$T$1001,7,)</f>
        <v>Hybrid</v>
      </c>
      <c r="D617">
        <f>VLOOKUP(A617,'Remote work mental helath'!$A$2:$T$1001,6,)</f>
        <v>30</v>
      </c>
      <c r="E617">
        <f>VLOOKUP(A617,'Remote work mental helath'!$A$2:$T$1001,8,)</f>
        <v>27</v>
      </c>
      <c r="F617">
        <f>VLOOKUP(A617,'Remote work mental helath'!$A$2:$T$1001,9,)</f>
        <v>15</v>
      </c>
    </row>
    <row r="618" spans="1:6" x14ac:dyDescent="0.3">
      <c r="A618" t="s">
        <v>667</v>
      </c>
      <c r="B618" t="str">
        <f>VLOOKUP(A618,'Remote work mental helath'!$A$2:$T$1001,5,)</f>
        <v>Healthcare</v>
      </c>
      <c r="C618" t="str">
        <f>VLOOKUP(A618,'Remote work mental helath'!$A$2:$T$1001,7,)</f>
        <v>Onsite</v>
      </c>
      <c r="D618">
        <f>VLOOKUP(A618,'Remote work mental helath'!$A$2:$T$1001,6,)</f>
        <v>34</v>
      </c>
      <c r="E618">
        <f>VLOOKUP(A618,'Remote work mental helath'!$A$2:$T$1001,8,)</f>
        <v>45</v>
      </c>
      <c r="F618">
        <f>VLOOKUP(A618,'Remote work mental helath'!$A$2:$T$1001,9,)</f>
        <v>7</v>
      </c>
    </row>
    <row r="619" spans="1:6" x14ac:dyDescent="0.3">
      <c r="A619" t="s">
        <v>668</v>
      </c>
      <c r="B619" t="str">
        <f>VLOOKUP(A619,'Remote work mental helath'!$A$2:$T$1001,5,)</f>
        <v>Education</v>
      </c>
      <c r="C619" t="str">
        <f>VLOOKUP(A619,'Remote work mental helath'!$A$2:$T$1001,7,)</f>
        <v>Remote</v>
      </c>
      <c r="D619">
        <f>VLOOKUP(A619,'Remote work mental helath'!$A$2:$T$1001,6,)</f>
        <v>10</v>
      </c>
      <c r="E619">
        <f>VLOOKUP(A619,'Remote work mental helath'!$A$2:$T$1001,8,)</f>
        <v>36</v>
      </c>
      <c r="F619">
        <f>VLOOKUP(A619,'Remote work mental helath'!$A$2:$T$1001,9,)</f>
        <v>13</v>
      </c>
    </row>
    <row r="620" spans="1:6" x14ac:dyDescent="0.3">
      <c r="A620" t="s">
        <v>669</v>
      </c>
      <c r="B620" t="str">
        <f>VLOOKUP(A620,'Remote work mental helath'!$A$2:$T$1001,5,)</f>
        <v>Retail</v>
      </c>
      <c r="C620" t="str">
        <f>VLOOKUP(A620,'Remote work mental helath'!$A$2:$T$1001,7,)</f>
        <v>Onsite</v>
      </c>
      <c r="D620">
        <f>VLOOKUP(A620,'Remote work mental helath'!$A$2:$T$1001,6,)</f>
        <v>26</v>
      </c>
      <c r="E620">
        <f>VLOOKUP(A620,'Remote work mental helath'!$A$2:$T$1001,8,)</f>
        <v>42</v>
      </c>
      <c r="F620">
        <f>VLOOKUP(A620,'Remote work mental helath'!$A$2:$T$1001,9,)</f>
        <v>14</v>
      </c>
    </row>
    <row r="621" spans="1:6" x14ac:dyDescent="0.3">
      <c r="A621" t="s">
        <v>670</v>
      </c>
      <c r="B621" t="str">
        <f>VLOOKUP(A621,'Remote work mental helath'!$A$2:$T$1001,5,)</f>
        <v>Consulting</v>
      </c>
      <c r="C621" t="str">
        <f>VLOOKUP(A621,'Remote work mental helath'!$A$2:$T$1001,7,)</f>
        <v>Onsite</v>
      </c>
      <c r="D621">
        <f>VLOOKUP(A621,'Remote work mental helath'!$A$2:$T$1001,6,)</f>
        <v>14</v>
      </c>
      <c r="E621">
        <f>VLOOKUP(A621,'Remote work mental helath'!$A$2:$T$1001,8,)</f>
        <v>27</v>
      </c>
      <c r="F621">
        <f>VLOOKUP(A621,'Remote work mental helath'!$A$2:$T$1001,9,)</f>
        <v>1</v>
      </c>
    </row>
    <row r="622" spans="1:6" x14ac:dyDescent="0.3">
      <c r="A622" t="s">
        <v>671</v>
      </c>
      <c r="B622" t="str">
        <f>VLOOKUP(A622,'Remote work mental helath'!$A$2:$T$1001,5,)</f>
        <v>Education</v>
      </c>
      <c r="C622" t="str">
        <f>VLOOKUP(A622,'Remote work mental helath'!$A$2:$T$1001,7,)</f>
        <v>Hybrid</v>
      </c>
      <c r="D622">
        <f>VLOOKUP(A622,'Remote work mental helath'!$A$2:$T$1001,6,)</f>
        <v>21</v>
      </c>
      <c r="E622">
        <f>VLOOKUP(A622,'Remote work mental helath'!$A$2:$T$1001,8,)</f>
        <v>28</v>
      </c>
      <c r="F622">
        <f>VLOOKUP(A622,'Remote work mental helath'!$A$2:$T$1001,9,)</f>
        <v>5</v>
      </c>
    </row>
    <row r="623" spans="1:6" x14ac:dyDescent="0.3">
      <c r="A623" t="s">
        <v>672</v>
      </c>
      <c r="B623" t="str">
        <f>VLOOKUP(A623,'Remote work mental helath'!$A$2:$T$1001,5,)</f>
        <v>IT</v>
      </c>
      <c r="C623" t="str">
        <f>VLOOKUP(A623,'Remote work mental helath'!$A$2:$T$1001,7,)</f>
        <v>Remote</v>
      </c>
      <c r="D623">
        <f>VLOOKUP(A623,'Remote work mental helath'!$A$2:$T$1001,6,)</f>
        <v>30</v>
      </c>
      <c r="E623">
        <f>VLOOKUP(A623,'Remote work mental helath'!$A$2:$T$1001,8,)</f>
        <v>56</v>
      </c>
      <c r="F623">
        <f>VLOOKUP(A623,'Remote work mental helath'!$A$2:$T$1001,9,)</f>
        <v>15</v>
      </c>
    </row>
    <row r="624" spans="1:6" x14ac:dyDescent="0.3">
      <c r="A624" t="s">
        <v>673</v>
      </c>
      <c r="B624" t="str">
        <f>VLOOKUP(A624,'Remote work mental helath'!$A$2:$T$1001,5,)</f>
        <v>IT</v>
      </c>
      <c r="C624" t="str">
        <f>VLOOKUP(A624,'Remote work mental helath'!$A$2:$T$1001,7,)</f>
        <v>Hybrid</v>
      </c>
      <c r="D624">
        <f>VLOOKUP(A624,'Remote work mental helath'!$A$2:$T$1001,6,)</f>
        <v>11</v>
      </c>
      <c r="E624">
        <f>VLOOKUP(A624,'Remote work mental helath'!$A$2:$T$1001,8,)</f>
        <v>22</v>
      </c>
      <c r="F624">
        <f>VLOOKUP(A624,'Remote work mental helath'!$A$2:$T$1001,9,)</f>
        <v>11</v>
      </c>
    </row>
    <row r="625" spans="1:6" x14ac:dyDescent="0.3">
      <c r="A625" t="s">
        <v>674</v>
      </c>
      <c r="B625" t="str">
        <f>VLOOKUP(A625,'Remote work mental helath'!$A$2:$T$1001,5,)</f>
        <v>Manufacturing</v>
      </c>
      <c r="C625" t="str">
        <f>VLOOKUP(A625,'Remote work mental helath'!$A$2:$T$1001,7,)</f>
        <v>Hybrid</v>
      </c>
      <c r="D625">
        <f>VLOOKUP(A625,'Remote work mental helath'!$A$2:$T$1001,6,)</f>
        <v>23</v>
      </c>
      <c r="E625">
        <f>VLOOKUP(A625,'Remote work mental helath'!$A$2:$T$1001,8,)</f>
        <v>23</v>
      </c>
      <c r="F625">
        <f>VLOOKUP(A625,'Remote work mental helath'!$A$2:$T$1001,9,)</f>
        <v>5</v>
      </c>
    </row>
    <row r="626" spans="1:6" x14ac:dyDescent="0.3">
      <c r="A626" t="s">
        <v>675</v>
      </c>
      <c r="B626" t="str">
        <f>VLOOKUP(A626,'Remote work mental helath'!$A$2:$T$1001,5,)</f>
        <v>Manufacturing</v>
      </c>
      <c r="C626" t="str">
        <f>VLOOKUP(A626,'Remote work mental helath'!$A$2:$T$1001,7,)</f>
        <v>Remote</v>
      </c>
      <c r="D626">
        <f>VLOOKUP(A626,'Remote work mental helath'!$A$2:$T$1001,6,)</f>
        <v>1</v>
      </c>
      <c r="E626">
        <f>VLOOKUP(A626,'Remote work mental helath'!$A$2:$T$1001,8,)</f>
        <v>53</v>
      </c>
      <c r="F626">
        <f>VLOOKUP(A626,'Remote work mental helath'!$A$2:$T$1001,9,)</f>
        <v>2</v>
      </c>
    </row>
    <row r="627" spans="1:6" x14ac:dyDescent="0.3">
      <c r="A627" t="s">
        <v>676</v>
      </c>
      <c r="B627" t="str">
        <f>VLOOKUP(A627,'Remote work mental helath'!$A$2:$T$1001,5,)</f>
        <v>Finance</v>
      </c>
      <c r="C627" t="str">
        <f>VLOOKUP(A627,'Remote work mental helath'!$A$2:$T$1001,7,)</f>
        <v>Remote</v>
      </c>
      <c r="D627">
        <f>VLOOKUP(A627,'Remote work mental helath'!$A$2:$T$1001,6,)</f>
        <v>20</v>
      </c>
      <c r="E627">
        <f>VLOOKUP(A627,'Remote work mental helath'!$A$2:$T$1001,8,)</f>
        <v>38</v>
      </c>
      <c r="F627">
        <f>VLOOKUP(A627,'Remote work mental helath'!$A$2:$T$1001,9,)</f>
        <v>6</v>
      </c>
    </row>
    <row r="628" spans="1:6" x14ac:dyDescent="0.3">
      <c r="A628" t="s">
        <v>677</v>
      </c>
      <c r="B628" t="str">
        <f>VLOOKUP(A628,'Remote work mental helath'!$A$2:$T$1001,5,)</f>
        <v>Finance</v>
      </c>
      <c r="C628" t="str">
        <f>VLOOKUP(A628,'Remote work mental helath'!$A$2:$T$1001,7,)</f>
        <v>Onsite</v>
      </c>
      <c r="D628">
        <f>VLOOKUP(A628,'Remote work mental helath'!$A$2:$T$1001,6,)</f>
        <v>1</v>
      </c>
      <c r="E628">
        <f>VLOOKUP(A628,'Remote work mental helath'!$A$2:$T$1001,8,)</f>
        <v>47</v>
      </c>
      <c r="F628">
        <f>VLOOKUP(A628,'Remote work mental helath'!$A$2:$T$1001,9,)</f>
        <v>8</v>
      </c>
    </row>
    <row r="629" spans="1:6" x14ac:dyDescent="0.3">
      <c r="A629" t="s">
        <v>678</v>
      </c>
      <c r="B629" t="str">
        <f>VLOOKUP(A629,'Remote work mental helath'!$A$2:$T$1001,5,)</f>
        <v>Consulting</v>
      </c>
      <c r="C629" t="str">
        <f>VLOOKUP(A629,'Remote work mental helath'!$A$2:$T$1001,7,)</f>
        <v>Remote</v>
      </c>
      <c r="D629">
        <f>VLOOKUP(A629,'Remote work mental helath'!$A$2:$T$1001,6,)</f>
        <v>31</v>
      </c>
      <c r="E629">
        <f>VLOOKUP(A629,'Remote work mental helath'!$A$2:$T$1001,8,)</f>
        <v>51</v>
      </c>
      <c r="F629">
        <f>VLOOKUP(A629,'Remote work mental helath'!$A$2:$T$1001,9,)</f>
        <v>14</v>
      </c>
    </row>
    <row r="630" spans="1:6" x14ac:dyDescent="0.3">
      <c r="A630" t="s">
        <v>679</v>
      </c>
      <c r="B630" t="str">
        <f>VLOOKUP(A630,'Remote work mental helath'!$A$2:$T$1001,5,)</f>
        <v>Retail</v>
      </c>
      <c r="C630" t="str">
        <f>VLOOKUP(A630,'Remote work mental helath'!$A$2:$T$1001,7,)</f>
        <v>Hybrid</v>
      </c>
      <c r="D630">
        <f>VLOOKUP(A630,'Remote work mental helath'!$A$2:$T$1001,6,)</f>
        <v>28</v>
      </c>
      <c r="E630">
        <f>VLOOKUP(A630,'Remote work mental helath'!$A$2:$T$1001,8,)</f>
        <v>48</v>
      </c>
      <c r="F630">
        <f>VLOOKUP(A630,'Remote work mental helath'!$A$2:$T$1001,9,)</f>
        <v>6</v>
      </c>
    </row>
    <row r="631" spans="1:6" x14ac:dyDescent="0.3">
      <c r="A631" t="s">
        <v>680</v>
      </c>
      <c r="B631" t="str">
        <f>VLOOKUP(A631,'Remote work mental helath'!$A$2:$T$1001,5,)</f>
        <v>Healthcare</v>
      </c>
      <c r="C631" t="str">
        <f>VLOOKUP(A631,'Remote work mental helath'!$A$2:$T$1001,7,)</f>
        <v>Hybrid</v>
      </c>
      <c r="D631">
        <f>VLOOKUP(A631,'Remote work mental helath'!$A$2:$T$1001,6,)</f>
        <v>11</v>
      </c>
      <c r="E631">
        <f>VLOOKUP(A631,'Remote work mental helath'!$A$2:$T$1001,8,)</f>
        <v>28</v>
      </c>
      <c r="F631">
        <f>VLOOKUP(A631,'Remote work mental helath'!$A$2:$T$1001,9,)</f>
        <v>13</v>
      </c>
    </row>
    <row r="632" spans="1:6" x14ac:dyDescent="0.3">
      <c r="A632" t="s">
        <v>681</v>
      </c>
      <c r="B632" t="str">
        <f>VLOOKUP(A632,'Remote work mental helath'!$A$2:$T$1001,5,)</f>
        <v>Healthcare</v>
      </c>
      <c r="C632" t="str">
        <f>VLOOKUP(A632,'Remote work mental helath'!$A$2:$T$1001,7,)</f>
        <v>Onsite</v>
      </c>
      <c r="D632">
        <f>VLOOKUP(A632,'Remote work mental helath'!$A$2:$T$1001,6,)</f>
        <v>18</v>
      </c>
      <c r="E632">
        <f>VLOOKUP(A632,'Remote work mental helath'!$A$2:$T$1001,8,)</f>
        <v>49</v>
      </c>
      <c r="F632">
        <f>VLOOKUP(A632,'Remote work mental helath'!$A$2:$T$1001,9,)</f>
        <v>14</v>
      </c>
    </row>
    <row r="633" spans="1:6" x14ac:dyDescent="0.3">
      <c r="A633" t="s">
        <v>682</v>
      </c>
      <c r="B633" t="str">
        <f>VLOOKUP(A633,'Remote work mental helath'!$A$2:$T$1001,5,)</f>
        <v>Finance</v>
      </c>
      <c r="C633" t="str">
        <f>VLOOKUP(A633,'Remote work mental helath'!$A$2:$T$1001,7,)</f>
        <v>Hybrid</v>
      </c>
      <c r="D633">
        <f>VLOOKUP(A633,'Remote work mental helath'!$A$2:$T$1001,6,)</f>
        <v>13</v>
      </c>
      <c r="E633">
        <f>VLOOKUP(A633,'Remote work mental helath'!$A$2:$T$1001,8,)</f>
        <v>56</v>
      </c>
      <c r="F633">
        <f>VLOOKUP(A633,'Remote work mental helath'!$A$2:$T$1001,9,)</f>
        <v>1</v>
      </c>
    </row>
    <row r="634" spans="1:6" x14ac:dyDescent="0.3">
      <c r="A634" t="s">
        <v>683</v>
      </c>
      <c r="B634" t="str">
        <f>VLOOKUP(A634,'Remote work mental helath'!$A$2:$T$1001,5,)</f>
        <v>Finance</v>
      </c>
      <c r="C634" t="str">
        <f>VLOOKUP(A634,'Remote work mental helath'!$A$2:$T$1001,7,)</f>
        <v>Remote</v>
      </c>
      <c r="D634">
        <f>VLOOKUP(A634,'Remote work mental helath'!$A$2:$T$1001,6,)</f>
        <v>7</v>
      </c>
      <c r="E634">
        <f>VLOOKUP(A634,'Remote work mental helath'!$A$2:$T$1001,8,)</f>
        <v>38</v>
      </c>
      <c r="F634">
        <f>VLOOKUP(A634,'Remote work mental helath'!$A$2:$T$1001,9,)</f>
        <v>1</v>
      </c>
    </row>
    <row r="635" spans="1:6" x14ac:dyDescent="0.3">
      <c r="A635" t="s">
        <v>684</v>
      </c>
      <c r="B635" t="str">
        <f>VLOOKUP(A635,'Remote work mental helath'!$A$2:$T$1001,5,)</f>
        <v>Healthcare</v>
      </c>
      <c r="C635" t="str">
        <f>VLOOKUP(A635,'Remote work mental helath'!$A$2:$T$1001,7,)</f>
        <v>Onsite</v>
      </c>
      <c r="D635">
        <f>VLOOKUP(A635,'Remote work mental helath'!$A$2:$T$1001,6,)</f>
        <v>26</v>
      </c>
      <c r="E635">
        <f>VLOOKUP(A635,'Remote work mental helath'!$A$2:$T$1001,8,)</f>
        <v>46</v>
      </c>
      <c r="F635">
        <f>VLOOKUP(A635,'Remote work mental helath'!$A$2:$T$1001,9,)</f>
        <v>0</v>
      </c>
    </row>
    <row r="636" spans="1:6" x14ac:dyDescent="0.3">
      <c r="A636" t="s">
        <v>685</v>
      </c>
      <c r="B636" t="str">
        <f>VLOOKUP(A636,'Remote work mental helath'!$A$2:$T$1001,5,)</f>
        <v>Healthcare</v>
      </c>
      <c r="C636" t="str">
        <f>VLOOKUP(A636,'Remote work mental helath'!$A$2:$T$1001,7,)</f>
        <v>Hybrid</v>
      </c>
      <c r="D636">
        <f>VLOOKUP(A636,'Remote work mental helath'!$A$2:$T$1001,6,)</f>
        <v>7</v>
      </c>
      <c r="E636">
        <f>VLOOKUP(A636,'Remote work mental helath'!$A$2:$T$1001,8,)</f>
        <v>32</v>
      </c>
      <c r="F636">
        <f>VLOOKUP(A636,'Remote work mental helath'!$A$2:$T$1001,9,)</f>
        <v>3</v>
      </c>
    </row>
    <row r="637" spans="1:6" x14ac:dyDescent="0.3">
      <c r="A637" t="s">
        <v>686</v>
      </c>
      <c r="B637" t="str">
        <f>VLOOKUP(A637,'Remote work mental helath'!$A$2:$T$1001,5,)</f>
        <v>Retail</v>
      </c>
      <c r="C637" t="str">
        <f>VLOOKUP(A637,'Remote work mental helath'!$A$2:$T$1001,7,)</f>
        <v>Onsite</v>
      </c>
      <c r="D637">
        <f>VLOOKUP(A637,'Remote work mental helath'!$A$2:$T$1001,6,)</f>
        <v>16</v>
      </c>
      <c r="E637">
        <f>VLOOKUP(A637,'Remote work mental helath'!$A$2:$T$1001,8,)</f>
        <v>52</v>
      </c>
      <c r="F637">
        <f>VLOOKUP(A637,'Remote work mental helath'!$A$2:$T$1001,9,)</f>
        <v>1</v>
      </c>
    </row>
    <row r="638" spans="1:6" x14ac:dyDescent="0.3">
      <c r="A638" t="s">
        <v>687</v>
      </c>
      <c r="B638" t="str">
        <f>VLOOKUP(A638,'Remote work mental helath'!$A$2:$T$1001,5,)</f>
        <v>Finance</v>
      </c>
      <c r="C638" t="str">
        <f>VLOOKUP(A638,'Remote work mental helath'!$A$2:$T$1001,7,)</f>
        <v>Hybrid</v>
      </c>
      <c r="D638">
        <f>VLOOKUP(A638,'Remote work mental helath'!$A$2:$T$1001,6,)</f>
        <v>16</v>
      </c>
      <c r="E638">
        <f>VLOOKUP(A638,'Remote work mental helath'!$A$2:$T$1001,8,)</f>
        <v>48</v>
      </c>
      <c r="F638">
        <f>VLOOKUP(A638,'Remote work mental helath'!$A$2:$T$1001,9,)</f>
        <v>13</v>
      </c>
    </row>
    <row r="639" spans="1:6" x14ac:dyDescent="0.3">
      <c r="A639" t="s">
        <v>688</v>
      </c>
      <c r="B639" t="str">
        <f>VLOOKUP(A639,'Remote work mental helath'!$A$2:$T$1001,5,)</f>
        <v>Manufacturing</v>
      </c>
      <c r="C639" t="str">
        <f>VLOOKUP(A639,'Remote work mental helath'!$A$2:$T$1001,7,)</f>
        <v>Remote</v>
      </c>
      <c r="D639">
        <f>VLOOKUP(A639,'Remote work mental helath'!$A$2:$T$1001,6,)</f>
        <v>19</v>
      </c>
      <c r="E639">
        <f>VLOOKUP(A639,'Remote work mental helath'!$A$2:$T$1001,8,)</f>
        <v>38</v>
      </c>
      <c r="F639">
        <f>VLOOKUP(A639,'Remote work mental helath'!$A$2:$T$1001,9,)</f>
        <v>0</v>
      </c>
    </row>
    <row r="640" spans="1:6" x14ac:dyDescent="0.3">
      <c r="A640" t="s">
        <v>689</v>
      </c>
      <c r="B640" t="str">
        <f>VLOOKUP(A640,'Remote work mental helath'!$A$2:$T$1001,5,)</f>
        <v>Finance</v>
      </c>
      <c r="C640" t="str">
        <f>VLOOKUP(A640,'Remote work mental helath'!$A$2:$T$1001,7,)</f>
        <v>Hybrid</v>
      </c>
      <c r="D640">
        <f>VLOOKUP(A640,'Remote work mental helath'!$A$2:$T$1001,6,)</f>
        <v>16</v>
      </c>
      <c r="E640">
        <f>VLOOKUP(A640,'Remote work mental helath'!$A$2:$T$1001,8,)</f>
        <v>25</v>
      </c>
      <c r="F640">
        <f>VLOOKUP(A640,'Remote work mental helath'!$A$2:$T$1001,9,)</f>
        <v>2</v>
      </c>
    </row>
    <row r="641" spans="1:6" x14ac:dyDescent="0.3">
      <c r="A641" t="s">
        <v>690</v>
      </c>
      <c r="B641" t="str">
        <f>VLOOKUP(A641,'Remote work mental helath'!$A$2:$T$1001,5,)</f>
        <v>Manufacturing</v>
      </c>
      <c r="C641" t="str">
        <f>VLOOKUP(A641,'Remote work mental helath'!$A$2:$T$1001,7,)</f>
        <v>Hybrid</v>
      </c>
      <c r="D641">
        <f>VLOOKUP(A641,'Remote work mental helath'!$A$2:$T$1001,6,)</f>
        <v>20</v>
      </c>
      <c r="E641">
        <f>VLOOKUP(A641,'Remote work mental helath'!$A$2:$T$1001,8,)</f>
        <v>27</v>
      </c>
      <c r="F641">
        <f>VLOOKUP(A641,'Remote work mental helath'!$A$2:$T$1001,9,)</f>
        <v>10</v>
      </c>
    </row>
    <row r="642" spans="1:6" x14ac:dyDescent="0.3">
      <c r="A642" t="s">
        <v>691</v>
      </c>
      <c r="B642" t="str">
        <f>VLOOKUP(A642,'Remote work mental helath'!$A$2:$T$1001,5,)</f>
        <v>Finance</v>
      </c>
      <c r="C642" t="str">
        <f>VLOOKUP(A642,'Remote work mental helath'!$A$2:$T$1001,7,)</f>
        <v>Hybrid</v>
      </c>
      <c r="D642">
        <f>VLOOKUP(A642,'Remote work mental helath'!$A$2:$T$1001,6,)</f>
        <v>31</v>
      </c>
      <c r="E642">
        <f>VLOOKUP(A642,'Remote work mental helath'!$A$2:$T$1001,8,)</f>
        <v>28</v>
      </c>
      <c r="F642">
        <f>VLOOKUP(A642,'Remote work mental helath'!$A$2:$T$1001,9,)</f>
        <v>3</v>
      </c>
    </row>
    <row r="643" spans="1:6" x14ac:dyDescent="0.3">
      <c r="A643" t="s">
        <v>692</v>
      </c>
      <c r="B643" t="str">
        <f>VLOOKUP(A643,'Remote work mental helath'!$A$2:$T$1001,5,)</f>
        <v>Retail</v>
      </c>
      <c r="C643" t="str">
        <f>VLOOKUP(A643,'Remote work mental helath'!$A$2:$T$1001,7,)</f>
        <v>Onsite</v>
      </c>
      <c r="D643">
        <f>VLOOKUP(A643,'Remote work mental helath'!$A$2:$T$1001,6,)</f>
        <v>15</v>
      </c>
      <c r="E643">
        <f>VLOOKUP(A643,'Remote work mental helath'!$A$2:$T$1001,8,)</f>
        <v>36</v>
      </c>
      <c r="F643">
        <f>VLOOKUP(A643,'Remote work mental helath'!$A$2:$T$1001,9,)</f>
        <v>6</v>
      </c>
    </row>
    <row r="644" spans="1:6" x14ac:dyDescent="0.3">
      <c r="A644" t="s">
        <v>693</v>
      </c>
      <c r="B644" t="str">
        <f>VLOOKUP(A644,'Remote work mental helath'!$A$2:$T$1001,5,)</f>
        <v>Retail</v>
      </c>
      <c r="C644" t="str">
        <f>VLOOKUP(A644,'Remote work mental helath'!$A$2:$T$1001,7,)</f>
        <v>Onsite</v>
      </c>
      <c r="D644">
        <f>VLOOKUP(A644,'Remote work mental helath'!$A$2:$T$1001,6,)</f>
        <v>31</v>
      </c>
      <c r="E644">
        <f>VLOOKUP(A644,'Remote work mental helath'!$A$2:$T$1001,8,)</f>
        <v>53</v>
      </c>
      <c r="F644">
        <f>VLOOKUP(A644,'Remote work mental helath'!$A$2:$T$1001,9,)</f>
        <v>3</v>
      </c>
    </row>
    <row r="645" spans="1:6" x14ac:dyDescent="0.3">
      <c r="A645" t="s">
        <v>694</v>
      </c>
      <c r="B645" t="str">
        <f>VLOOKUP(A645,'Remote work mental helath'!$A$2:$T$1001,5,)</f>
        <v>Education</v>
      </c>
      <c r="C645" t="str">
        <f>VLOOKUP(A645,'Remote work mental helath'!$A$2:$T$1001,7,)</f>
        <v>Onsite</v>
      </c>
      <c r="D645">
        <f>VLOOKUP(A645,'Remote work mental helath'!$A$2:$T$1001,6,)</f>
        <v>20</v>
      </c>
      <c r="E645">
        <f>VLOOKUP(A645,'Remote work mental helath'!$A$2:$T$1001,8,)</f>
        <v>54</v>
      </c>
      <c r="F645">
        <f>VLOOKUP(A645,'Remote work mental helath'!$A$2:$T$1001,9,)</f>
        <v>15</v>
      </c>
    </row>
    <row r="646" spans="1:6" x14ac:dyDescent="0.3">
      <c r="A646" t="s">
        <v>695</v>
      </c>
      <c r="B646" t="str">
        <f>VLOOKUP(A646,'Remote work mental helath'!$A$2:$T$1001,5,)</f>
        <v>IT</v>
      </c>
      <c r="C646" t="str">
        <f>VLOOKUP(A646,'Remote work mental helath'!$A$2:$T$1001,7,)</f>
        <v>Hybrid</v>
      </c>
      <c r="D646">
        <f>VLOOKUP(A646,'Remote work mental helath'!$A$2:$T$1001,6,)</f>
        <v>26</v>
      </c>
      <c r="E646">
        <f>VLOOKUP(A646,'Remote work mental helath'!$A$2:$T$1001,8,)</f>
        <v>39</v>
      </c>
      <c r="F646">
        <f>VLOOKUP(A646,'Remote work mental helath'!$A$2:$T$1001,9,)</f>
        <v>3</v>
      </c>
    </row>
    <row r="647" spans="1:6" x14ac:dyDescent="0.3">
      <c r="A647" t="s">
        <v>696</v>
      </c>
      <c r="B647" t="str">
        <f>VLOOKUP(A647,'Remote work mental helath'!$A$2:$T$1001,5,)</f>
        <v>Consulting</v>
      </c>
      <c r="C647" t="str">
        <f>VLOOKUP(A647,'Remote work mental helath'!$A$2:$T$1001,7,)</f>
        <v>Onsite</v>
      </c>
      <c r="D647">
        <f>VLOOKUP(A647,'Remote work mental helath'!$A$2:$T$1001,6,)</f>
        <v>16</v>
      </c>
      <c r="E647">
        <f>VLOOKUP(A647,'Remote work mental helath'!$A$2:$T$1001,8,)</f>
        <v>47</v>
      </c>
      <c r="F647">
        <f>VLOOKUP(A647,'Remote work mental helath'!$A$2:$T$1001,9,)</f>
        <v>8</v>
      </c>
    </row>
    <row r="648" spans="1:6" x14ac:dyDescent="0.3">
      <c r="A648" t="s">
        <v>697</v>
      </c>
      <c r="B648" t="str">
        <f>VLOOKUP(A648,'Remote work mental helath'!$A$2:$T$1001,5,)</f>
        <v>Consulting</v>
      </c>
      <c r="C648" t="str">
        <f>VLOOKUP(A648,'Remote work mental helath'!$A$2:$T$1001,7,)</f>
        <v>Hybrid</v>
      </c>
      <c r="D648">
        <f>VLOOKUP(A648,'Remote work mental helath'!$A$2:$T$1001,6,)</f>
        <v>14</v>
      </c>
      <c r="E648">
        <f>VLOOKUP(A648,'Remote work mental helath'!$A$2:$T$1001,8,)</f>
        <v>60</v>
      </c>
      <c r="F648">
        <f>VLOOKUP(A648,'Remote work mental helath'!$A$2:$T$1001,9,)</f>
        <v>1</v>
      </c>
    </row>
    <row r="649" spans="1:6" x14ac:dyDescent="0.3">
      <c r="A649" t="s">
        <v>698</v>
      </c>
      <c r="B649" t="str">
        <f>VLOOKUP(A649,'Remote work mental helath'!$A$2:$T$1001,5,)</f>
        <v>Finance</v>
      </c>
      <c r="C649" t="str">
        <f>VLOOKUP(A649,'Remote work mental helath'!$A$2:$T$1001,7,)</f>
        <v>Onsite</v>
      </c>
      <c r="D649">
        <f>VLOOKUP(A649,'Remote work mental helath'!$A$2:$T$1001,6,)</f>
        <v>29</v>
      </c>
      <c r="E649">
        <f>VLOOKUP(A649,'Remote work mental helath'!$A$2:$T$1001,8,)</f>
        <v>37</v>
      </c>
      <c r="F649">
        <f>VLOOKUP(A649,'Remote work mental helath'!$A$2:$T$1001,9,)</f>
        <v>1</v>
      </c>
    </row>
    <row r="650" spans="1:6" x14ac:dyDescent="0.3">
      <c r="A650" t="s">
        <v>699</v>
      </c>
      <c r="B650" t="str">
        <f>VLOOKUP(A650,'Remote work mental helath'!$A$2:$T$1001,5,)</f>
        <v>IT</v>
      </c>
      <c r="C650" t="str">
        <f>VLOOKUP(A650,'Remote work mental helath'!$A$2:$T$1001,7,)</f>
        <v>Remote</v>
      </c>
      <c r="D650">
        <f>VLOOKUP(A650,'Remote work mental helath'!$A$2:$T$1001,6,)</f>
        <v>13</v>
      </c>
      <c r="E650">
        <f>VLOOKUP(A650,'Remote work mental helath'!$A$2:$T$1001,8,)</f>
        <v>33</v>
      </c>
      <c r="F650">
        <f>VLOOKUP(A650,'Remote work mental helath'!$A$2:$T$1001,9,)</f>
        <v>10</v>
      </c>
    </row>
    <row r="651" spans="1:6" x14ac:dyDescent="0.3">
      <c r="A651" t="s">
        <v>700</v>
      </c>
      <c r="B651" t="str">
        <f>VLOOKUP(A651,'Remote work mental helath'!$A$2:$T$1001,5,)</f>
        <v>Consulting</v>
      </c>
      <c r="C651" t="str">
        <f>VLOOKUP(A651,'Remote work mental helath'!$A$2:$T$1001,7,)</f>
        <v>Onsite</v>
      </c>
      <c r="D651">
        <f>VLOOKUP(A651,'Remote work mental helath'!$A$2:$T$1001,6,)</f>
        <v>31</v>
      </c>
      <c r="E651">
        <f>VLOOKUP(A651,'Remote work mental helath'!$A$2:$T$1001,8,)</f>
        <v>27</v>
      </c>
      <c r="F651">
        <f>VLOOKUP(A651,'Remote work mental helath'!$A$2:$T$1001,9,)</f>
        <v>13</v>
      </c>
    </row>
    <row r="652" spans="1:6" x14ac:dyDescent="0.3">
      <c r="A652" t="s">
        <v>701</v>
      </c>
      <c r="B652" t="str">
        <f>VLOOKUP(A652,'Remote work mental helath'!$A$2:$T$1001,5,)</f>
        <v>Consulting</v>
      </c>
      <c r="C652" t="str">
        <f>VLOOKUP(A652,'Remote work mental helath'!$A$2:$T$1001,7,)</f>
        <v>Remote</v>
      </c>
      <c r="D652">
        <f>VLOOKUP(A652,'Remote work mental helath'!$A$2:$T$1001,6,)</f>
        <v>1</v>
      </c>
      <c r="E652">
        <f>VLOOKUP(A652,'Remote work mental helath'!$A$2:$T$1001,8,)</f>
        <v>39</v>
      </c>
      <c r="F652">
        <f>VLOOKUP(A652,'Remote work mental helath'!$A$2:$T$1001,9,)</f>
        <v>6</v>
      </c>
    </row>
    <row r="653" spans="1:6" x14ac:dyDescent="0.3">
      <c r="A653" t="s">
        <v>702</v>
      </c>
      <c r="B653" t="str">
        <f>VLOOKUP(A653,'Remote work mental helath'!$A$2:$T$1001,5,)</f>
        <v>Retail</v>
      </c>
      <c r="C653" t="str">
        <f>VLOOKUP(A653,'Remote work mental helath'!$A$2:$T$1001,7,)</f>
        <v>Onsite</v>
      </c>
      <c r="D653">
        <f>VLOOKUP(A653,'Remote work mental helath'!$A$2:$T$1001,6,)</f>
        <v>9</v>
      </c>
      <c r="E653">
        <f>VLOOKUP(A653,'Remote work mental helath'!$A$2:$T$1001,8,)</f>
        <v>45</v>
      </c>
      <c r="F653">
        <f>VLOOKUP(A653,'Remote work mental helath'!$A$2:$T$1001,9,)</f>
        <v>0</v>
      </c>
    </row>
    <row r="654" spans="1:6" x14ac:dyDescent="0.3">
      <c r="A654" t="s">
        <v>703</v>
      </c>
      <c r="B654" t="str">
        <f>VLOOKUP(A654,'Remote work mental helath'!$A$2:$T$1001,5,)</f>
        <v>Education</v>
      </c>
      <c r="C654" t="str">
        <f>VLOOKUP(A654,'Remote work mental helath'!$A$2:$T$1001,7,)</f>
        <v>Remote</v>
      </c>
      <c r="D654">
        <f>VLOOKUP(A654,'Remote work mental helath'!$A$2:$T$1001,6,)</f>
        <v>21</v>
      </c>
      <c r="E654">
        <f>VLOOKUP(A654,'Remote work mental helath'!$A$2:$T$1001,8,)</f>
        <v>57</v>
      </c>
      <c r="F654">
        <f>VLOOKUP(A654,'Remote work mental helath'!$A$2:$T$1001,9,)</f>
        <v>5</v>
      </c>
    </row>
    <row r="655" spans="1:6" x14ac:dyDescent="0.3">
      <c r="A655" t="s">
        <v>704</v>
      </c>
      <c r="B655" t="str">
        <f>VLOOKUP(A655,'Remote work mental helath'!$A$2:$T$1001,5,)</f>
        <v>IT</v>
      </c>
      <c r="C655" t="str">
        <f>VLOOKUP(A655,'Remote work mental helath'!$A$2:$T$1001,7,)</f>
        <v>Remote</v>
      </c>
      <c r="D655">
        <f>VLOOKUP(A655,'Remote work mental helath'!$A$2:$T$1001,6,)</f>
        <v>5</v>
      </c>
      <c r="E655">
        <f>VLOOKUP(A655,'Remote work mental helath'!$A$2:$T$1001,8,)</f>
        <v>27</v>
      </c>
      <c r="F655">
        <f>VLOOKUP(A655,'Remote work mental helath'!$A$2:$T$1001,9,)</f>
        <v>9</v>
      </c>
    </row>
    <row r="656" spans="1:6" x14ac:dyDescent="0.3">
      <c r="A656" t="s">
        <v>705</v>
      </c>
      <c r="B656" t="str">
        <f>VLOOKUP(A656,'Remote work mental helath'!$A$2:$T$1001,5,)</f>
        <v>Retail</v>
      </c>
      <c r="C656" t="str">
        <f>VLOOKUP(A656,'Remote work mental helath'!$A$2:$T$1001,7,)</f>
        <v>Hybrid</v>
      </c>
      <c r="D656">
        <f>VLOOKUP(A656,'Remote work mental helath'!$A$2:$T$1001,6,)</f>
        <v>1</v>
      </c>
      <c r="E656">
        <f>VLOOKUP(A656,'Remote work mental helath'!$A$2:$T$1001,8,)</f>
        <v>44</v>
      </c>
      <c r="F656">
        <f>VLOOKUP(A656,'Remote work mental helath'!$A$2:$T$1001,9,)</f>
        <v>5</v>
      </c>
    </row>
    <row r="657" spans="1:6" x14ac:dyDescent="0.3">
      <c r="A657" t="s">
        <v>706</v>
      </c>
      <c r="B657" t="str">
        <f>VLOOKUP(A657,'Remote work mental helath'!$A$2:$T$1001,5,)</f>
        <v>Education</v>
      </c>
      <c r="C657" t="str">
        <f>VLOOKUP(A657,'Remote work mental helath'!$A$2:$T$1001,7,)</f>
        <v>Remote</v>
      </c>
      <c r="D657">
        <f>VLOOKUP(A657,'Remote work mental helath'!$A$2:$T$1001,6,)</f>
        <v>1</v>
      </c>
      <c r="E657">
        <f>VLOOKUP(A657,'Remote work mental helath'!$A$2:$T$1001,8,)</f>
        <v>25</v>
      </c>
      <c r="F657">
        <f>VLOOKUP(A657,'Remote work mental helath'!$A$2:$T$1001,9,)</f>
        <v>3</v>
      </c>
    </row>
    <row r="658" spans="1:6" x14ac:dyDescent="0.3">
      <c r="A658" t="s">
        <v>707</v>
      </c>
      <c r="B658" t="str">
        <f>VLOOKUP(A658,'Remote work mental helath'!$A$2:$T$1001,5,)</f>
        <v>Education</v>
      </c>
      <c r="C658" t="str">
        <f>VLOOKUP(A658,'Remote work mental helath'!$A$2:$T$1001,7,)</f>
        <v>Hybrid</v>
      </c>
      <c r="D658">
        <f>VLOOKUP(A658,'Remote work mental helath'!$A$2:$T$1001,6,)</f>
        <v>14</v>
      </c>
      <c r="E658">
        <f>VLOOKUP(A658,'Remote work mental helath'!$A$2:$T$1001,8,)</f>
        <v>46</v>
      </c>
      <c r="F658">
        <f>VLOOKUP(A658,'Remote work mental helath'!$A$2:$T$1001,9,)</f>
        <v>5</v>
      </c>
    </row>
    <row r="659" spans="1:6" x14ac:dyDescent="0.3">
      <c r="A659" t="s">
        <v>708</v>
      </c>
      <c r="B659" t="str">
        <f>VLOOKUP(A659,'Remote work mental helath'!$A$2:$T$1001,5,)</f>
        <v>Consulting</v>
      </c>
      <c r="C659" t="str">
        <f>VLOOKUP(A659,'Remote work mental helath'!$A$2:$T$1001,7,)</f>
        <v>Remote</v>
      </c>
      <c r="D659">
        <f>VLOOKUP(A659,'Remote work mental helath'!$A$2:$T$1001,6,)</f>
        <v>12</v>
      </c>
      <c r="E659">
        <f>VLOOKUP(A659,'Remote work mental helath'!$A$2:$T$1001,8,)</f>
        <v>51</v>
      </c>
      <c r="F659">
        <f>VLOOKUP(A659,'Remote work mental helath'!$A$2:$T$1001,9,)</f>
        <v>12</v>
      </c>
    </row>
    <row r="660" spans="1:6" x14ac:dyDescent="0.3">
      <c r="A660" t="s">
        <v>709</v>
      </c>
      <c r="B660" t="str">
        <f>VLOOKUP(A660,'Remote work mental helath'!$A$2:$T$1001,5,)</f>
        <v>Retail</v>
      </c>
      <c r="C660" t="str">
        <f>VLOOKUP(A660,'Remote work mental helath'!$A$2:$T$1001,7,)</f>
        <v>Remote</v>
      </c>
      <c r="D660">
        <f>VLOOKUP(A660,'Remote work mental helath'!$A$2:$T$1001,6,)</f>
        <v>32</v>
      </c>
      <c r="E660">
        <f>VLOOKUP(A660,'Remote work mental helath'!$A$2:$T$1001,8,)</f>
        <v>55</v>
      </c>
      <c r="F660">
        <f>VLOOKUP(A660,'Remote work mental helath'!$A$2:$T$1001,9,)</f>
        <v>5</v>
      </c>
    </row>
    <row r="661" spans="1:6" x14ac:dyDescent="0.3">
      <c r="A661" t="s">
        <v>710</v>
      </c>
      <c r="B661" t="str">
        <f>VLOOKUP(A661,'Remote work mental helath'!$A$2:$T$1001,5,)</f>
        <v>Retail</v>
      </c>
      <c r="C661" t="str">
        <f>VLOOKUP(A661,'Remote work mental helath'!$A$2:$T$1001,7,)</f>
        <v>Onsite</v>
      </c>
      <c r="D661">
        <f>VLOOKUP(A661,'Remote work mental helath'!$A$2:$T$1001,6,)</f>
        <v>9</v>
      </c>
      <c r="E661">
        <f>VLOOKUP(A661,'Remote work mental helath'!$A$2:$T$1001,8,)</f>
        <v>54</v>
      </c>
      <c r="F661">
        <f>VLOOKUP(A661,'Remote work mental helath'!$A$2:$T$1001,9,)</f>
        <v>14</v>
      </c>
    </row>
    <row r="662" spans="1:6" x14ac:dyDescent="0.3">
      <c r="A662" t="s">
        <v>711</v>
      </c>
      <c r="B662" t="str">
        <f>VLOOKUP(A662,'Remote work mental helath'!$A$2:$T$1001,5,)</f>
        <v>IT</v>
      </c>
      <c r="C662" t="str">
        <f>VLOOKUP(A662,'Remote work mental helath'!$A$2:$T$1001,7,)</f>
        <v>Onsite</v>
      </c>
      <c r="D662">
        <f>VLOOKUP(A662,'Remote work mental helath'!$A$2:$T$1001,6,)</f>
        <v>3</v>
      </c>
      <c r="E662">
        <f>VLOOKUP(A662,'Remote work mental helath'!$A$2:$T$1001,8,)</f>
        <v>34</v>
      </c>
      <c r="F662">
        <f>VLOOKUP(A662,'Remote work mental helath'!$A$2:$T$1001,9,)</f>
        <v>11</v>
      </c>
    </row>
    <row r="663" spans="1:6" x14ac:dyDescent="0.3">
      <c r="A663" t="s">
        <v>712</v>
      </c>
      <c r="B663" t="str">
        <f>VLOOKUP(A663,'Remote work mental helath'!$A$2:$T$1001,5,)</f>
        <v>Retail</v>
      </c>
      <c r="C663" t="str">
        <f>VLOOKUP(A663,'Remote work mental helath'!$A$2:$T$1001,7,)</f>
        <v>Hybrid</v>
      </c>
      <c r="D663">
        <f>VLOOKUP(A663,'Remote work mental helath'!$A$2:$T$1001,6,)</f>
        <v>2</v>
      </c>
      <c r="E663">
        <f>VLOOKUP(A663,'Remote work mental helath'!$A$2:$T$1001,8,)</f>
        <v>32</v>
      </c>
      <c r="F663">
        <f>VLOOKUP(A663,'Remote work mental helath'!$A$2:$T$1001,9,)</f>
        <v>9</v>
      </c>
    </row>
    <row r="664" spans="1:6" x14ac:dyDescent="0.3">
      <c r="A664" t="s">
        <v>713</v>
      </c>
      <c r="B664" t="str">
        <f>VLOOKUP(A664,'Remote work mental helath'!$A$2:$T$1001,5,)</f>
        <v>Retail</v>
      </c>
      <c r="C664" t="str">
        <f>VLOOKUP(A664,'Remote work mental helath'!$A$2:$T$1001,7,)</f>
        <v>Remote</v>
      </c>
      <c r="D664">
        <f>VLOOKUP(A664,'Remote work mental helath'!$A$2:$T$1001,6,)</f>
        <v>32</v>
      </c>
      <c r="E664">
        <f>VLOOKUP(A664,'Remote work mental helath'!$A$2:$T$1001,8,)</f>
        <v>23</v>
      </c>
      <c r="F664">
        <f>VLOOKUP(A664,'Remote work mental helath'!$A$2:$T$1001,9,)</f>
        <v>10</v>
      </c>
    </row>
    <row r="665" spans="1:6" x14ac:dyDescent="0.3">
      <c r="A665" t="s">
        <v>714</v>
      </c>
      <c r="B665" t="str">
        <f>VLOOKUP(A665,'Remote work mental helath'!$A$2:$T$1001,5,)</f>
        <v>Retail</v>
      </c>
      <c r="C665" t="str">
        <f>VLOOKUP(A665,'Remote work mental helath'!$A$2:$T$1001,7,)</f>
        <v>Remote</v>
      </c>
      <c r="D665">
        <f>VLOOKUP(A665,'Remote work mental helath'!$A$2:$T$1001,6,)</f>
        <v>23</v>
      </c>
      <c r="E665">
        <f>VLOOKUP(A665,'Remote work mental helath'!$A$2:$T$1001,8,)</f>
        <v>22</v>
      </c>
      <c r="F665">
        <f>VLOOKUP(A665,'Remote work mental helath'!$A$2:$T$1001,9,)</f>
        <v>8</v>
      </c>
    </row>
    <row r="666" spans="1:6" x14ac:dyDescent="0.3">
      <c r="A666" t="s">
        <v>715</v>
      </c>
      <c r="B666" t="str">
        <f>VLOOKUP(A666,'Remote work mental helath'!$A$2:$T$1001,5,)</f>
        <v>Consulting</v>
      </c>
      <c r="C666" t="str">
        <f>VLOOKUP(A666,'Remote work mental helath'!$A$2:$T$1001,7,)</f>
        <v>Onsite</v>
      </c>
      <c r="D666">
        <f>VLOOKUP(A666,'Remote work mental helath'!$A$2:$T$1001,6,)</f>
        <v>25</v>
      </c>
      <c r="E666">
        <f>VLOOKUP(A666,'Remote work mental helath'!$A$2:$T$1001,8,)</f>
        <v>36</v>
      </c>
      <c r="F666">
        <f>VLOOKUP(A666,'Remote work mental helath'!$A$2:$T$1001,9,)</f>
        <v>2</v>
      </c>
    </row>
    <row r="667" spans="1:6" x14ac:dyDescent="0.3">
      <c r="A667" t="s">
        <v>716</v>
      </c>
      <c r="B667" t="str">
        <f>VLOOKUP(A667,'Remote work mental helath'!$A$2:$T$1001,5,)</f>
        <v>Retail</v>
      </c>
      <c r="C667" t="str">
        <f>VLOOKUP(A667,'Remote work mental helath'!$A$2:$T$1001,7,)</f>
        <v>Onsite</v>
      </c>
      <c r="D667">
        <f>VLOOKUP(A667,'Remote work mental helath'!$A$2:$T$1001,6,)</f>
        <v>29</v>
      </c>
      <c r="E667">
        <f>VLOOKUP(A667,'Remote work mental helath'!$A$2:$T$1001,8,)</f>
        <v>50</v>
      </c>
      <c r="F667">
        <f>VLOOKUP(A667,'Remote work mental helath'!$A$2:$T$1001,9,)</f>
        <v>3</v>
      </c>
    </row>
    <row r="668" spans="1:6" x14ac:dyDescent="0.3">
      <c r="A668" t="s">
        <v>717</v>
      </c>
      <c r="B668" t="str">
        <f>VLOOKUP(A668,'Remote work mental helath'!$A$2:$T$1001,5,)</f>
        <v>Retail</v>
      </c>
      <c r="C668" t="str">
        <f>VLOOKUP(A668,'Remote work mental helath'!$A$2:$T$1001,7,)</f>
        <v>Hybrid</v>
      </c>
      <c r="D668">
        <f>VLOOKUP(A668,'Remote work mental helath'!$A$2:$T$1001,6,)</f>
        <v>11</v>
      </c>
      <c r="E668">
        <f>VLOOKUP(A668,'Remote work mental helath'!$A$2:$T$1001,8,)</f>
        <v>36</v>
      </c>
      <c r="F668">
        <f>VLOOKUP(A668,'Remote work mental helath'!$A$2:$T$1001,9,)</f>
        <v>13</v>
      </c>
    </row>
    <row r="669" spans="1:6" x14ac:dyDescent="0.3">
      <c r="A669" t="s">
        <v>718</v>
      </c>
      <c r="B669" t="str">
        <f>VLOOKUP(A669,'Remote work mental helath'!$A$2:$T$1001,5,)</f>
        <v>Finance</v>
      </c>
      <c r="C669" t="str">
        <f>VLOOKUP(A669,'Remote work mental helath'!$A$2:$T$1001,7,)</f>
        <v>Remote</v>
      </c>
      <c r="D669">
        <f>VLOOKUP(A669,'Remote work mental helath'!$A$2:$T$1001,6,)</f>
        <v>33</v>
      </c>
      <c r="E669">
        <f>VLOOKUP(A669,'Remote work mental helath'!$A$2:$T$1001,8,)</f>
        <v>39</v>
      </c>
      <c r="F669">
        <f>VLOOKUP(A669,'Remote work mental helath'!$A$2:$T$1001,9,)</f>
        <v>13</v>
      </c>
    </row>
    <row r="670" spans="1:6" x14ac:dyDescent="0.3">
      <c r="A670" t="s">
        <v>719</v>
      </c>
      <c r="B670" t="str">
        <f>VLOOKUP(A670,'Remote work mental helath'!$A$2:$T$1001,5,)</f>
        <v>Education</v>
      </c>
      <c r="C670" t="str">
        <f>VLOOKUP(A670,'Remote work mental helath'!$A$2:$T$1001,7,)</f>
        <v>Hybrid</v>
      </c>
      <c r="D670">
        <f>VLOOKUP(A670,'Remote work mental helath'!$A$2:$T$1001,6,)</f>
        <v>31</v>
      </c>
      <c r="E670">
        <f>VLOOKUP(A670,'Remote work mental helath'!$A$2:$T$1001,8,)</f>
        <v>32</v>
      </c>
      <c r="F670">
        <f>VLOOKUP(A670,'Remote work mental helath'!$A$2:$T$1001,9,)</f>
        <v>15</v>
      </c>
    </row>
    <row r="671" spans="1:6" x14ac:dyDescent="0.3">
      <c r="A671" t="s">
        <v>720</v>
      </c>
      <c r="B671" t="str">
        <f>VLOOKUP(A671,'Remote work mental helath'!$A$2:$T$1001,5,)</f>
        <v>Manufacturing</v>
      </c>
      <c r="C671" t="str">
        <f>VLOOKUP(A671,'Remote work mental helath'!$A$2:$T$1001,7,)</f>
        <v>Hybrid</v>
      </c>
      <c r="D671">
        <f>VLOOKUP(A671,'Remote work mental helath'!$A$2:$T$1001,6,)</f>
        <v>12</v>
      </c>
      <c r="E671">
        <f>VLOOKUP(A671,'Remote work mental helath'!$A$2:$T$1001,8,)</f>
        <v>53</v>
      </c>
      <c r="F671">
        <f>VLOOKUP(A671,'Remote work mental helath'!$A$2:$T$1001,9,)</f>
        <v>10</v>
      </c>
    </row>
    <row r="672" spans="1:6" x14ac:dyDescent="0.3">
      <c r="A672" t="s">
        <v>721</v>
      </c>
      <c r="B672" t="str">
        <f>VLOOKUP(A672,'Remote work mental helath'!$A$2:$T$1001,5,)</f>
        <v>Education</v>
      </c>
      <c r="C672" t="str">
        <f>VLOOKUP(A672,'Remote work mental helath'!$A$2:$T$1001,7,)</f>
        <v>Remote</v>
      </c>
      <c r="D672">
        <f>VLOOKUP(A672,'Remote work mental helath'!$A$2:$T$1001,6,)</f>
        <v>5</v>
      </c>
      <c r="E672">
        <f>VLOOKUP(A672,'Remote work mental helath'!$A$2:$T$1001,8,)</f>
        <v>57</v>
      </c>
      <c r="F672">
        <f>VLOOKUP(A672,'Remote work mental helath'!$A$2:$T$1001,9,)</f>
        <v>12</v>
      </c>
    </row>
    <row r="673" spans="1:6" x14ac:dyDescent="0.3">
      <c r="A673" t="s">
        <v>722</v>
      </c>
      <c r="B673" t="str">
        <f>VLOOKUP(A673,'Remote work mental helath'!$A$2:$T$1001,5,)</f>
        <v>Retail</v>
      </c>
      <c r="C673" t="str">
        <f>VLOOKUP(A673,'Remote work mental helath'!$A$2:$T$1001,7,)</f>
        <v>Remote</v>
      </c>
      <c r="D673">
        <f>VLOOKUP(A673,'Remote work mental helath'!$A$2:$T$1001,6,)</f>
        <v>27</v>
      </c>
      <c r="E673">
        <f>VLOOKUP(A673,'Remote work mental helath'!$A$2:$T$1001,8,)</f>
        <v>25</v>
      </c>
      <c r="F673">
        <f>VLOOKUP(A673,'Remote work mental helath'!$A$2:$T$1001,9,)</f>
        <v>12</v>
      </c>
    </row>
    <row r="674" spans="1:6" x14ac:dyDescent="0.3">
      <c r="A674" t="s">
        <v>723</v>
      </c>
      <c r="B674" t="str">
        <f>VLOOKUP(A674,'Remote work mental helath'!$A$2:$T$1001,5,)</f>
        <v>IT</v>
      </c>
      <c r="C674" t="str">
        <f>VLOOKUP(A674,'Remote work mental helath'!$A$2:$T$1001,7,)</f>
        <v>Onsite</v>
      </c>
      <c r="D674">
        <f>VLOOKUP(A674,'Remote work mental helath'!$A$2:$T$1001,6,)</f>
        <v>6</v>
      </c>
      <c r="E674">
        <f>VLOOKUP(A674,'Remote work mental helath'!$A$2:$T$1001,8,)</f>
        <v>25</v>
      </c>
      <c r="F674">
        <f>VLOOKUP(A674,'Remote work mental helath'!$A$2:$T$1001,9,)</f>
        <v>6</v>
      </c>
    </row>
    <row r="675" spans="1:6" x14ac:dyDescent="0.3">
      <c r="A675" t="s">
        <v>724</v>
      </c>
      <c r="B675" t="str">
        <f>VLOOKUP(A675,'Remote work mental helath'!$A$2:$T$1001,5,)</f>
        <v>Manufacturing</v>
      </c>
      <c r="C675" t="str">
        <f>VLOOKUP(A675,'Remote work mental helath'!$A$2:$T$1001,7,)</f>
        <v>Remote</v>
      </c>
      <c r="D675">
        <f>VLOOKUP(A675,'Remote work mental helath'!$A$2:$T$1001,6,)</f>
        <v>2</v>
      </c>
      <c r="E675">
        <f>VLOOKUP(A675,'Remote work mental helath'!$A$2:$T$1001,8,)</f>
        <v>25</v>
      </c>
      <c r="F675">
        <f>VLOOKUP(A675,'Remote work mental helath'!$A$2:$T$1001,9,)</f>
        <v>7</v>
      </c>
    </row>
    <row r="676" spans="1:6" x14ac:dyDescent="0.3">
      <c r="A676" t="s">
        <v>725</v>
      </c>
      <c r="B676" t="str">
        <f>VLOOKUP(A676,'Remote work mental helath'!$A$2:$T$1001,5,)</f>
        <v>IT</v>
      </c>
      <c r="C676" t="str">
        <f>VLOOKUP(A676,'Remote work mental helath'!$A$2:$T$1001,7,)</f>
        <v>Remote</v>
      </c>
      <c r="D676">
        <f>VLOOKUP(A676,'Remote work mental helath'!$A$2:$T$1001,6,)</f>
        <v>33</v>
      </c>
      <c r="E676">
        <f>VLOOKUP(A676,'Remote work mental helath'!$A$2:$T$1001,8,)</f>
        <v>52</v>
      </c>
      <c r="F676">
        <f>VLOOKUP(A676,'Remote work mental helath'!$A$2:$T$1001,9,)</f>
        <v>3</v>
      </c>
    </row>
    <row r="677" spans="1:6" x14ac:dyDescent="0.3">
      <c r="A677" t="s">
        <v>726</v>
      </c>
      <c r="B677" t="str">
        <f>VLOOKUP(A677,'Remote work mental helath'!$A$2:$T$1001,5,)</f>
        <v>Manufacturing</v>
      </c>
      <c r="C677" t="str">
        <f>VLOOKUP(A677,'Remote work mental helath'!$A$2:$T$1001,7,)</f>
        <v>Hybrid</v>
      </c>
      <c r="D677">
        <f>VLOOKUP(A677,'Remote work mental helath'!$A$2:$T$1001,6,)</f>
        <v>6</v>
      </c>
      <c r="E677">
        <f>VLOOKUP(A677,'Remote work mental helath'!$A$2:$T$1001,8,)</f>
        <v>44</v>
      </c>
      <c r="F677">
        <f>VLOOKUP(A677,'Remote work mental helath'!$A$2:$T$1001,9,)</f>
        <v>15</v>
      </c>
    </row>
    <row r="678" spans="1:6" x14ac:dyDescent="0.3">
      <c r="A678" t="s">
        <v>727</v>
      </c>
      <c r="B678" t="str">
        <f>VLOOKUP(A678,'Remote work mental helath'!$A$2:$T$1001,5,)</f>
        <v>Healthcare</v>
      </c>
      <c r="C678" t="str">
        <f>VLOOKUP(A678,'Remote work mental helath'!$A$2:$T$1001,7,)</f>
        <v>Remote</v>
      </c>
      <c r="D678">
        <f>VLOOKUP(A678,'Remote work mental helath'!$A$2:$T$1001,6,)</f>
        <v>20</v>
      </c>
      <c r="E678">
        <f>VLOOKUP(A678,'Remote work mental helath'!$A$2:$T$1001,8,)</f>
        <v>27</v>
      </c>
      <c r="F678">
        <f>VLOOKUP(A678,'Remote work mental helath'!$A$2:$T$1001,9,)</f>
        <v>7</v>
      </c>
    </row>
    <row r="679" spans="1:6" x14ac:dyDescent="0.3">
      <c r="A679" t="s">
        <v>728</v>
      </c>
      <c r="B679" t="str">
        <f>VLOOKUP(A679,'Remote work mental helath'!$A$2:$T$1001,5,)</f>
        <v>Retail</v>
      </c>
      <c r="C679" t="str">
        <f>VLOOKUP(A679,'Remote work mental helath'!$A$2:$T$1001,7,)</f>
        <v>Remote</v>
      </c>
      <c r="D679">
        <f>VLOOKUP(A679,'Remote work mental helath'!$A$2:$T$1001,6,)</f>
        <v>30</v>
      </c>
      <c r="E679">
        <f>VLOOKUP(A679,'Remote work mental helath'!$A$2:$T$1001,8,)</f>
        <v>37</v>
      </c>
      <c r="F679">
        <f>VLOOKUP(A679,'Remote work mental helath'!$A$2:$T$1001,9,)</f>
        <v>15</v>
      </c>
    </row>
    <row r="680" spans="1:6" x14ac:dyDescent="0.3">
      <c r="A680" t="s">
        <v>729</v>
      </c>
      <c r="B680" t="str">
        <f>VLOOKUP(A680,'Remote work mental helath'!$A$2:$T$1001,5,)</f>
        <v>IT</v>
      </c>
      <c r="C680" t="str">
        <f>VLOOKUP(A680,'Remote work mental helath'!$A$2:$T$1001,7,)</f>
        <v>Onsite</v>
      </c>
      <c r="D680">
        <f>VLOOKUP(A680,'Remote work mental helath'!$A$2:$T$1001,6,)</f>
        <v>33</v>
      </c>
      <c r="E680">
        <f>VLOOKUP(A680,'Remote work mental helath'!$A$2:$T$1001,8,)</f>
        <v>39</v>
      </c>
      <c r="F680">
        <f>VLOOKUP(A680,'Remote work mental helath'!$A$2:$T$1001,9,)</f>
        <v>15</v>
      </c>
    </row>
    <row r="681" spans="1:6" x14ac:dyDescent="0.3">
      <c r="A681" t="s">
        <v>730</v>
      </c>
      <c r="B681" t="str">
        <f>VLOOKUP(A681,'Remote work mental helath'!$A$2:$T$1001,5,)</f>
        <v>Consulting</v>
      </c>
      <c r="C681" t="str">
        <f>VLOOKUP(A681,'Remote work mental helath'!$A$2:$T$1001,7,)</f>
        <v>Hybrid</v>
      </c>
      <c r="D681">
        <f>VLOOKUP(A681,'Remote work mental helath'!$A$2:$T$1001,6,)</f>
        <v>32</v>
      </c>
      <c r="E681">
        <f>VLOOKUP(A681,'Remote work mental helath'!$A$2:$T$1001,8,)</f>
        <v>40</v>
      </c>
      <c r="F681">
        <f>VLOOKUP(A681,'Remote work mental helath'!$A$2:$T$1001,9,)</f>
        <v>7</v>
      </c>
    </row>
    <row r="682" spans="1:6" x14ac:dyDescent="0.3">
      <c r="A682" t="s">
        <v>731</v>
      </c>
      <c r="B682" t="str">
        <f>VLOOKUP(A682,'Remote work mental helath'!$A$2:$T$1001,5,)</f>
        <v>Finance</v>
      </c>
      <c r="C682" t="str">
        <f>VLOOKUP(A682,'Remote work mental helath'!$A$2:$T$1001,7,)</f>
        <v>Hybrid</v>
      </c>
      <c r="D682">
        <f>VLOOKUP(A682,'Remote work mental helath'!$A$2:$T$1001,6,)</f>
        <v>1</v>
      </c>
      <c r="E682">
        <f>VLOOKUP(A682,'Remote work mental helath'!$A$2:$T$1001,8,)</f>
        <v>60</v>
      </c>
      <c r="F682">
        <f>VLOOKUP(A682,'Remote work mental helath'!$A$2:$T$1001,9,)</f>
        <v>5</v>
      </c>
    </row>
    <row r="683" spans="1:6" x14ac:dyDescent="0.3">
      <c r="A683" t="s">
        <v>732</v>
      </c>
      <c r="B683" t="str">
        <f>VLOOKUP(A683,'Remote work mental helath'!$A$2:$T$1001,5,)</f>
        <v>IT</v>
      </c>
      <c r="C683" t="str">
        <f>VLOOKUP(A683,'Remote work mental helath'!$A$2:$T$1001,7,)</f>
        <v>Onsite</v>
      </c>
      <c r="D683">
        <f>VLOOKUP(A683,'Remote work mental helath'!$A$2:$T$1001,6,)</f>
        <v>10</v>
      </c>
      <c r="E683">
        <f>VLOOKUP(A683,'Remote work mental helath'!$A$2:$T$1001,8,)</f>
        <v>53</v>
      </c>
      <c r="F683">
        <f>VLOOKUP(A683,'Remote work mental helath'!$A$2:$T$1001,9,)</f>
        <v>15</v>
      </c>
    </row>
    <row r="684" spans="1:6" x14ac:dyDescent="0.3">
      <c r="A684" t="s">
        <v>733</v>
      </c>
      <c r="B684" t="str">
        <f>VLOOKUP(A684,'Remote work mental helath'!$A$2:$T$1001,5,)</f>
        <v>Consulting</v>
      </c>
      <c r="C684" t="str">
        <f>VLOOKUP(A684,'Remote work mental helath'!$A$2:$T$1001,7,)</f>
        <v>Onsite</v>
      </c>
      <c r="D684">
        <f>VLOOKUP(A684,'Remote work mental helath'!$A$2:$T$1001,6,)</f>
        <v>1</v>
      </c>
      <c r="E684">
        <f>VLOOKUP(A684,'Remote work mental helath'!$A$2:$T$1001,8,)</f>
        <v>35</v>
      </c>
      <c r="F684">
        <f>VLOOKUP(A684,'Remote work mental helath'!$A$2:$T$1001,9,)</f>
        <v>8</v>
      </c>
    </row>
    <row r="685" spans="1:6" x14ac:dyDescent="0.3">
      <c r="A685" t="s">
        <v>734</v>
      </c>
      <c r="B685" t="str">
        <f>VLOOKUP(A685,'Remote work mental helath'!$A$2:$T$1001,5,)</f>
        <v>Manufacturing</v>
      </c>
      <c r="C685" t="str">
        <f>VLOOKUP(A685,'Remote work mental helath'!$A$2:$T$1001,7,)</f>
        <v>Onsite</v>
      </c>
      <c r="D685">
        <f>VLOOKUP(A685,'Remote work mental helath'!$A$2:$T$1001,6,)</f>
        <v>21</v>
      </c>
      <c r="E685">
        <f>VLOOKUP(A685,'Remote work mental helath'!$A$2:$T$1001,8,)</f>
        <v>44</v>
      </c>
      <c r="F685">
        <f>VLOOKUP(A685,'Remote work mental helath'!$A$2:$T$1001,9,)</f>
        <v>0</v>
      </c>
    </row>
    <row r="686" spans="1:6" x14ac:dyDescent="0.3">
      <c r="A686" t="s">
        <v>735</v>
      </c>
      <c r="B686" t="str">
        <f>VLOOKUP(A686,'Remote work mental helath'!$A$2:$T$1001,5,)</f>
        <v>IT</v>
      </c>
      <c r="C686" t="str">
        <f>VLOOKUP(A686,'Remote work mental helath'!$A$2:$T$1001,7,)</f>
        <v>Remote</v>
      </c>
      <c r="D686">
        <f>VLOOKUP(A686,'Remote work mental helath'!$A$2:$T$1001,6,)</f>
        <v>28</v>
      </c>
      <c r="E686">
        <f>VLOOKUP(A686,'Remote work mental helath'!$A$2:$T$1001,8,)</f>
        <v>60</v>
      </c>
      <c r="F686">
        <f>VLOOKUP(A686,'Remote work mental helath'!$A$2:$T$1001,9,)</f>
        <v>5</v>
      </c>
    </row>
    <row r="687" spans="1:6" x14ac:dyDescent="0.3">
      <c r="A687" t="s">
        <v>736</v>
      </c>
      <c r="B687" t="str">
        <f>VLOOKUP(A687,'Remote work mental helath'!$A$2:$T$1001,5,)</f>
        <v>Finance</v>
      </c>
      <c r="C687" t="str">
        <f>VLOOKUP(A687,'Remote work mental helath'!$A$2:$T$1001,7,)</f>
        <v>Onsite</v>
      </c>
      <c r="D687">
        <f>VLOOKUP(A687,'Remote work mental helath'!$A$2:$T$1001,6,)</f>
        <v>4</v>
      </c>
      <c r="E687">
        <f>VLOOKUP(A687,'Remote work mental helath'!$A$2:$T$1001,8,)</f>
        <v>27</v>
      </c>
      <c r="F687">
        <f>VLOOKUP(A687,'Remote work mental helath'!$A$2:$T$1001,9,)</f>
        <v>14</v>
      </c>
    </row>
    <row r="688" spans="1:6" x14ac:dyDescent="0.3">
      <c r="A688" t="s">
        <v>737</v>
      </c>
      <c r="B688" t="str">
        <f>VLOOKUP(A688,'Remote work mental helath'!$A$2:$T$1001,5,)</f>
        <v>Healthcare</v>
      </c>
      <c r="C688" t="str">
        <f>VLOOKUP(A688,'Remote work mental helath'!$A$2:$T$1001,7,)</f>
        <v>Remote</v>
      </c>
      <c r="D688">
        <f>VLOOKUP(A688,'Remote work mental helath'!$A$2:$T$1001,6,)</f>
        <v>20</v>
      </c>
      <c r="E688">
        <f>VLOOKUP(A688,'Remote work mental helath'!$A$2:$T$1001,8,)</f>
        <v>39</v>
      </c>
      <c r="F688">
        <f>VLOOKUP(A688,'Remote work mental helath'!$A$2:$T$1001,9,)</f>
        <v>1</v>
      </c>
    </row>
    <row r="689" spans="1:6" x14ac:dyDescent="0.3">
      <c r="A689" t="s">
        <v>738</v>
      </c>
      <c r="B689" t="str">
        <f>VLOOKUP(A689,'Remote work mental helath'!$A$2:$T$1001,5,)</f>
        <v>IT</v>
      </c>
      <c r="C689" t="str">
        <f>VLOOKUP(A689,'Remote work mental helath'!$A$2:$T$1001,7,)</f>
        <v>Remote</v>
      </c>
      <c r="D689">
        <f>VLOOKUP(A689,'Remote work mental helath'!$A$2:$T$1001,6,)</f>
        <v>31</v>
      </c>
      <c r="E689">
        <f>VLOOKUP(A689,'Remote work mental helath'!$A$2:$T$1001,8,)</f>
        <v>31</v>
      </c>
      <c r="F689">
        <f>VLOOKUP(A689,'Remote work mental helath'!$A$2:$T$1001,9,)</f>
        <v>1</v>
      </c>
    </row>
    <row r="690" spans="1:6" x14ac:dyDescent="0.3">
      <c r="A690" t="s">
        <v>739</v>
      </c>
      <c r="B690" t="str">
        <f>VLOOKUP(A690,'Remote work mental helath'!$A$2:$T$1001,5,)</f>
        <v>Education</v>
      </c>
      <c r="C690" t="str">
        <f>VLOOKUP(A690,'Remote work mental helath'!$A$2:$T$1001,7,)</f>
        <v>Hybrid</v>
      </c>
      <c r="D690">
        <f>VLOOKUP(A690,'Remote work mental helath'!$A$2:$T$1001,6,)</f>
        <v>11</v>
      </c>
      <c r="E690">
        <f>VLOOKUP(A690,'Remote work mental helath'!$A$2:$T$1001,8,)</f>
        <v>25</v>
      </c>
      <c r="F690">
        <f>VLOOKUP(A690,'Remote work mental helath'!$A$2:$T$1001,9,)</f>
        <v>0</v>
      </c>
    </row>
    <row r="691" spans="1:6" x14ac:dyDescent="0.3">
      <c r="A691" t="s">
        <v>740</v>
      </c>
      <c r="B691" t="str">
        <f>VLOOKUP(A691,'Remote work mental helath'!$A$2:$T$1001,5,)</f>
        <v>Education</v>
      </c>
      <c r="C691" t="str">
        <f>VLOOKUP(A691,'Remote work mental helath'!$A$2:$T$1001,7,)</f>
        <v>Hybrid</v>
      </c>
      <c r="D691">
        <f>VLOOKUP(A691,'Remote work mental helath'!$A$2:$T$1001,6,)</f>
        <v>5</v>
      </c>
      <c r="E691">
        <f>VLOOKUP(A691,'Remote work mental helath'!$A$2:$T$1001,8,)</f>
        <v>21</v>
      </c>
      <c r="F691">
        <f>VLOOKUP(A691,'Remote work mental helath'!$A$2:$T$1001,9,)</f>
        <v>10</v>
      </c>
    </row>
    <row r="692" spans="1:6" x14ac:dyDescent="0.3">
      <c r="A692" t="s">
        <v>741</v>
      </c>
      <c r="B692" t="str">
        <f>VLOOKUP(A692,'Remote work mental helath'!$A$2:$T$1001,5,)</f>
        <v>Finance</v>
      </c>
      <c r="C692" t="str">
        <f>VLOOKUP(A692,'Remote work mental helath'!$A$2:$T$1001,7,)</f>
        <v>Onsite</v>
      </c>
      <c r="D692">
        <f>VLOOKUP(A692,'Remote work mental helath'!$A$2:$T$1001,6,)</f>
        <v>16</v>
      </c>
      <c r="E692">
        <f>VLOOKUP(A692,'Remote work mental helath'!$A$2:$T$1001,8,)</f>
        <v>49</v>
      </c>
      <c r="F692">
        <f>VLOOKUP(A692,'Remote work mental helath'!$A$2:$T$1001,9,)</f>
        <v>7</v>
      </c>
    </row>
    <row r="693" spans="1:6" x14ac:dyDescent="0.3">
      <c r="A693" t="s">
        <v>742</v>
      </c>
      <c r="B693" t="str">
        <f>VLOOKUP(A693,'Remote work mental helath'!$A$2:$T$1001,5,)</f>
        <v>Retail</v>
      </c>
      <c r="C693" t="str">
        <f>VLOOKUP(A693,'Remote work mental helath'!$A$2:$T$1001,7,)</f>
        <v>Remote</v>
      </c>
      <c r="D693">
        <f>VLOOKUP(A693,'Remote work mental helath'!$A$2:$T$1001,6,)</f>
        <v>6</v>
      </c>
      <c r="E693">
        <f>VLOOKUP(A693,'Remote work mental helath'!$A$2:$T$1001,8,)</f>
        <v>54</v>
      </c>
      <c r="F693">
        <f>VLOOKUP(A693,'Remote work mental helath'!$A$2:$T$1001,9,)</f>
        <v>10</v>
      </c>
    </row>
    <row r="694" spans="1:6" x14ac:dyDescent="0.3">
      <c r="A694" t="s">
        <v>743</v>
      </c>
      <c r="B694" t="str">
        <f>VLOOKUP(A694,'Remote work mental helath'!$A$2:$T$1001,5,)</f>
        <v>Finance</v>
      </c>
      <c r="C694" t="str">
        <f>VLOOKUP(A694,'Remote work mental helath'!$A$2:$T$1001,7,)</f>
        <v>Hybrid</v>
      </c>
      <c r="D694">
        <f>VLOOKUP(A694,'Remote work mental helath'!$A$2:$T$1001,6,)</f>
        <v>23</v>
      </c>
      <c r="E694">
        <f>VLOOKUP(A694,'Remote work mental helath'!$A$2:$T$1001,8,)</f>
        <v>56</v>
      </c>
      <c r="F694">
        <f>VLOOKUP(A694,'Remote work mental helath'!$A$2:$T$1001,9,)</f>
        <v>6</v>
      </c>
    </row>
    <row r="695" spans="1:6" x14ac:dyDescent="0.3">
      <c r="A695" t="s">
        <v>744</v>
      </c>
      <c r="B695" t="str">
        <f>VLOOKUP(A695,'Remote work mental helath'!$A$2:$T$1001,5,)</f>
        <v>Retail</v>
      </c>
      <c r="C695" t="str">
        <f>VLOOKUP(A695,'Remote work mental helath'!$A$2:$T$1001,7,)</f>
        <v>Hybrid</v>
      </c>
      <c r="D695">
        <f>VLOOKUP(A695,'Remote work mental helath'!$A$2:$T$1001,6,)</f>
        <v>16</v>
      </c>
      <c r="E695">
        <f>VLOOKUP(A695,'Remote work mental helath'!$A$2:$T$1001,8,)</f>
        <v>57</v>
      </c>
      <c r="F695">
        <f>VLOOKUP(A695,'Remote work mental helath'!$A$2:$T$1001,9,)</f>
        <v>6</v>
      </c>
    </row>
    <row r="696" spans="1:6" x14ac:dyDescent="0.3">
      <c r="A696" t="s">
        <v>745</v>
      </c>
      <c r="B696" t="str">
        <f>VLOOKUP(A696,'Remote work mental helath'!$A$2:$T$1001,5,)</f>
        <v>Healthcare</v>
      </c>
      <c r="C696" t="str">
        <f>VLOOKUP(A696,'Remote work mental helath'!$A$2:$T$1001,7,)</f>
        <v>Remote</v>
      </c>
      <c r="D696">
        <f>VLOOKUP(A696,'Remote work mental helath'!$A$2:$T$1001,6,)</f>
        <v>18</v>
      </c>
      <c r="E696">
        <f>VLOOKUP(A696,'Remote work mental helath'!$A$2:$T$1001,8,)</f>
        <v>43</v>
      </c>
      <c r="F696">
        <f>VLOOKUP(A696,'Remote work mental helath'!$A$2:$T$1001,9,)</f>
        <v>1</v>
      </c>
    </row>
    <row r="697" spans="1:6" x14ac:dyDescent="0.3">
      <c r="A697" t="s">
        <v>746</v>
      </c>
      <c r="B697" t="str">
        <f>VLOOKUP(A697,'Remote work mental helath'!$A$2:$T$1001,5,)</f>
        <v>Retail</v>
      </c>
      <c r="C697" t="str">
        <f>VLOOKUP(A697,'Remote work mental helath'!$A$2:$T$1001,7,)</f>
        <v>Onsite</v>
      </c>
      <c r="D697">
        <f>VLOOKUP(A697,'Remote work mental helath'!$A$2:$T$1001,6,)</f>
        <v>3</v>
      </c>
      <c r="E697">
        <f>VLOOKUP(A697,'Remote work mental helath'!$A$2:$T$1001,8,)</f>
        <v>59</v>
      </c>
      <c r="F697">
        <f>VLOOKUP(A697,'Remote work mental helath'!$A$2:$T$1001,9,)</f>
        <v>9</v>
      </c>
    </row>
    <row r="698" spans="1:6" x14ac:dyDescent="0.3">
      <c r="A698" t="s">
        <v>747</v>
      </c>
      <c r="B698" t="str">
        <f>VLOOKUP(A698,'Remote work mental helath'!$A$2:$T$1001,5,)</f>
        <v>IT</v>
      </c>
      <c r="C698" t="str">
        <f>VLOOKUP(A698,'Remote work mental helath'!$A$2:$T$1001,7,)</f>
        <v>Onsite</v>
      </c>
      <c r="D698">
        <f>VLOOKUP(A698,'Remote work mental helath'!$A$2:$T$1001,6,)</f>
        <v>29</v>
      </c>
      <c r="E698">
        <f>VLOOKUP(A698,'Remote work mental helath'!$A$2:$T$1001,8,)</f>
        <v>44</v>
      </c>
      <c r="F698">
        <f>VLOOKUP(A698,'Remote work mental helath'!$A$2:$T$1001,9,)</f>
        <v>4</v>
      </c>
    </row>
    <row r="699" spans="1:6" x14ac:dyDescent="0.3">
      <c r="A699" t="s">
        <v>748</v>
      </c>
      <c r="B699" t="str">
        <f>VLOOKUP(A699,'Remote work mental helath'!$A$2:$T$1001,5,)</f>
        <v>Manufacturing</v>
      </c>
      <c r="C699" t="str">
        <f>VLOOKUP(A699,'Remote work mental helath'!$A$2:$T$1001,7,)</f>
        <v>Hybrid</v>
      </c>
      <c r="D699">
        <f>VLOOKUP(A699,'Remote work mental helath'!$A$2:$T$1001,6,)</f>
        <v>21</v>
      </c>
      <c r="E699">
        <f>VLOOKUP(A699,'Remote work mental helath'!$A$2:$T$1001,8,)</f>
        <v>24</v>
      </c>
      <c r="F699">
        <f>VLOOKUP(A699,'Remote work mental helath'!$A$2:$T$1001,9,)</f>
        <v>13</v>
      </c>
    </row>
    <row r="700" spans="1:6" x14ac:dyDescent="0.3">
      <c r="A700" t="s">
        <v>749</v>
      </c>
      <c r="B700" t="str">
        <f>VLOOKUP(A700,'Remote work mental helath'!$A$2:$T$1001,5,)</f>
        <v>Retail</v>
      </c>
      <c r="C700" t="str">
        <f>VLOOKUP(A700,'Remote work mental helath'!$A$2:$T$1001,7,)</f>
        <v>Onsite</v>
      </c>
      <c r="D700">
        <f>VLOOKUP(A700,'Remote work mental helath'!$A$2:$T$1001,6,)</f>
        <v>17</v>
      </c>
      <c r="E700">
        <f>VLOOKUP(A700,'Remote work mental helath'!$A$2:$T$1001,8,)</f>
        <v>60</v>
      </c>
      <c r="F700">
        <f>VLOOKUP(A700,'Remote work mental helath'!$A$2:$T$1001,9,)</f>
        <v>12</v>
      </c>
    </row>
    <row r="701" spans="1:6" x14ac:dyDescent="0.3">
      <c r="A701" t="s">
        <v>750</v>
      </c>
      <c r="B701" t="str">
        <f>VLOOKUP(A701,'Remote work mental helath'!$A$2:$T$1001,5,)</f>
        <v>Finance</v>
      </c>
      <c r="C701" t="str">
        <f>VLOOKUP(A701,'Remote work mental helath'!$A$2:$T$1001,7,)</f>
        <v>Hybrid</v>
      </c>
      <c r="D701">
        <f>VLOOKUP(A701,'Remote work mental helath'!$A$2:$T$1001,6,)</f>
        <v>12</v>
      </c>
      <c r="E701">
        <f>VLOOKUP(A701,'Remote work mental helath'!$A$2:$T$1001,8,)</f>
        <v>28</v>
      </c>
      <c r="F701">
        <f>VLOOKUP(A701,'Remote work mental helath'!$A$2:$T$1001,9,)</f>
        <v>6</v>
      </c>
    </row>
    <row r="702" spans="1:6" x14ac:dyDescent="0.3">
      <c r="A702" t="s">
        <v>751</v>
      </c>
      <c r="B702" t="str">
        <f>VLOOKUP(A702,'Remote work mental helath'!$A$2:$T$1001,5,)</f>
        <v>Consulting</v>
      </c>
      <c r="C702" t="str">
        <f>VLOOKUP(A702,'Remote work mental helath'!$A$2:$T$1001,7,)</f>
        <v>Onsite</v>
      </c>
      <c r="D702">
        <f>VLOOKUP(A702,'Remote work mental helath'!$A$2:$T$1001,6,)</f>
        <v>18</v>
      </c>
      <c r="E702">
        <f>VLOOKUP(A702,'Remote work mental helath'!$A$2:$T$1001,8,)</f>
        <v>42</v>
      </c>
      <c r="F702">
        <f>VLOOKUP(A702,'Remote work mental helath'!$A$2:$T$1001,9,)</f>
        <v>15</v>
      </c>
    </row>
    <row r="703" spans="1:6" x14ac:dyDescent="0.3">
      <c r="A703" t="s">
        <v>752</v>
      </c>
      <c r="B703" t="str">
        <f>VLOOKUP(A703,'Remote work mental helath'!$A$2:$T$1001,5,)</f>
        <v>Finance</v>
      </c>
      <c r="C703" t="str">
        <f>VLOOKUP(A703,'Remote work mental helath'!$A$2:$T$1001,7,)</f>
        <v>Remote</v>
      </c>
      <c r="D703">
        <f>VLOOKUP(A703,'Remote work mental helath'!$A$2:$T$1001,6,)</f>
        <v>25</v>
      </c>
      <c r="E703">
        <f>VLOOKUP(A703,'Remote work mental helath'!$A$2:$T$1001,8,)</f>
        <v>26</v>
      </c>
      <c r="F703">
        <f>VLOOKUP(A703,'Remote work mental helath'!$A$2:$T$1001,9,)</f>
        <v>9</v>
      </c>
    </row>
    <row r="704" spans="1:6" x14ac:dyDescent="0.3">
      <c r="A704" t="s">
        <v>753</v>
      </c>
      <c r="B704" t="str">
        <f>VLOOKUP(A704,'Remote work mental helath'!$A$2:$T$1001,5,)</f>
        <v>Healthcare</v>
      </c>
      <c r="C704" t="str">
        <f>VLOOKUP(A704,'Remote work mental helath'!$A$2:$T$1001,7,)</f>
        <v>Onsite</v>
      </c>
      <c r="D704">
        <f>VLOOKUP(A704,'Remote work mental helath'!$A$2:$T$1001,6,)</f>
        <v>23</v>
      </c>
      <c r="E704">
        <f>VLOOKUP(A704,'Remote work mental helath'!$A$2:$T$1001,8,)</f>
        <v>28</v>
      </c>
      <c r="F704">
        <f>VLOOKUP(A704,'Remote work mental helath'!$A$2:$T$1001,9,)</f>
        <v>12</v>
      </c>
    </row>
    <row r="705" spans="1:6" x14ac:dyDescent="0.3">
      <c r="A705" t="s">
        <v>754</v>
      </c>
      <c r="B705" t="str">
        <f>VLOOKUP(A705,'Remote work mental helath'!$A$2:$T$1001,5,)</f>
        <v>Manufacturing</v>
      </c>
      <c r="C705" t="str">
        <f>VLOOKUP(A705,'Remote work mental helath'!$A$2:$T$1001,7,)</f>
        <v>Onsite</v>
      </c>
      <c r="D705">
        <f>VLOOKUP(A705,'Remote work mental helath'!$A$2:$T$1001,6,)</f>
        <v>1</v>
      </c>
      <c r="E705">
        <f>VLOOKUP(A705,'Remote work mental helath'!$A$2:$T$1001,8,)</f>
        <v>45</v>
      </c>
      <c r="F705">
        <f>VLOOKUP(A705,'Remote work mental helath'!$A$2:$T$1001,9,)</f>
        <v>4</v>
      </c>
    </row>
    <row r="706" spans="1:6" x14ac:dyDescent="0.3">
      <c r="A706" t="s">
        <v>755</v>
      </c>
      <c r="B706" t="str">
        <f>VLOOKUP(A706,'Remote work mental helath'!$A$2:$T$1001,5,)</f>
        <v>IT</v>
      </c>
      <c r="C706" t="str">
        <f>VLOOKUP(A706,'Remote work mental helath'!$A$2:$T$1001,7,)</f>
        <v>Remote</v>
      </c>
      <c r="D706">
        <f>VLOOKUP(A706,'Remote work mental helath'!$A$2:$T$1001,6,)</f>
        <v>5</v>
      </c>
      <c r="E706">
        <f>VLOOKUP(A706,'Remote work mental helath'!$A$2:$T$1001,8,)</f>
        <v>37</v>
      </c>
      <c r="F706">
        <f>VLOOKUP(A706,'Remote work mental helath'!$A$2:$T$1001,9,)</f>
        <v>2</v>
      </c>
    </row>
    <row r="707" spans="1:6" x14ac:dyDescent="0.3">
      <c r="A707" t="s">
        <v>756</v>
      </c>
      <c r="B707" t="str">
        <f>VLOOKUP(A707,'Remote work mental helath'!$A$2:$T$1001,5,)</f>
        <v>Retail</v>
      </c>
      <c r="C707" t="str">
        <f>VLOOKUP(A707,'Remote work mental helath'!$A$2:$T$1001,7,)</f>
        <v>Remote</v>
      </c>
      <c r="D707">
        <f>VLOOKUP(A707,'Remote work mental helath'!$A$2:$T$1001,6,)</f>
        <v>4</v>
      </c>
      <c r="E707">
        <f>VLOOKUP(A707,'Remote work mental helath'!$A$2:$T$1001,8,)</f>
        <v>31</v>
      </c>
      <c r="F707">
        <f>VLOOKUP(A707,'Remote work mental helath'!$A$2:$T$1001,9,)</f>
        <v>12</v>
      </c>
    </row>
    <row r="708" spans="1:6" x14ac:dyDescent="0.3">
      <c r="A708" t="s">
        <v>757</v>
      </c>
      <c r="B708" t="str">
        <f>VLOOKUP(A708,'Remote work mental helath'!$A$2:$T$1001,5,)</f>
        <v>Consulting</v>
      </c>
      <c r="C708" t="str">
        <f>VLOOKUP(A708,'Remote work mental helath'!$A$2:$T$1001,7,)</f>
        <v>Remote</v>
      </c>
      <c r="D708">
        <f>VLOOKUP(A708,'Remote work mental helath'!$A$2:$T$1001,6,)</f>
        <v>7</v>
      </c>
      <c r="E708">
        <f>VLOOKUP(A708,'Remote work mental helath'!$A$2:$T$1001,8,)</f>
        <v>22</v>
      </c>
      <c r="F708">
        <f>VLOOKUP(A708,'Remote work mental helath'!$A$2:$T$1001,9,)</f>
        <v>10</v>
      </c>
    </row>
    <row r="709" spans="1:6" x14ac:dyDescent="0.3">
      <c r="A709" t="s">
        <v>758</v>
      </c>
      <c r="B709" t="str">
        <f>VLOOKUP(A709,'Remote work mental helath'!$A$2:$T$1001,5,)</f>
        <v>Consulting</v>
      </c>
      <c r="C709" t="str">
        <f>VLOOKUP(A709,'Remote work mental helath'!$A$2:$T$1001,7,)</f>
        <v>Remote</v>
      </c>
      <c r="D709">
        <f>VLOOKUP(A709,'Remote work mental helath'!$A$2:$T$1001,6,)</f>
        <v>35</v>
      </c>
      <c r="E709">
        <f>VLOOKUP(A709,'Remote work mental helath'!$A$2:$T$1001,8,)</f>
        <v>48</v>
      </c>
      <c r="F709">
        <f>VLOOKUP(A709,'Remote work mental helath'!$A$2:$T$1001,9,)</f>
        <v>0</v>
      </c>
    </row>
    <row r="710" spans="1:6" x14ac:dyDescent="0.3">
      <c r="A710" t="s">
        <v>759</v>
      </c>
      <c r="B710" t="str">
        <f>VLOOKUP(A710,'Remote work mental helath'!$A$2:$T$1001,5,)</f>
        <v>Education</v>
      </c>
      <c r="C710" t="str">
        <f>VLOOKUP(A710,'Remote work mental helath'!$A$2:$T$1001,7,)</f>
        <v>Onsite</v>
      </c>
      <c r="D710">
        <f>VLOOKUP(A710,'Remote work mental helath'!$A$2:$T$1001,6,)</f>
        <v>7</v>
      </c>
      <c r="E710">
        <f>VLOOKUP(A710,'Remote work mental helath'!$A$2:$T$1001,8,)</f>
        <v>55</v>
      </c>
      <c r="F710">
        <f>VLOOKUP(A710,'Remote work mental helath'!$A$2:$T$1001,9,)</f>
        <v>9</v>
      </c>
    </row>
    <row r="711" spans="1:6" x14ac:dyDescent="0.3">
      <c r="A711" t="s">
        <v>760</v>
      </c>
      <c r="B711" t="str">
        <f>VLOOKUP(A711,'Remote work mental helath'!$A$2:$T$1001,5,)</f>
        <v>IT</v>
      </c>
      <c r="C711" t="str">
        <f>VLOOKUP(A711,'Remote work mental helath'!$A$2:$T$1001,7,)</f>
        <v>Onsite</v>
      </c>
      <c r="D711">
        <f>VLOOKUP(A711,'Remote work mental helath'!$A$2:$T$1001,6,)</f>
        <v>3</v>
      </c>
      <c r="E711">
        <f>VLOOKUP(A711,'Remote work mental helath'!$A$2:$T$1001,8,)</f>
        <v>60</v>
      </c>
      <c r="F711">
        <f>VLOOKUP(A711,'Remote work mental helath'!$A$2:$T$1001,9,)</f>
        <v>15</v>
      </c>
    </row>
    <row r="712" spans="1:6" x14ac:dyDescent="0.3">
      <c r="A712" t="s">
        <v>761</v>
      </c>
      <c r="B712" t="str">
        <f>VLOOKUP(A712,'Remote work mental helath'!$A$2:$T$1001,5,)</f>
        <v>Education</v>
      </c>
      <c r="C712" t="str">
        <f>VLOOKUP(A712,'Remote work mental helath'!$A$2:$T$1001,7,)</f>
        <v>Onsite</v>
      </c>
      <c r="D712">
        <f>VLOOKUP(A712,'Remote work mental helath'!$A$2:$T$1001,6,)</f>
        <v>14</v>
      </c>
      <c r="E712">
        <f>VLOOKUP(A712,'Remote work mental helath'!$A$2:$T$1001,8,)</f>
        <v>40</v>
      </c>
      <c r="F712">
        <f>VLOOKUP(A712,'Remote work mental helath'!$A$2:$T$1001,9,)</f>
        <v>12</v>
      </c>
    </row>
    <row r="713" spans="1:6" x14ac:dyDescent="0.3">
      <c r="A713" t="s">
        <v>762</v>
      </c>
      <c r="B713" t="str">
        <f>VLOOKUP(A713,'Remote work mental helath'!$A$2:$T$1001,5,)</f>
        <v>Retail</v>
      </c>
      <c r="C713" t="str">
        <f>VLOOKUP(A713,'Remote work mental helath'!$A$2:$T$1001,7,)</f>
        <v>Hybrid</v>
      </c>
      <c r="D713">
        <f>VLOOKUP(A713,'Remote work mental helath'!$A$2:$T$1001,6,)</f>
        <v>8</v>
      </c>
      <c r="E713">
        <f>VLOOKUP(A713,'Remote work mental helath'!$A$2:$T$1001,8,)</f>
        <v>30</v>
      </c>
      <c r="F713">
        <f>VLOOKUP(A713,'Remote work mental helath'!$A$2:$T$1001,9,)</f>
        <v>9</v>
      </c>
    </row>
    <row r="714" spans="1:6" x14ac:dyDescent="0.3">
      <c r="A714" t="s">
        <v>763</v>
      </c>
      <c r="B714" t="str">
        <f>VLOOKUP(A714,'Remote work mental helath'!$A$2:$T$1001,5,)</f>
        <v>Finance</v>
      </c>
      <c r="C714" t="str">
        <f>VLOOKUP(A714,'Remote work mental helath'!$A$2:$T$1001,7,)</f>
        <v>Hybrid</v>
      </c>
      <c r="D714">
        <f>VLOOKUP(A714,'Remote work mental helath'!$A$2:$T$1001,6,)</f>
        <v>2</v>
      </c>
      <c r="E714">
        <f>VLOOKUP(A714,'Remote work mental helath'!$A$2:$T$1001,8,)</f>
        <v>54</v>
      </c>
      <c r="F714">
        <f>VLOOKUP(A714,'Remote work mental helath'!$A$2:$T$1001,9,)</f>
        <v>9</v>
      </c>
    </row>
    <row r="715" spans="1:6" x14ac:dyDescent="0.3">
      <c r="A715" t="s">
        <v>764</v>
      </c>
      <c r="B715" t="str">
        <f>VLOOKUP(A715,'Remote work mental helath'!$A$2:$T$1001,5,)</f>
        <v>IT</v>
      </c>
      <c r="C715" t="str">
        <f>VLOOKUP(A715,'Remote work mental helath'!$A$2:$T$1001,7,)</f>
        <v>Remote</v>
      </c>
      <c r="D715">
        <f>VLOOKUP(A715,'Remote work mental helath'!$A$2:$T$1001,6,)</f>
        <v>7</v>
      </c>
      <c r="E715">
        <f>VLOOKUP(A715,'Remote work mental helath'!$A$2:$T$1001,8,)</f>
        <v>44</v>
      </c>
      <c r="F715">
        <f>VLOOKUP(A715,'Remote work mental helath'!$A$2:$T$1001,9,)</f>
        <v>7</v>
      </c>
    </row>
    <row r="716" spans="1:6" x14ac:dyDescent="0.3">
      <c r="A716" t="s">
        <v>765</v>
      </c>
      <c r="B716" t="str">
        <f>VLOOKUP(A716,'Remote work mental helath'!$A$2:$T$1001,5,)</f>
        <v>Manufacturing</v>
      </c>
      <c r="C716" t="str">
        <f>VLOOKUP(A716,'Remote work mental helath'!$A$2:$T$1001,7,)</f>
        <v>Remote</v>
      </c>
      <c r="D716">
        <f>VLOOKUP(A716,'Remote work mental helath'!$A$2:$T$1001,6,)</f>
        <v>19</v>
      </c>
      <c r="E716">
        <f>VLOOKUP(A716,'Remote work mental helath'!$A$2:$T$1001,8,)</f>
        <v>43</v>
      </c>
      <c r="F716">
        <f>VLOOKUP(A716,'Remote work mental helath'!$A$2:$T$1001,9,)</f>
        <v>5</v>
      </c>
    </row>
    <row r="717" spans="1:6" x14ac:dyDescent="0.3">
      <c r="A717" t="s">
        <v>766</v>
      </c>
      <c r="B717" t="str">
        <f>VLOOKUP(A717,'Remote work mental helath'!$A$2:$T$1001,5,)</f>
        <v>Consulting</v>
      </c>
      <c r="C717" t="str">
        <f>VLOOKUP(A717,'Remote work mental helath'!$A$2:$T$1001,7,)</f>
        <v>Onsite</v>
      </c>
      <c r="D717">
        <f>VLOOKUP(A717,'Remote work mental helath'!$A$2:$T$1001,6,)</f>
        <v>11</v>
      </c>
      <c r="E717">
        <f>VLOOKUP(A717,'Remote work mental helath'!$A$2:$T$1001,8,)</f>
        <v>35</v>
      </c>
      <c r="F717">
        <f>VLOOKUP(A717,'Remote work mental helath'!$A$2:$T$1001,9,)</f>
        <v>7</v>
      </c>
    </row>
    <row r="718" spans="1:6" x14ac:dyDescent="0.3">
      <c r="A718" t="s">
        <v>767</v>
      </c>
      <c r="B718" t="str">
        <f>VLOOKUP(A718,'Remote work mental helath'!$A$2:$T$1001,5,)</f>
        <v>Finance</v>
      </c>
      <c r="C718" t="str">
        <f>VLOOKUP(A718,'Remote work mental helath'!$A$2:$T$1001,7,)</f>
        <v>Remote</v>
      </c>
      <c r="D718">
        <f>VLOOKUP(A718,'Remote work mental helath'!$A$2:$T$1001,6,)</f>
        <v>7</v>
      </c>
      <c r="E718">
        <f>VLOOKUP(A718,'Remote work mental helath'!$A$2:$T$1001,8,)</f>
        <v>27</v>
      </c>
      <c r="F718">
        <f>VLOOKUP(A718,'Remote work mental helath'!$A$2:$T$1001,9,)</f>
        <v>0</v>
      </c>
    </row>
    <row r="719" spans="1:6" x14ac:dyDescent="0.3">
      <c r="A719" t="s">
        <v>768</v>
      </c>
      <c r="B719" t="str">
        <f>VLOOKUP(A719,'Remote work mental helath'!$A$2:$T$1001,5,)</f>
        <v>Healthcare</v>
      </c>
      <c r="C719" t="str">
        <f>VLOOKUP(A719,'Remote work mental helath'!$A$2:$T$1001,7,)</f>
        <v>Onsite</v>
      </c>
      <c r="D719">
        <f>VLOOKUP(A719,'Remote work mental helath'!$A$2:$T$1001,6,)</f>
        <v>23</v>
      </c>
      <c r="E719">
        <f>VLOOKUP(A719,'Remote work mental helath'!$A$2:$T$1001,8,)</f>
        <v>57</v>
      </c>
      <c r="F719">
        <f>VLOOKUP(A719,'Remote work mental helath'!$A$2:$T$1001,9,)</f>
        <v>14</v>
      </c>
    </row>
    <row r="720" spans="1:6" x14ac:dyDescent="0.3">
      <c r="A720" t="s">
        <v>769</v>
      </c>
      <c r="B720" t="str">
        <f>VLOOKUP(A720,'Remote work mental helath'!$A$2:$T$1001,5,)</f>
        <v>Healthcare</v>
      </c>
      <c r="C720" t="str">
        <f>VLOOKUP(A720,'Remote work mental helath'!$A$2:$T$1001,7,)</f>
        <v>Onsite</v>
      </c>
      <c r="D720">
        <f>VLOOKUP(A720,'Remote work mental helath'!$A$2:$T$1001,6,)</f>
        <v>4</v>
      </c>
      <c r="E720">
        <f>VLOOKUP(A720,'Remote work mental helath'!$A$2:$T$1001,8,)</f>
        <v>35</v>
      </c>
      <c r="F720">
        <f>VLOOKUP(A720,'Remote work mental helath'!$A$2:$T$1001,9,)</f>
        <v>9</v>
      </c>
    </row>
    <row r="721" spans="1:6" x14ac:dyDescent="0.3">
      <c r="A721" t="s">
        <v>770</v>
      </c>
      <c r="B721" t="str">
        <f>VLOOKUP(A721,'Remote work mental helath'!$A$2:$T$1001,5,)</f>
        <v>Consulting</v>
      </c>
      <c r="C721" t="str">
        <f>VLOOKUP(A721,'Remote work mental helath'!$A$2:$T$1001,7,)</f>
        <v>Remote</v>
      </c>
      <c r="D721">
        <f>VLOOKUP(A721,'Remote work mental helath'!$A$2:$T$1001,6,)</f>
        <v>30</v>
      </c>
      <c r="E721">
        <f>VLOOKUP(A721,'Remote work mental helath'!$A$2:$T$1001,8,)</f>
        <v>26</v>
      </c>
      <c r="F721">
        <f>VLOOKUP(A721,'Remote work mental helath'!$A$2:$T$1001,9,)</f>
        <v>6</v>
      </c>
    </row>
    <row r="722" spans="1:6" x14ac:dyDescent="0.3">
      <c r="A722" t="s">
        <v>771</v>
      </c>
      <c r="B722" t="str">
        <f>VLOOKUP(A722,'Remote work mental helath'!$A$2:$T$1001,5,)</f>
        <v>Healthcare</v>
      </c>
      <c r="C722" t="str">
        <f>VLOOKUP(A722,'Remote work mental helath'!$A$2:$T$1001,7,)</f>
        <v>Hybrid</v>
      </c>
      <c r="D722">
        <f>VLOOKUP(A722,'Remote work mental helath'!$A$2:$T$1001,6,)</f>
        <v>15</v>
      </c>
      <c r="E722">
        <f>VLOOKUP(A722,'Remote work mental helath'!$A$2:$T$1001,8,)</f>
        <v>38</v>
      </c>
      <c r="F722">
        <f>VLOOKUP(A722,'Remote work mental helath'!$A$2:$T$1001,9,)</f>
        <v>8</v>
      </c>
    </row>
    <row r="723" spans="1:6" x14ac:dyDescent="0.3">
      <c r="A723" t="s">
        <v>772</v>
      </c>
      <c r="B723" t="str">
        <f>VLOOKUP(A723,'Remote work mental helath'!$A$2:$T$1001,5,)</f>
        <v>Consulting</v>
      </c>
      <c r="C723" t="str">
        <f>VLOOKUP(A723,'Remote work mental helath'!$A$2:$T$1001,7,)</f>
        <v>Hybrid</v>
      </c>
      <c r="D723">
        <f>VLOOKUP(A723,'Remote work mental helath'!$A$2:$T$1001,6,)</f>
        <v>1</v>
      </c>
      <c r="E723">
        <f>VLOOKUP(A723,'Remote work mental helath'!$A$2:$T$1001,8,)</f>
        <v>54</v>
      </c>
      <c r="F723">
        <f>VLOOKUP(A723,'Remote work mental helath'!$A$2:$T$1001,9,)</f>
        <v>14</v>
      </c>
    </row>
    <row r="724" spans="1:6" x14ac:dyDescent="0.3">
      <c r="A724" t="s">
        <v>773</v>
      </c>
      <c r="B724" t="str">
        <f>VLOOKUP(A724,'Remote work mental helath'!$A$2:$T$1001,5,)</f>
        <v>Manufacturing</v>
      </c>
      <c r="C724" t="str">
        <f>VLOOKUP(A724,'Remote work mental helath'!$A$2:$T$1001,7,)</f>
        <v>Hybrid</v>
      </c>
      <c r="D724">
        <f>VLOOKUP(A724,'Remote work mental helath'!$A$2:$T$1001,6,)</f>
        <v>27</v>
      </c>
      <c r="E724">
        <f>VLOOKUP(A724,'Remote work mental helath'!$A$2:$T$1001,8,)</f>
        <v>37</v>
      </c>
      <c r="F724">
        <f>VLOOKUP(A724,'Remote work mental helath'!$A$2:$T$1001,9,)</f>
        <v>13</v>
      </c>
    </row>
    <row r="725" spans="1:6" x14ac:dyDescent="0.3">
      <c r="A725" t="s">
        <v>774</v>
      </c>
      <c r="B725" t="str">
        <f>VLOOKUP(A725,'Remote work mental helath'!$A$2:$T$1001,5,)</f>
        <v>Finance</v>
      </c>
      <c r="C725" t="str">
        <f>VLOOKUP(A725,'Remote work mental helath'!$A$2:$T$1001,7,)</f>
        <v>Onsite</v>
      </c>
      <c r="D725">
        <f>VLOOKUP(A725,'Remote work mental helath'!$A$2:$T$1001,6,)</f>
        <v>16</v>
      </c>
      <c r="E725">
        <f>VLOOKUP(A725,'Remote work mental helath'!$A$2:$T$1001,8,)</f>
        <v>35</v>
      </c>
      <c r="F725">
        <f>VLOOKUP(A725,'Remote work mental helath'!$A$2:$T$1001,9,)</f>
        <v>10</v>
      </c>
    </row>
    <row r="726" spans="1:6" x14ac:dyDescent="0.3">
      <c r="A726" t="s">
        <v>775</v>
      </c>
      <c r="B726" t="str">
        <f>VLOOKUP(A726,'Remote work mental helath'!$A$2:$T$1001,5,)</f>
        <v>IT</v>
      </c>
      <c r="C726" t="str">
        <f>VLOOKUP(A726,'Remote work mental helath'!$A$2:$T$1001,7,)</f>
        <v>Hybrid</v>
      </c>
      <c r="D726">
        <f>VLOOKUP(A726,'Remote work mental helath'!$A$2:$T$1001,6,)</f>
        <v>12</v>
      </c>
      <c r="E726">
        <f>VLOOKUP(A726,'Remote work mental helath'!$A$2:$T$1001,8,)</f>
        <v>51</v>
      </c>
      <c r="F726">
        <f>VLOOKUP(A726,'Remote work mental helath'!$A$2:$T$1001,9,)</f>
        <v>2</v>
      </c>
    </row>
    <row r="727" spans="1:6" x14ac:dyDescent="0.3">
      <c r="A727" t="s">
        <v>776</v>
      </c>
      <c r="B727" t="str">
        <f>VLOOKUP(A727,'Remote work mental helath'!$A$2:$T$1001,5,)</f>
        <v>Healthcare</v>
      </c>
      <c r="C727" t="str">
        <f>VLOOKUP(A727,'Remote work mental helath'!$A$2:$T$1001,7,)</f>
        <v>Remote</v>
      </c>
      <c r="D727">
        <f>VLOOKUP(A727,'Remote work mental helath'!$A$2:$T$1001,6,)</f>
        <v>12</v>
      </c>
      <c r="E727">
        <f>VLOOKUP(A727,'Remote work mental helath'!$A$2:$T$1001,8,)</f>
        <v>56</v>
      </c>
      <c r="F727">
        <f>VLOOKUP(A727,'Remote work mental helath'!$A$2:$T$1001,9,)</f>
        <v>12</v>
      </c>
    </row>
    <row r="728" spans="1:6" x14ac:dyDescent="0.3">
      <c r="A728" t="s">
        <v>777</v>
      </c>
      <c r="B728" t="str">
        <f>VLOOKUP(A728,'Remote work mental helath'!$A$2:$T$1001,5,)</f>
        <v>Healthcare</v>
      </c>
      <c r="C728" t="str">
        <f>VLOOKUP(A728,'Remote work mental helath'!$A$2:$T$1001,7,)</f>
        <v>Remote</v>
      </c>
      <c r="D728">
        <f>VLOOKUP(A728,'Remote work mental helath'!$A$2:$T$1001,6,)</f>
        <v>10</v>
      </c>
      <c r="E728">
        <f>VLOOKUP(A728,'Remote work mental helath'!$A$2:$T$1001,8,)</f>
        <v>59</v>
      </c>
      <c r="F728">
        <f>VLOOKUP(A728,'Remote work mental helath'!$A$2:$T$1001,9,)</f>
        <v>4</v>
      </c>
    </row>
    <row r="729" spans="1:6" x14ac:dyDescent="0.3">
      <c r="A729" t="s">
        <v>778</v>
      </c>
      <c r="B729" t="str">
        <f>VLOOKUP(A729,'Remote work mental helath'!$A$2:$T$1001,5,)</f>
        <v>Manufacturing</v>
      </c>
      <c r="C729" t="str">
        <f>VLOOKUP(A729,'Remote work mental helath'!$A$2:$T$1001,7,)</f>
        <v>Onsite</v>
      </c>
      <c r="D729">
        <f>VLOOKUP(A729,'Remote work mental helath'!$A$2:$T$1001,6,)</f>
        <v>1</v>
      </c>
      <c r="E729">
        <f>VLOOKUP(A729,'Remote work mental helath'!$A$2:$T$1001,8,)</f>
        <v>28</v>
      </c>
      <c r="F729">
        <f>VLOOKUP(A729,'Remote work mental helath'!$A$2:$T$1001,9,)</f>
        <v>12</v>
      </c>
    </row>
    <row r="730" spans="1:6" x14ac:dyDescent="0.3">
      <c r="A730" t="s">
        <v>779</v>
      </c>
      <c r="B730" t="str">
        <f>VLOOKUP(A730,'Remote work mental helath'!$A$2:$T$1001,5,)</f>
        <v>Finance</v>
      </c>
      <c r="C730" t="str">
        <f>VLOOKUP(A730,'Remote work mental helath'!$A$2:$T$1001,7,)</f>
        <v>Remote</v>
      </c>
      <c r="D730">
        <f>VLOOKUP(A730,'Remote work mental helath'!$A$2:$T$1001,6,)</f>
        <v>32</v>
      </c>
      <c r="E730">
        <f>VLOOKUP(A730,'Remote work mental helath'!$A$2:$T$1001,8,)</f>
        <v>51</v>
      </c>
      <c r="F730">
        <f>VLOOKUP(A730,'Remote work mental helath'!$A$2:$T$1001,9,)</f>
        <v>14</v>
      </c>
    </row>
    <row r="731" spans="1:6" x14ac:dyDescent="0.3">
      <c r="A731" t="s">
        <v>780</v>
      </c>
      <c r="B731" t="str">
        <f>VLOOKUP(A731,'Remote work mental helath'!$A$2:$T$1001,5,)</f>
        <v>Consulting</v>
      </c>
      <c r="C731" t="str">
        <f>VLOOKUP(A731,'Remote work mental helath'!$A$2:$T$1001,7,)</f>
        <v>Onsite</v>
      </c>
      <c r="D731">
        <f>VLOOKUP(A731,'Remote work mental helath'!$A$2:$T$1001,6,)</f>
        <v>19</v>
      </c>
      <c r="E731">
        <f>VLOOKUP(A731,'Remote work mental helath'!$A$2:$T$1001,8,)</f>
        <v>45</v>
      </c>
      <c r="F731">
        <f>VLOOKUP(A731,'Remote work mental helath'!$A$2:$T$1001,9,)</f>
        <v>6</v>
      </c>
    </row>
    <row r="732" spans="1:6" x14ac:dyDescent="0.3">
      <c r="A732" t="s">
        <v>781</v>
      </c>
      <c r="B732" t="str">
        <f>VLOOKUP(A732,'Remote work mental helath'!$A$2:$T$1001,5,)</f>
        <v>Education</v>
      </c>
      <c r="C732" t="str">
        <f>VLOOKUP(A732,'Remote work mental helath'!$A$2:$T$1001,7,)</f>
        <v>Hybrid</v>
      </c>
      <c r="D732">
        <f>VLOOKUP(A732,'Remote work mental helath'!$A$2:$T$1001,6,)</f>
        <v>13</v>
      </c>
      <c r="E732">
        <f>VLOOKUP(A732,'Remote work mental helath'!$A$2:$T$1001,8,)</f>
        <v>23</v>
      </c>
      <c r="F732">
        <f>VLOOKUP(A732,'Remote work mental helath'!$A$2:$T$1001,9,)</f>
        <v>3</v>
      </c>
    </row>
    <row r="733" spans="1:6" x14ac:dyDescent="0.3">
      <c r="A733" t="s">
        <v>782</v>
      </c>
      <c r="B733" t="str">
        <f>VLOOKUP(A733,'Remote work mental helath'!$A$2:$T$1001,5,)</f>
        <v>Education</v>
      </c>
      <c r="C733" t="str">
        <f>VLOOKUP(A733,'Remote work mental helath'!$A$2:$T$1001,7,)</f>
        <v>Hybrid</v>
      </c>
      <c r="D733">
        <f>VLOOKUP(A733,'Remote work mental helath'!$A$2:$T$1001,6,)</f>
        <v>14</v>
      </c>
      <c r="E733">
        <f>VLOOKUP(A733,'Remote work mental helath'!$A$2:$T$1001,8,)</f>
        <v>34</v>
      </c>
      <c r="F733">
        <f>VLOOKUP(A733,'Remote work mental helath'!$A$2:$T$1001,9,)</f>
        <v>9</v>
      </c>
    </row>
    <row r="734" spans="1:6" x14ac:dyDescent="0.3">
      <c r="A734" t="s">
        <v>783</v>
      </c>
      <c r="B734" t="str">
        <f>VLOOKUP(A734,'Remote work mental helath'!$A$2:$T$1001,5,)</f>
        <v>IT</v>
      </c>
      <c r="C734" t="str">
        <f>VLOOKUP(A734,'Remote work mental helath'!$A$2:$T$1001,7,)</f>
        <v>Remote</v>
      </c>
      <c r="D734">
        <f>VLOOKUP(A734,'Remote work mental helath'!$A$2:$T$1001,6,)</f>
        <v>11</v>
      </c>
      <c r="E734">
        <f>VLOOKUP(A734,'Remote work mental helath'!$A$2:$T$1001,8,)</f>
        <v>34</v>
      </c>
      <c r="F734">
        <f>VLOOKUP(A734,'Remote work mental helath'!$A$2:$T$1001,9,)</f>
        <v>9</v>
      </c>
    </row>
    <row r="735" spans="1:6" x14ac:dyDescent="0.3">
      <c r="A735" t="s">
        <v>784</v>
      </c>
      <c r="B735" t="str">
        <f>VLOOKUP(A735,'Remote work mental helath'!$A$2:$T$1001,5,)</f>
        <v>Retail</v>
      </c>
      <c r="C735" t="str">
        <f>VLOOKUP(A735,'Remote work mental helath'!$A$2:$T$1001,7,)</f>
        <v>Onsite</v>
      </c>
      <c r="D735">
        <f>VLOOKUP(A735,'Remote work mental helath'!$A$2:$T$1001,6,)</f>
        <v>3</v>
      </c>
      <c r="E735">
        <f>VLOOKUP(A735,'Remote work mental helath'!$A$2:$T$1001,8,)</f>
        <v>31</v>
      </c>
      <c r="F735">
        <f>VLOOKUP(A735,'Remote work mental helath'!$A$2:$T$1001,9,)</f>
        <v>6</v>
      </c>
    </row>
    <row r="736" spans="1:6" x14ac:dyDescent="0.3">
      <c r="A736" t="s">
        <v>785</v>
      </c>
      <c r="B736" t="str">
        <f>VLOOKUP(A736,'Remote work mental helath'!$A$2:$T$1001,5,)</f>
        <v>Retail</v>
      </c>
      <c r="C736" t="str">
        <f>VLOOKUP(A736,'Remote work mental helath'!$A$2:$T$1001,7,)</f>
        <v>Hybrid</v>
      </c>
      <c r="D736">
        <f>VLOOKUP(A736,'Remote work mental helath'!$A$2:$T$1001,6,)</f>
        <v>30</v>
      </c>
      <c r="E736">
        <f>VLOOKUP(A736,'Remote work mental helath'!$A$2:$T$1001,8,)</f>
        <v>35</v>
      </c>
      <c r="F736">
        <f>VLOOKUP(A736,'Remote work mental helath'!$A$2:$T$1001,9,)</f>
        <v>3</v>
      </c>
    </row>
    <row r="737" spans="1:6" x14ac:dyDescent="0.3">
      <c r="A737" t="s">
        <v>786</v>
      </c>
      <c r="B737" t="str">
        <f>VLOOKUP(A737,'Remote work mental helath'!$A$2:$T$1001,5,)</f>
        <v>Manufacturing</v>
      </c>
      <c r="C737" t="str">
        <f>VLOOKUP(A737,'Remote work mental helath'!$A$2:$T$1001,7,)</f>
        <v>Remote</v>
      </c>
      <c r="D737">
        <f>VLOOKUP(A737,'Remote work mental helath'!$A$2:$T$1001,6,)</f>
        <v>5</v>
      </c>
      <c r="E737">
        <f>VLOOKUP(A737,'Remote work mental helath'!$A$2:$T$1001,8,)</f>
        <v>32</v>
      </c>
      <c r="F737">
        <f>VLOOKUP(A737,'Remote work mental helath'!$A$2:$T$1001,9,)</f>
        <v>5</v>
      </c>
    </row>
    <row r="738" spans="1:6" x14ac:dyDescent="0.3">
      <c r="A738" t="s">
        <v>787</v>
      </c>
      <c r="B738" t="str">
        <f>VLOOKUP(A738,'Remote work mental helath'!$A$2:$T$1001,5,)</f>
        <v>Finance</v>
      </c>
      <c r="C738" t="str">
        <f>VLOOKUP(A738,'Remote work mental helath'!$A$2:$T$1001,7,)</f>
        <v>Hybrid</v>
      </c>
      <c r="D738">
        <f>VLOOKUP(A738,'Remote work mental helath'!$A$2:$T$1001,6,)</f>
        <v>12</v>
      </c>
      <c r="E738">
        <f>VLOOKUP(A738,'Remote work mental helath'!$A$2:$T$1001,8,)</f>
        <v>45</v>
      </c>
      <c r="F738">
        <f>VLOOKUP(A738,'Remote work mental helath'!$A$2:$T$1001,9,)</f>
        <v>4</v>
      </c>
    </row>
    <row r="739" spans="1:6" x14ac:dyDescent="0.3">
      <c r="A739" t="s">
        <v>788</v>
      </c>
      <c r="B739" t="str">
        <f>VLOOKUP(A739,'Remote work mental helath'!$A$2:$T$1001,5,)</f>
        <v>Education</v>
      </c>
      <c r="C739" t="str">
        <f>VLOOKUP(A739,'Remote work mental helath'!$A$2:$T$1001,7,)</f>
        <v>Remote</v>
      </c>
      <c r="D739">
        <f>VLOOKUP(A739,'Remote work mental helath'!$A$2:$T$1001,6,)</f>
        <v>27</v>
      </c>
      <c r="E739">
        <f>VLOOKUP(A739,'Remote work mental helath'!$A$2:$T$1001,8,)</f>
        <v>45</v>
      </c>
      <c r="F739">
        <f>VLOOKUP(A739,'Remote work mental helath'!$A$2:$T$1001,9,)</f>
        <v>10</v>
      </c>
    </row>
    <row r="740" spans="1:6" x14ac:dyDescent="0.3">
      <c r="A740" t="s">
        <v>789</v>
      </c>
      <c r="B740" t="str">
        <f>VLOOKUP(A740,'Remote work mental helath'!$A$2:$T$1001,5,)</f>
        <v>Retail</v>
      </c>
      <c r="C740" t="str">
        <f>VLOOKUP(A740,'Remote work mental helath'!$A$2:$T$1001,7,)</f>
        <v>Hybrid</v>
      </c>
      <c r="D740">
        <f>VLOOKUP(A740,'Remote work mental helath'!$A$2:$T$1001,6,)</f>
        <v>21</v>
      </c>
      <c r="E740">
        <f>VLOOKUP(A740,'Remote work mental helath'!$A$2:$T$1001,8,)</f>
        <v>37</v>
      </c>
      <c r="F740">
        <f>VLOOKUP(A740,'Remote work mental helath'!$A$2:$T$1001,9,)</f>
        <v>7</v>
      </c>
    </row>
    <row r="741" spans="1:6" x14ac:dyDescent="0.3">
      <c r="A741" t="s">
        <v>790</v>
      </c>
      <c r="B741" t="str">
        <f>VLOOKUP(A741,'Remote work mental helath'!$A$2:$T$1001,5,)</f>
        <v>Manufacturing</v>
      </c>
      <c r="C741" t="str">
        <f>VLOOKUP(A741,'Remote work mental helath'!$A$2:$T$1001,7,)</f>
        <v>Remote</v>
      </c>
      <c r="D741">
        <f>VLOOKUP(A741,'Remote work mental helath'!$A$2:$T$1001,6,)</f>
        <v>17</v>
      </c>
      <c r="E741">
        <f>VLOOKUP(A741,'Remote work mental helath'!$A$2:$T$1001,8,)</f>
        <v>41</v>
      </c>
      <c r="F741">
        <f>VLOOKUP(A741,'Remote work mental helath'!$A$2:$T$1001,9,)</f>
        <v>12</v>
      </c>
    </row>
    <row r="742" spans="1:6" x14ac:dyDescent="0.3">
      <c r="A742" t="s">
        <v>791</v>
      </c>
      <c r="B742" t="str">
        <f>VLOOKUP(A742,'Remote work mental helath'!$A$2:$T$1001,5,)</f>
        <v>Finance</v>
      </c>
      <c r="C742" t="str">
        <f>VLOOKUP(A742,'Remote work mental helath'!$A$2:$T$1001,7,)</f>
        <v>Hybrid</v>
      </c>
      <c r="D742">
        <f>VLOOKUP(A742,'Remote work mental helath'!$A$2:$T$1001,6,)</f>
        <v>35</v>
      </c>
      <c r="E742">
        <f>VLOOKUP(A742,'Remote work mental helath'!$A$2:$T$1001,8,)</f>
        <v>59</v>
      </c>
      <c r="F742">
        <f>VLOOKUP(A742,'Remote work mental helath'!$A$2:$T$1001,9,)</f>
        <v>11</v>
      </c>
    </row>
    <row r="743" spans="1:6" x14ac:dyDescent="0.3">
      <c r="A743" t="s">
        <v>792</v>
      </c>
      <c r="B743" t="str">
        <f>VLOOKUP(A743,'Remote work mental helath'!$A$2:$T$1001,5,)</f>
        <v>Manufacturing</v>
      </c>
      <c r="C743" t="str">
        <f>VLOOKUP(A743,'Remote work mental helath'!$A$2:$T$1001,7,)</f>
        <v>Remote</v>
      </c>
      <c r="D743">
        <f>VLOOKUP(A743,'Remote work mental helath'!$A$2:$T$1001,6,)</f>
        <v>10</v>
      </c>
      <c r="E743">
        <f>VLOOKUP(A743,'Remote work mental helath'!$A$2:$T$1001,8,)</f>
        <v>32</v>
      </c>
      <c r="F743">
        <f>VLOOKUP(A743,'Remote work mental helath'!$A$2:$T$1001,9,)</f>
        <v>2</v>
      </c>
    </row>
    <row r="744" spans="1:6" x14ac:dyDescent="0.3">
      <c r="A744" t="s">
        <v>793</v>
      </c>
      <c r="B744" t="str">
        <f>VLOOKUP(A744,'Remote work mental helath'!$A$2:$T$1001,5,)</f>
        <v>Consulting</v>
      </c>
      <c r="C744" t="str">
        <f>VLOOKUP(A744,'Remote work mental helath'!$A$2:$T$1001,7,)</f>
        <v>Hybrid</v>
      </c>
      <c r="D744">
        <f>VLOOKUP(A744,'Remote work mental helath'!$A$2:$T$1001,6,)</f>
        <v>14</v>
      </c>
      <c r="E744">
        <f>VLOOKUP(A744,'Remote work mental helath'!$A$2:$T$1001,8,)</f>
        <v>40</v>
      </c>
      <c r="F744">
        <f>VLOOKUP(A744,'Remote work mental helath'!$A$2:$T$1001,9,)</f>
        <v>4</v>
      </c>
    </row>
    <row r="745" spans="1:6" x14ac:dyDescent="0.3">
      <c r="A745" t="s">
        <v>794</v>
      </c>
      <c r="B745" t="str">
        <f>VLOOKUP(A745,'Remote work mental helath'!$A$2:$T$1001,5,)</f>
        <v>Healthcare</v>
      </c>
      <c r="C745" t="str">
        <f>VLOOKUP(A745,'Remote work mental helath'!$A$2:$T$1001,7,)</f>
        <v>Onsite</v>
      </c>
      <c r="D745">
        <f>VLOOKUP(A745,'Remote work mental helath'!$A$2:$T$1001,6,)</f>
        <v>19</v>
      </c>
      <c r="E745">
        <f>VLOOKUP(A745,'Remote work mental helath'!$A$2:$T$1001,8,)</f>
        <v>39</v>
      </c>
      <c r="F745">
        <f>VLOOKUP(A745,'Remote work mental helath'!$A$2:$T$1001,9,)</f>
        <v>14</v>
      </c>
    </row>
    <row r="746" spans="1:6" x14ac:dyDescent="0.3">
      <c r="A746" t="s">
        <v>795</v>
      </c>
      <c r="B746" t="str">
        <f>VLOOKUP(A746,'Remote work mental helath'!$A$2:$T$1001,5,)</f>
        <v>Healthcare</v>
      </c>
      <c r="C746" t="str">
        <f>VLOOKUP(A746,'Remote work mental helath'!$A$2:$T$1001,7,)</f>
        <v>Onsite</v>
      </c>
      <c r="D746">
        <f>VLOOKUP(A746,'Remote work mental helath'!$A$2:$T$1001,6,)</f>
        <v>30</v>
      </c>
      <c r="E746">
        <f>VLOOKUP(A746,'Remote work mental helath'!$A$2:$T$1001,8,)</f>
        <v>60</v>
      </c>
      <c r="F746">
        <f>VLOOKUP(A746,'Remote work mental helath'!$A$2:$T$1001,9,)</f>
        <v>12</v>
      </c>
    </row>
    <row r="747" spans="1:6" x14ac:dyDescent="0.3">
      <c r="A747" t="s">
        <v>796</v>
      </c>
      <c r="B747" t="str">
        <f>VLOOKUP(A747,'Remote work mental helath'!$A$2:$T$1001,5,)</f>
        <v>Healthcare</v>
      </c>
      <c r="C747" t="str">
        <f>VLOOKUP(A747,'Remote work mental helath'!$A$2:$T$1001,7,)</f>
        <v>Remote</v>
      </c>
      <c r="D747">
        <f>VLOOKUP(A747,'Remote work mental helath'!$A$2:$T$1001,6,)</f>
        <v>18</v>
      </c>
      <c r="E747">
        <f>VLOOKUP(A747,'Remote work mental helath'!$A$2:$T$1001,8,)</f>
        <v>28</v>
      </c>
      <c r="F747">
        <f>VLOOKUP(A747,'Remote work mental helath'!$A$2:$T$1001,9,)</f>
        <v>0</v>
      </c>
    </row>
    <row r="748" spans="1:6" x14ac:dyDescent="0.3">
      <c r="A748" t="s">
        <v>797</v>
      </c>
      <c r="B748" t="str">
        <f>VLOOKUP(A748,'Remote work mental helath'!$A$2:$T$1001,5,)</f>
        <v>IT</v>
      </c>
      <c r="C748" t="str">
        <f>VLOOKUP(A748,'Remote work mental helath'!$A$2:$T$1001,7,)</f>
        <v>Hybrid</v>
      </c>
      <c r="D748">
        <f>VLOOKUP(A748,'Remote work mental helath'!$A$2:$T$1001,6,)</f>
        <v>1</v>
      </c>
      <c r="E748">
        <f>VLOOKUP(A748,'Remote work mental helath'!$A$2:$T$1001,8,)</f>
        <v>32</v>
      </c>
      <c r="F748">
        <f>VLOOKUP(A748,'Remote work mental helath'!$A$2:$T$1001,9,)</f>
        <v>9</v>
      </c>
    </row>
    <row r="749" spans="1:6" x14ac:dyDescent="0.3">
      <c r="A749" t="s">
        <v>798</v>
      </c>
      <c r="B749" t="str">
        <f>VLOOKUP(A749,'Remote work mental helath'!$A$2:$T$1001,5,)</f>
        <v>Finance</v>
      </c>
      <c r="C749" t="str">
        <f>VLOOKUP(A749,'Remote work mental helath'!$A$2:$T$1001,7,)</f>
        <v>Onsite</v>
      </c>
      <c r="D749">
        <f>VLOOKUP(A749,'Remote work mental helath'!$A$2:$T$1001,6,)</f>
        <v>30</v>
      </c>
      <c r="E749">
        <f>VLOOKUP(A749,'Remote work mental helath'!$A$2:$T$1001,8,)</f>
        <v>56</v>
      </c>
      <c r="F749">
        <f>VLOOKUP(A749,'Remote work mental helath'!$A$2:$T$1001,9,)</f>
        <v>11</v>
      </c>
    </row>
    <row r="750" spans="1:6" x14ac:dyDescent="0.3">
      <c r="A750" t="s">
        <v>799</v>
      </c>
      <c r="B750" t="str">
        <f>VLOOKUP(A750,'Remote work mental helath'!$A$2:$T$1001,5,)</f>
        <v>Finance</v>
      </c>
      <c r="C750" t="str">
        <f>VLOOKUP(A750,'Remote work mental helath'!$A$2:$T$1001,7,)</f>
        <v>Remote</v>
      </c>
      <c r="D750">
        <f>VLOOKUP(A750,'Remote work mental helath'!$A$2:$T$1001,6,)</f>
        <v>23</v>
      </c>
      <c r="E750">
        <f>VLOOKUP(A750,'Remote work mental helath'!$A$2:$T$1001,8,)</f>
        <v>23</v>
      </c>
      <c r="F750">
        <f>VLOOKUP(A750,'Remote work mental helath'!$A$2:$T$1001,9,)</f>
        <v>0</v>
      </c>
    </row>
    <row r="751" spans="1:6" x14ac:dyDescent="0.3">
      <c r="A751" t="s">
        <v>800</v>
      </c>
      <c r="B751" t="str">
        <f>VLOOKUP(A751,'Remote work mental helath'!$A$2:$T$1001,5,)</f>
        <v>IT</v>
      </c>
      <c r="C751" t="str">
        <f>VLOOKUP(A751,'Remote work mental helath'!$A$2:$T$1001,7,)</f>
        <v>Onsite</v>
      </c>
      <c r="D751">
        <f>VLOOKUP(A751,'Remote work mental helath'!$A$2:$T$1001,6,)</f>
        <v>18</v>
      </c>
      <c r="E751">
        <f>VLOOKUP(A751,'Remote work mental helath'!$A$2:$T$1001,8,)</f>
        <v>51</v>
      </c>
      <c r="F751">
        <f>VLOOKUP(A751,'Remote work mental helath'!$A$2:$T$1001,9,)</f>
        <v>1</v>
      </c>
    </row>
    <row r="752" spans="1:6" x14ac:dyDescent="0.3">
      <c r="A752" t="s">
        <v>801</v>
      </c>
      <c r="B752" t="str">
        <f>VLOOKUP(A752,'Remote work mental helath'!$A$2:$T$1001,5,)</f>
        <v>IT</v>
      </c>
      <c r="C752" t="str">
        <f>VLOOKUP(A752,'Remote work mental helath'!$A$2:$T$1001,7,)</f>
        <v>Remote</v>
      </c>
      <c r="D752">
        <f>VLOOKUP(A752,'Remote work mental helath'!$A$2:$T$1001,6,)</f>
        <v>22</v>
      </c>
      <c r="E752">
        <f>VLOOKUP(A752,'Remote work mental helath'!$A$2:$T$1001,8,)</f>
        <v>32</v>
      </c>
      <c r="F752">
        <f>VLOOKUP(A752,'Remote work mental helath'!$A$2:$T$1001,9,)</f>
        <v>11</v>
      </c>
    </row>
    <row r="753" spans="1:6" x14ac:dyDescent="0.3">
      <c r="A753" t="s">
        <v>802</v>
      </c>
      <c r="B753" t="str">
        <f>VLOOKUP(A753,'Remote work mental helath'!$A$2:$T$1001,5,)</f>
        <v>Healthcare</v>
      </c>
      <c r="C753" t="str">
        <f>VLOOKUP(A753,'Remote work mental helath'!$A$2:$T$1001,7,)</f>
        <v>Remote</v>
      </c>
      <c r="D753">
        <f>VLOOKUP(A753,'Remote work mental helath'!$A$2:$T$1001,6,)</f>
        <v>23</v>
      </c>
      <c r="E753">
        <f>VLOOKUP(A753,'Remote work mental helath'!$A$2:$T$1001,8,)</f>
        <v>35</v>
      </c>
      <c r="F753">
        <f>VLOOKUP(A753,'Remote work mental helath'!$A$2:$T$1001,9,)</f>
        <v>12</v>
      </c>
    </row>
    <row r="754" spans="1:6" x14ac:dyDescent="0.3">
      <c r="A754" t="s">
        <v>803</v>
      </c>
      <c r="B754" t="str">
        <f>VLOOKUP(A754,'Remote work mental helath'!$A$2:$T$1001,5,)</f>
        <v>Healthcare</v>
      </c>
      <c r="C754" t="str">
        <f>VLOOKUP(A754,'Remote work mental helath'!$A$2:$T$1001,7,)</f>
        <v>Remote</v>
      </c>
      <c r="D754">
        <f>VLOOKUP(A754,'Remote work mental helath'!$A$2:$T$1001,6,)</f>
        <v>26</v>
      </c>
      <c r="E754">
        <f>VLOOKUP(A754,'Remote work mental helath'!$A$2:$T$1001,8,)</f>
        <v>54</v>
      </c>
      <c r="F754">
        <f>VLOOKUP(A754,'Remote work mental helath'!$A$2:$T$1001,9,)</f>
        <v>7</v>
      </c>
    </row>
    <row r="755" spans="1:6" x14ac:dyDescent="0.3">
      <c r="A755" t="s">
        <v>804</v>
      </c>
      <c r="B755" t="str">
        <f>VLOOKUP(A755,'Remote work mental helath'!$A$2:$T$1001,5,)</f>
        <v>Education</v>
      </c>
      <c r="C755" t="str">
        <f>VLOOKUP(A755,'Remote work mental helath'!$A$2:$T$1001,7,)</f>
        <v>Remote</v>
      </c>
      <c r="D755">
        <f>VLOOKUP(A755,'Remote work mental helath'!$A$2:$T$1001,6,)</f>
        <v>33</v>
      </c>
      <c r="E755">
        <f>VLOOKUP(A755,'Remote work mental helath'!$A$2:$T$1001,8,)</f>
        <v>44</v>
      </c>
      <c r="F755">
        <f>VLOOKUP(A755,'Remote work mental helath'!$A$2:$T$1001,9,)</f>
        <v>4</v>
      </c>
    </row>
    <row r="756" spans="1:6" x14ac:dyDescent="0.3">
      <c r="A756" t="s">
        <v>805</v>
      </c>
      <c r="B756" t="str">
        <f>VLOOKUP(A756,'Remote work mental helath'!$A$2:$T$1001,5,)</f>
        <v>Consulting</v>
      </c>
      <c r="C756" t="str">
        <f>VLOOKUP(A756,'Remote work mental helath'!$A$2:$T$1001,7,)</f>
        <v>Remote</v>
      </c>
      <c r="D756">
        <f>VLOOKUP(A756,'Remote work mental helath'!$A$2:$T$1001,6,)</f>
        <v>17</v>
      </c>
      <c r="E756">
        <f>VLOOKUP(A756,'Remote work mental helath'!$A$2:$T$1001,8,)</f>
        <v>36</v>
      </c>
      <c r="F756">
        <f>VLOOKUP(A756,'Remote work mental helath'!$A$2:$T$1001,9,)</f>
        <v>2</v>
      </c>
    </row>
    <row r="757" spans="1:6" x14ac:dyDescent="0.3">
      <c r="A757" t="s">
        <v>806</v>
      </c>
      <c r="B757" t="str">
        <f>VLOOKUP(A757,'Remote work mental helath'!$A$2:$T$1001,5,)</f>
        <v>Manufacturing</v>
      </c>
      <c r="C757" t="str">
        <f>VLOOKUP(A757,'Remote work mental helath'!$A$2:$T$1001,7,)</f>
        <v>Remote</v>
      </c>
      <c r="D757">
        <f>VLOOKUP(A757,'Remote work mental helath'!$A$2:$T$1001,6,)</f>
        <v>11</v>
      </c>
      <c r="E757">
        <f>VLOOKUP(A757,'Remote work mental helath'!$A$2:$T$1001,8,)</f>
        <v>24</v>
      </c>
      <c r="F757">
        <f>VLOOKUP(A757,'Remote work mental helath'!$A$2:$T$1001,9,)</f>
        <v>5</v>
      </c>
    </row>
    <row r="758" spans="1:6" x14ac:dyDescent="0.3">
      <c r="A758" t="s">
        <v>807</v>
      </c>
      <c r="B758" t="str">
        <f>VLOOKUP(A758,'Remote work mental helath'!$A$2:$T$1001,5,)</f>
        <v>Retail</v>
      </c>
      <c r="C758" t="str">
        <f>VLOOKUP(A758,'Remote work mental helath'!$A$2:$T$1001,7,)</f>
        <v>Onsite</v>
      </c>
      <c r="D758">
        <f>VLOOKUP(A758,'Remote work mental helath'!$A$2:$T$1001,6,)</f>
        <v>19</v>
      </c>
      <c r="E758">
        <f>VLOOKUP(A758,'Remote work mental helath'!$A$2:$T$1001,8,)</f>
        <v>24</v>
      </c>
      <c r="F758">
        <f>VLOOKUP(A758,'Remote work mental helath'!$A$2:$T$1001,9,)</f>
        <v>9</v>
      </c>
    </row>
    <row r="759" spans="1:6" x14ac:dyDescent="0.3">
      <c r="A759" t="s">
        <v>808</v>
      </c>
      <c r="B759" t="str">
        <f>VLOOKUP(A759,'Remote work mental helath'!$A$2:$T$1001,5,)</f>
        <v>Manufacturing</v>
      </c>
      <c r="C759" t="str">
        <f>VLOOKUP(A759,'Remote work mental helath'!$A$2:$T$1001,7,)</f>
        <v>Remote</v>
      </c>
      <c r="D759">
        <f>VLOOKUP(A759,'Remote work mental helath'!$A$2:$T$1001,6,)</f>
        <v>26</v>
      </c>
      <c r="E759">
        <f>VLOOKUP(A759,'Remote work mental helath'!$A$2:$T$1001,8,)</f>
        <v>32</v>
      </c>
      <c r="F759">
        <f>VLOOKUP(A759,'Remote work mental helath'!$A$2:$T$1001,9,)</f>
        <v>5</v>
      </c>
    </row>
    <row r="760" spans="1:6" x14ac:dyDescent="0.3">
      <c r="A760" t="s">
        <v>809</v>
      </c>
      <c r="B760" t="str">
        <f>VLOOKUP(A760,'Remote work mental helath'!$A$2:$T$1001,5,)</f>
        <v>Education</v>
      </c>
      <c r="C760" t="str">
        <f>VLOOKUP(A760,'Remote work mental helath'!$A$2:$T$1001,7,)</f>
        <v>Hybrid</v>
      </c>
      <c r="D760">
        <f>VLOOKUP(A760,'Remote work mental helath'!$A$2:$T$1001,6,)</f>
        <v>15</v>
      </c>
      <c r="E760">
        <f>VLOOKUP(A760,'Remote work mental helath'!$A$2:$T$1001,8,)</f>
        <v>21</v>
      </c>
      <c r="F760">
        <f>VLOOKUP(A760,'Remote work mental helath'!$A$2:$T$1001,9,)</f>
        <v>3</v>
      </c>
    </row>
    <row r="761" spans="1:6" x14ac:dyDescent="0.3">
      <c r="A761" t="s">
        <v>810</v>
      </c>
      <c r="B761" t="str">
        <f>VLOOKUP(A761,'Remote work mental helath'!$A$2:$T$1001,5,)</f>
        <v>Healthcare</v>
      </c>
      <c r="C761" t="str">
        <f>VLOOKUP(A761,'Remote work mental helath'!$A$2:$T$1001,7,)</f>
        <v>Hybrid</v>
      </c>
      <c r="D761">
        <f>VLOOKUP(A761,'Remote work mental helath'!$A$2:$T$1001,6,)</f>
        <v>12</v>
      </c>
      <c r="E761">
        <f>VLOOKUP(A761,'Remote work mental helath'!$A$2:$T$1001,8,)</f>
        <v>20</v>
      </c>
      <c r="F761">
        <f>VLOOKUP(A761,'Remote work mental helath'!$A$2:$T$1001,9,)</f>
        <v>4</v>
      </c>
    </row>
    <row r="762" spans="1:6" x14ac:dyDescent="0.3">
      <c r="A762" t="s">
        <v>811</v>
      </c>
      <c r="B762" t="str">
        <f>VLOOKUP(A762,'Remote work mental helath'!$A$2:$T$1001,5,)</f>
        <v>IT</v>
      </c>
      <c r="C762" t="str">
        <f>VLOOKUP(A762,'Remote work mental helath'!$A$2:$T$1001,7,)</f>
        <v>Onsite</v>
      </c>
      <c r="D762">
        <f>VLOOKUP(A762,'Remote work mental helath'!$A$2:$T$1001,6,)</f>
        <v>13</v>
      </c>
      <c r="E762">
        <f>VLOOKUP(A762,'Remote work mental helath'!$A$2:$T$1001,8,)</f>
        <v>59</v>
      </c>
      <c r="F762">
        <f>VLOOKUP(A762,'Remote work mental helath'!$A$2:$T$1001,9,)</f>
        <v>14</v>
      </c>
    </row>
    <row r="763" spans="1:6" x14ac:dyDescent="0.3">
      <c r="A763" t="s">
        <v>812</v>
      </c>
      <c r="B763" t="str">
        <f>VLOOKUP(A763,'Remote work mental helath'!$A$2:$T$1001,5,)</f>
        <v>IT</v>
      </c>
      <c r="C763" t="str">
        <f>VLOOKUP(A763,'Remote work mental helath'!$A$2:$T$1001,7,)</f>
        <v>Hybrid</v>
      </c>
      <c r="D763">
        <f>VLOOKUP(A763,'Remote work mental helath'!$A$2:$T$1001,6,)</f>
        <v>26</v>
      </c>
      <c r="E763">
        <f>VLOOKUP(A763,'Remote work mental helath'!$A$2:$T$1001,8,)</f>
        <v>44</v>
      </c>
      <c r="F763">
        <f>VLOOKUP(A763,'Remote work mental helath'!$A$2:$T$1001,9,)</f>
        <v>4</v>
      </c>
    </row>
    <row r="764" spans="1:6" x14ac:dyDescent="0.3">
      <c r="A764" t="s">
        <v>813</v>
      </c>
      <c r="B764" t="str">
        <f>VLOOKUP(A764,'Remote work mental helath'!$A$2:$T$1001,5,)</f>
        <v>Retail</v>
      </c>
      <c r="C764" t="str">
        <f>VLOOKUP(A764,'Remote work mental helath'!$A$2:$T$1001,7,)</f>
        <v>Remote</v>
      </c>
      <c r="D764">
        <f>VLOOKUP(A764,'Remote work mental helath'!$A$2:$T$1001,6,)</f>
        <v>6</v>
      </c>
      <c r="E764">
        <f>VLOOKUP(A764,'Remote work mental helath'!$A$2:$T$1001,8,)</f>
        <v>57</v>
      </c>
      <c r="F764">
        <f>VLOOKUP(A764,'Remote work mental helath'!$A$2:$T$1001,9,)</f>
        <v>0</v>
      </c>
    </row>
    <row r="765" spans="1:6" x14ac:dyDescent="0.3">
      <c r="A765" t="s">
        <v>814</v>
      </c>
      <c r="B765" t="str">
        <f>VLOOKUP(A765,'Remote work mental helath'!$A$2:$T$1001,5,)</f>
        <v>Finance</v>
      </c>
      <c r="C765" t="str">
        <f>VLOOKUP(A765,'Remote work mental helath'!$A$2:$T$1001,7,)</f>
        <v>Onsite</v>
      </c>
      <c r="D765">
        <f>VLOOKUP(A765,'Remote work mental helath'!$A$2:$T$1001,6,)</f>
        <v>31</v>
      </c>
      <c r="E765">
        <f>VLOOKUP(A765,'Remote work mental helath'!$A$2:$T$1001,8,)</f>
        <v>56</v>
      </c>
      <c r="F765">
        <f>VLOOKUP(A765,'Remote work mental helath'!$A$2:$T$1001,9,)</f>
        <v>7</v>
      </c>
    </row>
    <row r="766" spans="1:6" x14ac:dyDescent="0.3">
      <c r="A766" t="s">
        <v>815</v>
      </c>
      <c r="B766" t="str">
        <f>VLOOKUP(A766,'Remote work mental helath'!$A$2:$T$1001,5,)</f>
        <v>Education</v>
      </c>
      <c r="C766" t="str">
        <f>VLOOKUP(A766,'Remote work mental helath'!$A$2:$T$1001,7,)</f>
        <v>Hybrid</v>
      </c>
      <c r="D766">
        <f>VLOOKUP(A766,'Remote work mental helath'!$A$2:$T$1001,6,)</f>
        <v>5</v>
      </c>
      <c r="E766">
        <f>VLOOKUP(A766,'Remote work mental helath'!$A$2:$T$1001,8,)</f>
        <v>51</v>
      </c>
      <c r="F766">
        <f>VLOOKUP(A766,'Remote work mental helath'!$A$2:$T$1001,9,)</f>
        <v>0</v>
      </c>
    </row>
    <row r="767" spans="1:6" x14ac:dyDescent="0.3">
      <c r="A767" t="s">
        <v>816</v>
      </c>
      <c r="B767" t="str">
        <f>VLOOKUP(A767,'Remote work mental helath'!$A$2:$T$1001,5,)</f>
        <v>Retail</v>
      </c>
      <c r="C767" t="str">
        <f>VLOOKUP(A767,'Remote work mental helath'!$A$2:$T$1001,7,)</f>
        <v>Hybrid</v>
      </c>
      <c r="D767">
        <f>VLOOKUP(A767,'Remote work mental helath'!$A$2:$T$1001,6,)</f>
        <v>24</v>
      </c>
      <c r="E767">
        <f>VLOOKUP(A767,'Remote work mental helath'!$A$2:$T$1001,8,)</f>
        <v>23</v>
      </c>
      <c r="F767">
        <f>VLOOKUP(A767,'Remote work mental helath'!$A$2:$T$1001,9,)</f>
        <v>15</v>
      </c>
    </row>
    <row r="768" spans="1:6" x14ac:dyDescent="0.3">
      <c r="A768" t="s">
        <v>817</v>
      </c>
      <c r="B768" t="str">
        <f>VLOOKUP(A768,'Remote work mental helath'!$A$2:$T$1001,5,)</f>
        <v>Retail</v>
      </c>
      <c r="C768" t="str">
        <f>VLOOKUP(A768,'Remote work mental helath'!$A$2:$T$1001,7,)</f>
        <v>Onsite</v>
      </c>
      <c r="D768">
        <f>VLOOKUP(A768,'Remote work mental helath'!$A$2:$T$1001,6,)</f>
        <v>20</v>
      </c>
      <c r="E768">
        <f>VLOOKUP(A768,'Remote work mental helath'!$A$2:$T$1001,8,)</f>
        <v>34</v>
      </c>
      <c r="F768">
        <f>VLOOKUP(A768,'Remote work mental helath'!$A$2:$T$1001,9,)</f>
        <v>8</v>
      </c>
    </row>
    <row r="769" spans="1:6" x14ac:dyDescent="0.3">
      <c r="A769" t="s">
        <v>818</v>
      </c>
      <c r="B769" t="str">
        <f>VLOOKUP(A769,'Remote work mental helath'!$A$2:$T$1001,5,)</f>
        <v>Consulting</v>
      </c>
      <c r="C769" t="str">
        <f>VLOOKUP(A769,'Remote work mental helath'!$A$2:$T$1001,7,)</f>
        <v>Remote</v>
      </c>
      <c r="D769">
        <f>VLOOKUP(A769,'Remote work mental helath'!$A$2:$T$1001,6,)</f>
        <v>3</v>
      </c>
      <c r="E769">
        <f>VLOOKUP(A769,'Remote work mental helath'!$A$2:$T$1001,8,)</f>
        <v>45</v>
      </c>
      <c r="F769">
        <f>VLOOKUP(A769,'Remote work mental helath'!$A$2:$T$1001,9,)</f>
        <v>0</v>
      </c>
    </row>
    <row r="770" spans="1:6" x14ac:dyDescent="0.3">
      <c r="A770" t="s">
        <v>819</v>
      </c>
      <c r="B770" t="str">
        <f>VLOOKUP(A770,'Remote work mental helath'!$A$2:$T$1001,5,)</f>
        <v>Healthcare</v>
      </c>
      <c r="C770" t="str">
        <f>VLOOKUP(A770,'Remote work mental helath'!$A$2:$T$1001,7,)</f>
        <v>Remote</v>
      </c>
      <c r="D770">
        <f>VLOOKUP(A770,'Remote work mental helath'!$A$2:$T$1001,6,)</f>
        <v>8</v>
      </c>
      <c r="E770">
        <f>VLOOKUP(A770,'Remote work mental helath'!$A$2:$T$1001,8,)</f>
        <v>50</v>
      </c>
      <c r="F770">
        <f>VLOOKUP(A770,'Remote work mental helath'!$A$2:$T$1001,9,)</f>
        <v>0</v>
      </c>
    </row>
    <row r="771" spans="1:6" x14ac:dyDescent="0.3">
      <c r="A771" t="s">
        <v>820</v>
      </c>
      <c r="B771" t="str">
        <f>VLOOKUP(A771,'Remote work mental helath'!$A$2:$T$1001,5,)</f>
        <v>Healthcare</v>
      </c>
      <c r="C771" t="str">
        <f>VLOOKUP(A771,'Remote work mental helath'!$A$2:$T$1001,7,)</f>
        <v>Remote</v>
      </c>
      <c r="D771">
        <f>VLOOKUP(A771,'Remote work mental helath'!$A$2:$T$1001,6,)</f>
        <v>9</v>
      </c>
      <c r="E771">
        <f>VLOOKUP(A771,'Remote work mental helath'!$A$2:$T$1001,8,)</f>
        <v>27</v>
      </c>
      <c r="F771">
        <f>VLOOKUP(A771,'Remote work mental helath'!$A$2:$T$1001,9,)</f>
        <v>6</v>
      </c>
    </row>
    <row r="772" spans="1:6" x14ac:dyDescent="0.3">
      <c r="A772" t="s">
        <v>821</v>
      </c>
      <c r="B772" t="str">
        <f>VLOOKUP(A772,'Remote work mental helath'!$A$2:$T$1001,5,)</f>
        <v>IT</v>
      </c>
      <c r="C772" t="str">
        <f>VLOOKUP(A772,'Remote work mental helath'!$A$2:$T$1001,7,)</f>
        <v>Onsite</v>
      </c>
      <c r="D772">
        <f>VLOOKUP(A772,'Remote work mental helath'!$A$2:$T$1001,6,)</f>
        <v>3</v>
      </c>
      <c r="E772">
        <f>VLOOKUP(A772,'Remote work mental helath'!$A$2:$T$1001,8,)</f>
        <v>60</v>
      </c>
      <c r="F772">
        <f>VLOOKUP(A772,'Remote work mental helath'!$A$2:$T$1001,9,)</f>
        <v>12</v>
      </c>
    </row>
    <row r="773" spans="1:6" x14ac:dyDescent="0.3">
      <c r="A773" t="s">
        <v>822</v>
      </c>
      <c r="B773" t="str">
        <f>VLOOKUP(A773,'Remote work mental helath'!$A$2:$T$1001,5,)</f>
        <v>Education</v>
      </c>
      <c r="C773" t="str">
        <f>VLOOKUP(A773,'Remote work mental helath'!$A$2:$T$1001,7,)</f>
        <v>Remote</v>
      </c>
      <c r="D773">
        <f>VLOOKUP(A773,'Remote work mental helath'!$A$2:$T$1001,6,)</f>
        <v>23</v>
      </c>
      <c r="E773">
        <f>VLOOKUP(A773,'Remote work mental helath'!$A$2:$T$1001,8,)</f>
        <v>45</v>
      </c>
      <c r="F773">
        <f>VLOOKUP(A773,'Remote work mental helath'!$A$2:$T$1001,9,)</f>
        <v>9</v>
      </c>
    </row>
    <row r="774" spans="1:6" x14ac:dyDescent="0.3">
      <c r="A774" t="s">
        <v>823</v>
      </c>
      <c r="B774" t="str">
        <f>VLOOKUP(A774,'Remote work mental helath'!$A$2:$T$1001,5,)</f>
        <v>Healthcare</v>
      </c>
      <c r="C774" t="str">
        <f>VLOOKUP(A774,'Remote work mental helath'!$A$2:$T$1001,7,)</f>
        <v>Onsite</v>
      </c>
      <c r="D774">
        <f>VLOOKUP(A774,'Remote work mental helath'!$A$2:$T$1001,6,)</f>
        <v>8</v>
      </c>
      <c r="E774">
        <f>VLOOKUP(A774,'Remote work mental helath'!$A$2:$T$1001,8,)</f>
        <v>41</v>
      </c>
      <c r="F774">
        <f>VLOOKUP(A774,'Remote work mental helath'!$A$2:$T$1001,9,)</f>
        <v>6</v>
      </c>
    </row>
    <row r="775" spans="1:6" x14ac:dyDescent="0.3">
      <c r="A775" t="s">
        <v>824</v>
      </c>
      <c r="B775" t="str">
        <f>VLOOKUP(A775,'Remote work mental helath'!$A$2:$T$1001,5,)</f>
        <v>Manufacturing</v>
      </c>
      <c r="C775" t="str">
        <f>VLOOKUP(A775,'Remote work mental helath'!$A$2:$T$1001,7,)</f>
        <v>Onsite</v>
      </c>
      <c r="D775">
        <f>VLOOKUP(A775,'Remote work mental helath'!$A$2:$T$1001,6,)</f>
        <v>26</v>
      </c>
      <c r="E775">
        <f>VLOOKUP(A775,'Remote work mental helath'!$A$2:$T$1001,8,)</f>
        <v>25</v>
      </c>
      <c r="F775">
        <f>VLOOKUP(A775,'Remote work mental helath'!$A$2:$T$1001,9,)</f>
        <v>5</v>
      </c>
    </row>
    <row r="776" spans="1:6" x14ac:dyDescent="0.3">
      <c r="A776" t="s">
        <v>825</v>
      </c>
      <c r="B776" t="str">
        <f>VLOOKUP(A776,'Remote work mental helath'!$A$2:$T$1001,5,)</f>
        <v>Education</v>
      </c>
      <c r="C776" t="str">
        <f>VLOOKUP(A776,'Remote work mental helath'!$A$2:$T$1001,7,)</f>
        <v>Hybrid</v>
      </c>
      <c r="D776">
        <f>VLOOKUP(A776,'Remote work mental helath'!$A$2:$T$1001,6,)</f>
        <v>6</v>
      </c>
      <c r="E776">
        <f>VLOOKUP(A776,'Remote work mental helath'!$A$2:$T$1001,8,)</f>
        <v>40</v>
      </c>
      <c r="F776">
        <f>VLOOKUP(A776,'Remote work mental helath'!$A$2:$T$1001,9,)</f>
        <v>1</v>
      </c>
    </row>
    <row r="777" spans="1:6" x14ac:dyDescent="0.3">
      <c r="A777" t="s">
        <v>826</v>
      </c>
      <c r="B777" t="str">
        <f>VLOOKUP(A777,'Remote work mental helath'!$A$2:$T$1001,5,)</f>
        <v>Healthcare</v>
      </c>
      <c r="C777" t="str">
        <f>VLOOKUP(A777,'Remote work mental helath'!$A$2:$T$1001,7,)</f>
        <v>Remote</v>
      </c>
      <c r="D777">
        <f>VLOOKUP(A777,'Remote work mental helath'!$A$2:$T$1001,6,)</f>
        <v>9</v>
      </c>
      <c r="E777">
        <f>VLOOKUP(A777,'Remote work mental helath'!$A$2:$T$1001,8,)</f>
        <v>58</v>
      </c>
      <c r="F777">
        <f>VLOOKUP(A777,'Remote work mental helath'!$A$2:$T$1001,9,)</f>
        <v>10</v>
      </c>
    </row>
    <row r="778" spans="1:6" x14ac:dyDescent="0.3">
      <c r="A778" t="s">
        <v>827</v>
      </c>
      <c r="B778" t="str">
        <f>VLOOKUP(A778,'Remote work mental helath'!$A$2:$T$1001,5,)</f>
        <v>Consulting</v>
      </c>
      <c r="C778" t="str">
        <f>VLOOKUP(A778,'Remote work mental helath'!$A$2:$T$1001,7,)</f>
        <v>Hybrid</v>
      </c>
      <c r="D778">
        <f>VLOOKUP(A778,'Remote work mental helath'!$A$2:$T$1001,6,)</f>
        <v>20</v>
      </c>
      <c r="E778">
        <f>VLOOKUP(A778,'Remote work mental helath'!$A$2:$T$1001,8,)</f>
        <v>36</v>
      </c>
      <c r="F778">
        <f>VLOOKUP(A778,'Remote work mental helath'!$A$2:$T$1001,9,)</f>
        <v>7</v>
      </c>
    </row>
    <row r="779" spans="1:6" x14ac:dyDescent="0.3">
      <c r="A779" t="s">
        <v>828</v>
      </c>
      <c r="B779" t="str">
        <f>VLOOKUP(A779,'Remote work mental helath'!$A$2:$T$1001,5,)</f>
        <v>Finance</v>
      </c>
      <c r="C779" t="str">
        <f>VLOOKUP(A779,'Remote work mental helath'!$A$2:$T$1001,7,)</f>
        <v>Onsite</v>
      </c>
      <c r="D779">
        <f>VLOOKUP(A779,'Remote work mental helath'!$A$2:$T$1001,6,)</f>
        <v>12</v>
      </c>
      <c r="E779">
        <f>VLOOKUP(A779,'Remote work mental helath'!$A$2:$T$1001,8,)</f>
        <v>38</v>
      </c>
      <c r="F779">
        <f>VLOOKUP(A779,'Remote work mental helath'!$A$2:$T$1001,9,)</f>
        <v>6</v>
      </c>
    </row>
    <row r="780" spans="1:6" x14ac:dyDescent="0.3">
      <c r="A780" t="s">
        <v>829</v>
      </c>
      <c r="B780" t="str">
        <f>VLOOKUP(A780,'Remote work mental helath'!$A$2:$T$1001,5,)</f>
        <v>Manufacturing</v>
      </c>
      <c r="C780" t="str">
        <f>VLOOKUP(A780,'Remote work mental helath'!$A$2:$T$1001,7,)</f>
        <v>Hybrid</v>
      </c>
      <c r="D780">
        <f>VLOOKUP(A780,'Remote work mental helath'!$A$2:$T$1001,6,)</f>
        <v>30</v>
      </c>
      <c r="E780">
        <f>VLOOKUP(A780,'Remote work mental helath'!$A$2:$T$1001,8,)</f>
        <v>21</v>
      </c>
      <c r="F780">
        <f>VLOOKUP(A780,'Remote work mental helath'!$A$2:$T$1001,9,)</f>
        <v>15</v>
      </c>
    </row>
    <row r="781" spans="1:6" x14ac:dyDescent="0.3">
      <c r="A781" t="s">
        <v>830</v>
      </c>
      <c r="B781" t="str">
        <f>VLOOKUP(A781,'Remote work mental helath'!$A$2:$T$1001,5,)</f>
        <v>Retail</v>
      </c>
      <c r="C781" t="str">
        <f>VLOOKUP(A781,'Remote work mental helath'!$A$2:$T$1001,7,)</f>
        <v>Remote</v>
      </c>
      <c r="D781">
        <f>VLOOKUP(A781,'Remote work mental helath'!$A$2:$T$1001,6,)</f>
        <v>6</v>
      </c>
      <c r="E781">
        <f>VLOOKUP(A781,'Remote work mental helath'!$A$2:$T$1001,8,)</f>
        <v>59</v>
      </c>
      <c r="F781">
        <f>VLOOKUP(A781,'Remote work mental helath'!$A$2:$T$1001,9,)</f>
        <v>15</v>
      </c>
    </row>
    <row r="782" spans="1:6" x14ac:dyDescent="0.3">
      <c r="A782" t="s">
        <v>831</v>
      </c>
      <c r="B782" t="str">
        <f>VLOOKUP(A782,'Remote work mental helath'!$A$2:$T$1001,5,)</f>
        <v>Finance</v>
      </c>
      <c r="C782" t="str">
        <f>VLOOKUP(A782,'Remote work mental helath'!$A$2:$T$1001,7,)</f>
        <v>Hybrid</v>
      </c>
      <c r="D782">
        <f>VLOOKUP(A782,'Remote work mental helath'!$A$2:$T$1001,6,)</f>
        <v>8</v>
      </c>
      <c r="E782">
        <f>VLOOKUP(A782,'Remote work mental helath'!$A$2:$T$1001,8,)</f>
        <v>47</v>
      </c>
      <c r="F782">
        <f>VLOOKUP(A782,'Remote work mental helath'!$A$2:$T$1001,9,)</f>
        <v>0</v>
      </c>
    </row>
    <row r="783" spans="1:6" x14ac:dyDescent="0.3">
      <c r="A783" t="s">
        <v>832</v>
      </c>
      <c r="B783" t="str">
        <f>VLOOKUP(A783,'Remote work mental helath'!$A$2:$T$1001,5,)</f>
        <v>IT</v>
      </c>
      <c r="C783" t="str">
        <f>VLOOKUP(A783,'Remote work mental helath'!$A$2:$T$1001,7,)</f>
        <v>Onsite</v>
      </c>
      <c r="D783">
        <f>VLOOKUP(A783,'Remote work mental helath'!$A$2:$T$1001,6,)</f>
        <v>21</v>
      </c>
      <c r="E783">
        <f>VLOOKUP(A783,'Remote work mental helath'!$A$2:$T$1001,8,)</f>
        <v>21</v>
      </c>
      <c r="F783">
        <f>VLOOKUP(A783,'Remote work mental helath'!$A$2:$T$1001,9,)</f>
        <v>1</v>
      </c>
    </row>
    <row r="784" spans="1:6" x14ac:dyDescent="0.3">
      <c r="A784" t="s">
        <v>833</v>
      </c>
      <c r="B784" t="str">
        <f>VLOOKUP(A784,'Remote work mental helath'!$A$2:$T$1001,5,)</f>
        <v>Consulting</v>
      </c>
      <c r="C784" t="str">
        <f>VLOOKUP(A784,'Remote work mental helath'!$A$2:$T$1001,7,)</f>
        <v>Onsite</v>
      </c>
      <c r="D784">
        <f>VLOOKUP(A784,'Remote work mental helath'!$A$2:$T$1001,6,)</f>
        <v>8</v>
      </c>
      <c r="E784">
        <f>VLOOKUP(A784,'Remote work mental helath'!$A$2:$T$1001,8,)</f>
        <v>26</v>
      </c>
      <c r="F784">
        <f>VLOOKUP(A784,'Remote work mental helath'!$A$2:$T$1001,9,)</f>
        <v>8</v>
      </c>
    </row>
    <row r="785" spans="1:6" x14ac:dyDescent="0.3">
      <c r="A785" t="s">
        <v>834</v>
      </c>
      <c r="B785" t="str">
        <f>VLOOKUP(A785,'Remote work mental helath'!$A$2:$T$1001,5,)</f>
        <v>Manufacturing</v>
      </c>
      <c r="C785" t="str">
        <f>VLOOKUP(A785,'Remote work mental helath'!$A$2:$T$1001,7,)</f>
        <v>Hybrid</v>
      </c>
      <c r="D785">
        <f>VLOOKUP(A785,'Remote work mental helath'!$A$2:$T$1001,6,)</f>
        <v>19</v>
      </c>
      <c r="E785">
        <f>VLOOKUP(A785,'Remote work mental helath'!$A$2:$T$1001,8,)</f>
        <v>58</v>
      </c>
      <c r="F785">
        <f>VLOOKUP(A785,'Remote work mental helath'!$A$2:$T$1001,9,)</f>
        <v>7</v>
      </c>
    </row>
    <row r="786" spans="1:6" x14ac:dyDescent="0.3">
      <c r="A786" t="s">
        <v>835</v>
      </c>
      <c r="B786" t="str">
        <f>VLOOKUP(A786,'Remote work mental helath'!$A$2:$T$1001,5,)</f>
        <v>IT</v>
      </c>
      <c r="C786" t="str">
        <f>VLOOKUP(A786,'Remote work mental helath'!$A$2:$T$1001,7,)</f>
        <v>Remote</v>
      </c>
      <c r="D786">
        <f>VLOOKUP(A786,'Remote work mental helath'!$A$2:$T$1001,6,)</f>
        <v>15</v>
      </c>
      <c r="E786">
        <f>VLOOKUP(A786,'Remote work mental helath'!$A$2:$T$1001,8,)</f>
        <v>42</v>
      </c>
      <c r="F786">
        <f>VLOOKUP(A786,'Remote work mental helath'!$A$2:$T$1001,9,)</f>
        <v>7</v>
      </c>
    </row>
    <row r="787" spans="1:6" x14ac:dyDescent="0.3">
      <c r="A787" t="s">
        <v>836</v>
      </c>
      <c r="B787" t="str">
        <f>VLOOKUP(A787,'Remote work mental helath'!$A$2:$T$1001,5,)</f>
        <v>Education</v>
      </c>
      <c r="C787" t="str">
        <f>VLOOKUP(A787,'Remote work mental helath'!$A$2:$T$1001,7,)</f>
        <v>Onsite</v>
      </c>
      <c r="D787">
        <f>VLOOKUP(A787,'Remote work mental helath'!$A$2:$T$1001,6,)</f>
        <v>19</v>
      </c>
      <c r="E787">
        <f>VLOOKUP(A787,'Remote work mental helath'!$A$2:$T$1001,8,)</f>
        <v>30</v>
      </c>
      <c r="F787">
        <f>VLOOKUP(A787,'Remote work mental helath'!$A$2:$T$1001,9,)</f>
        <v>8</v>
      </c>
    </row>
    <row r="788" spans="1:6" x14ac:dyDescent="0.3">
      <c r="A788" t="s">
        <v>837</v>
      </c>
      <c r="B788" t="str">
        <f>VLOOKUP(A788,'Remote work mental helath'!$A$2:$T$1001,5,)</f>
        <v>Healthcare</v>
      </c>
      <c r="C788" t="str">
        <f>VLOOKUP(A788,'Remote work mental helath'!$A$2:$T$1001,7,)</f>
        <v>Hybrid</v>
      </c>
      <c r="D788">
        <f>VLOOKUP(A788,'Remote work mental helath'!$A$2:$T$1001,6,)</f>
        <v>34</v>
      </c>
      <c r="E788">
        <f>VLOOKUP(A788,'Remote work mental helath'!$A$2:$T$1001,8,)</f>
        <v>46</v>
      </c>
      <c r="F788">
        <f>VLOOKUP(A788,'Remote work mental helath'!$A$2:$T$1001,9,)</f>
        <v>0</v>
      </c>
    </row>
    <row r="789" spans="1:6" x14ac:dyDescent="0.3">
      <c r="A789" t="s">
        <v>838</v>
      </c>
      <c r="B789" t="str">
        <f>VLOOKUP(A789,'Remote work mental helath'!$A$2:$T$1001,5,)</f>
        <v>Healthcare</v>
      </c>
      <c r="C789" t="str">
        <f>VLOOKUP(A789,'Remote work mental helath'!$A$2:$T$1001,7,)</f>
        <v>Remote</v>
      </c>
      <c r="D789">
        <f>VLOOKUP(A789,'Remote work mental helath'!$A$2:$T$1001,6,)</f>
        <v>21</v>
      </c>
      <c r="E789">
        <f>VLOOKUP(A789,'Remote work mental helath'!$A$2:$T$1001,8,)</f>
        <v>48</v>
      </c>
      <c r="F789">
        <f>VLOOKUP(A789,'Remote work mental helath'!$A$2:$T$1001,9,)</f>
        <v>5</v>
      </c>
    </row>
    <row r="790" spans="1:6" x14ac:dyDescent="0.3">
      <c r="A790" t="s">
        <v>839</v>
      </c>
      <c r="B790" t="str">
        <f>VLOOKUP(A790,'Remote work mental helath'!$A$2:$T$1001,5,)</f>
        <v>Healthcare</v>
      </c>
      <c r="C790" t="str">
        <f>VLOOKUP(A790,'Remote work mental helath'!$A$2:$T$1001,7,)</f>
        <v>Onsite</v>
      </c>
      <c r="D790">
        <f>VLOOKUP(A790,'Remote work mental helath'!$A$2:$T$1001,6,)</f>
        <v>23</v>
      </c>
      <c r="E790">
        <f>VLOOKUP(A790,'Remote work mental helath'!$A$2:$T$1001,8,)</f>
        <v>38</v>
      </c>
      <c r="F790">
        <f>VLOOKUP(A790,'Remote work mental helath'!$A$2:$T$1001,9,)</f>
        <v>0</v>
      </c>
    </row>
    <row r="791" spans="1:6" x14ac:dyDescent="0.3">
      <c r="A791" t="s">
        <v>840</v>
      </c>
      <c r="B791" t="str">
        <f>VLOOKUP(A791,'Remote work mental helath'!$A$2:$T$1001,5,)</f>
        <v>Finance</v>
      </c>
      <c r="C791" t="str">
        <f>VLOOKUP(A791,'Remote work mental helath'!$A$2:$T$1001,7,)</f>
        <v>Onsite</v>
      </c>
      <c r="D791">
        <f>VLOOKUP(A791,'Remote work mental helath'!$A$2:$T$1001,6,)</f>
        <v>5</v>
      </c>
      <c r="E791">
        <f>VLOOKUP(A791,'Remote work mental helath'!$A$2:$T$1001,8,)</f>
        <v>26</v>
      </c>
      <c r="F791">
        <f>VLOOKUP(A791,'Remote work mental helath'!$A$2:$T$1001,9,)</f>
        <v>8</v>
      </c>
    </row>
    <row r="792" spans="1:6" x14ac:dyDescent="0.3">
      <c r="A792" t="s">
        <v>841</v>
      </c>
      <c r="B792" t="str">
        <f>VLOOKUP(A792,'Remote work mental helath'!$A$2:$T$1001,5,)</f>
        <v>Manufacturing</v>
      </c>
      <c r="C792" t="str">
        <f>VLOOKUP(A792,'Remote work mental helath'!$A$2:$T$1001,7,)</f>
        <v>Hybrid</v>
      </c>
      <c r="D792">
        <f>VLOOKUP(A792,'Remote work mental helath'!$A$2:$T$1001,6,)</f>
        <v>5</v>
      </c>
      <c r="E792">
        <f>VLOOKUP(A792,'Remote work mental helath'!$A$2:$T$1001,8,)</f>
        <v>59</v>
      </c>
      <c r="F792">
        <f>VLOOKUP(A792,'Remote work mental helath'!$A$2:$T$1001,9,)</f>
        <v>10</v>
      </c>
    </row>
    <row r="793" spans="1:6" x14ac:dyDescent="0.3">
      <c r="A793" t="s">
        <v>842</v>
      </c>
      <c r="B793" t="str">
        <f>VLOOKUP(A793,'Remote work mental helath'!$A$2:$T$1001,5,)</f>
        <v>Healthcare</v>
      </c>
      <c r="C793" t="str">
        <f>VLOOKUP(A793,'Remote work mental helath'!$A$2:$T$1001,7,)</f>
        <v>Remote</v>
      </c>
      <c r="D793">
        <f>VLOOKUP(A793,'Remote work mental helath'!$A$2:$T$1001,6,)</f>
        <v>24</v>
      </c>
      <c r="E793">
        <f>VLOOKUP(A793,'Remote work mental helath'!$A$2:$T$1001,8,)</f>
        <v>24</v>
      </c>
      <c r="F793">
        <f>VLOOKUP(A793,'Remote work mental helath'!$A$2:$T$1001,9,)</f>
        <v>11</v>
      </c>
    </row>
    <row r="794" spans="1:6" x14ac:dyDescent="0.3">
      <c r="A794" t="s">
        <v>843</v>
      </c>
      <c r="B794" t="str">
        <f>VLOOKUP(A794,'Remote work mental helath'!$A$2:$T$1001,5,)</f>
        <v>IT</v>
      </c>
      <c r="C794" t="str">
        <f>VLOOKUP(A794,'Remote work mental helath'!$A$2:$T$1001,7,)</f>
        <v>Hybrid</v>
      </c>
      <c r="D794">
        <f>VLOOKUP(A794,'Remote work mental helath'!$A$2:$T$1001,6,)</f>
        <v>8</v>
      </c>
      <c r="E794">
        <f>VLOOKUP(A794,'Remote work mental helath'!$A$2:$T$1001,8,)</f>
        <v>50</v>
      </c>
      <c r="F794">
        <f>VLOOKUP(A794,'Remote work mental helath'!$A$2:$T$1001,9,)</f>
        <v>12</v>
      </c>
    </row>
    <row r="795" spans="1:6" x14ac:dyDescent="0.3">
      <c r="A795" t="s">
        <v>844</v>
      </c>
      <c r="B795" t="str">
        <f>VLOOKUP(A795,'Remote work mental helath'!$A$2:$T$1001,5,)</f>
        <v>Consulting</v>
      </c>
      <c r="C795" t="str">
        <f>VLOOKUP(A795,'Remote work mental helath'!$A$2:$T$1001,7,)</f>
        <v>Remote</v>
      </c>
      <c r="D795">
        <f>VLOOKUP(A795,'Remote work mental helath'!$A$2:$T$1001,6,)</f>
        <v>18</v>
      </c>
      <c r="E795">
        <f>VLOOKUP(A795,'Remote work mental helath'!$A$2:$T$1001,8,)</f>
        <v>53</v>
      </c>
      <c r="F795">
        <f>VLOOKUP(A795,'Remote work mental helath'!$A$2:$T$1001,9,)</f>
        <v>3</v>
      </c>
    </row>
    <row r="796" spans="1:6" x14ac:dyDescent="0.3">
      <c r="A796" t="s">
        <v>845</v>
      </c>
      <c r="B796" t="str">
        <f>VLOOKUP(A796,'Remote work mental helath'!$A$2:$T$1001,5,)</f>
        <v>Education</v>
      </c>
      <c r="C796" t="str">
        <f>VLOOKUP(A796,'Remote work mental helath'!$A$2:$T$1001,7,)</f>
        <v>Onsite</v>
      </c>
      <c r="D796">
        <f>VLOOKUP(A796,'Remote work mental helath'!$A$2:$T$1001,6,)</f>
        <v>7</v>
      </c>
      <c r="E796">
        <f>VLOOKUP(A796,'Remote work mental helath'!$A$2:$T$1001,8,)</f>
        <v>48</v>
      </c>
      <c r="F796">
        <f>VLOOKUP(A796,'Remote work mental helath'!$A$2:$T$1001,9,)</f>
        <v>1</v>
      </c>
    </row>
    <row r="797" spans="1:6" x14ac:dyDescent="0.3">
      <c r="A797" t="s">
        <v>846</v>
      </c>
      <c r="B797" t="str">
        <f>VLOOKUP(A797,'Remote work mental helath'!$A$2:$T$1001,5,)</f>
        <v>IT</v>
      </c>
      <c r="C797" t="str">
        <f>VLOOKUP(A797,'Remote work mental helath'!$A$2:$T$1001,7,)</f>
        <v>Hybrid</v>
      </c>
      <c r="D797">
        <f>VLOOKUP(A797,'Remote work mental helath'!$A$2:$T$1001,6,)</f>
        <v>28</v>
      </c>
      <c r="E797">
        <f>VLOOKUP(A797,'Remote work mental helath'!$A$2:$T$1001,8,)</f>
        <v>39</v>
      </c>
      <c r="F797">
        <f>VLOOKUP(A797,'Remote work mental helath'!$A$2:$T$1001,9,)</f>
        <v>13</v>
      </c>
    </row>
    <row r="798" spans="1:6" x14ac:dyDescent="0.3">
      <c r="A798" t="s">
        <v>847</v>
      </c>
      <c r="B798" t="str">
        <f>VLOOKUP(A798,'Remote work mental helath'!$A$2:$T$1001,5,)</f>
        <v>Finance</v>
      </c>
      <c r="C798" t="str">
        <f>VLOOKUP(A798,'Remote work mental helath'!$A$2:$T$1001,7,)</f>
        <v>Onsite</v>
      </c>
      <c r="D798">
        <f>VLOOKUP(A798,'Remote work mental helath'!$A$2:$T$1001,6,)</f>
        <v>13</v>
      </c>
      <c r="E798">
        <f>VLOOKUP(A798,'Remote work mental helath'!$A$2:$T$1001,8,)</f>
        <v>42</v>
      </c>
      <c r="F798">
        <f>VLOOKUP(A798,'Remote work mental helath'!$A$2:$T$1001,9,)</f>
        <v>10</v>
      </c>
    </row>
    <row r="799" spans="1:6" x14ac:dyDescent="0.3">
      <c r="A799" t="s">
        <v>848</v>
      </c>
      <c r="B799" t="str">
        <f>VLOOKUP(A799,'Remote work mental helath'!$A$2:$T$1001,5,)</f>
        <v>IT</v>
      </c>
      <c r="C799" t="str">
        <f>VLOOKUP(A799,'Remote work mental helath'!$A$2:$T$1001,7,)</f>
        <v>Remote</v>
      </c>
      <c r="D799">
        <f>VLOOKUP(A799,'Remote work mental helath'!$A$2:$T$1001,6,)</f>
        <v>14</v>
      </c>
      <c r="E799">
        <f>VLOOKUP(A799,'Remote work mental helath'!$A$2:$T$1001,8,)</f>
        <v>50</v>
      </c>
      <c r="F799">
        <f>VLOOKUP(A799,'Remote work mental helath'!$A$2:$T$1001,9,)</f>
        <v>1</v>
      </c>
    </row>
    <row r="800" spans="1:6" x14ac:dyDescent="0.3">
      <c r="A800" t="s">
        <v>849</v>
      </c>
      <c r="B800" t="str">
        <f>VLOOKUP(A800,'Remote work mental helath'!$A$2:$T$1001,5,)</f>
        <v>Education</v>
      </c>
      <c r="C800" t="str">
        <f>VLOOKUP(A800,'Remote work mental helath'!$A$2:$T$1001,7,)</f>
        <v>Onsite</v>
      </c>
      <c r="D800">
        <f>VLOOKUP(A800,'Remote work mental helath'!$A$2:$T$1001,6,)</f>
        <v>23</v>
      </c>
      <c r="E800">
        <f>VLOOKUP(A800,'Remote work mental helath'!$A$2:$T$1001,8,)</f>
        <v>59</v>
      </c>
      <c r="F800">
        <f>VLOOKUP(A800,'Remote work mental helath'!$A$2:$T$1001,9,)</f>
        <v>6</v>
      </c>
    </row>
    <row r="801" spans="1:6" x14ac:dyDescent="0.3">
      <c r="A801" t="s">
        <v>850</v>
      </c>
      <c r="B801" t="str">
        <f>VLOOKUP(A801,'Remote work mental helath'!$A$2:$T$1001,5,)</f>
        <v>Consulting</v>
      </c>
      <c r="C801" t="str">
        <f>VLOOKUP(A801,'Remote work mental helath'!$A$2:$T$1001,7,)</f>
        <v>Onsite</v>
      </c>
      <c r="D801">
        <f>VLOOKUP(A801,'Remote work mental helath'!$A$2:$T$1001,6,)</f>
        <v>7</v>
      </c>
      <c r="E801">
        <f>VLOOKUP(A801,'Remote work mental helath'!$A$2:$T$1001,8,)</f>
        <v>20</v>
      </c>
      <c r="F801">
        <f>VLOOKUP(A801,'Remote work mental helath'!$A$2:$T$1001,9,)</f>
        <v>8</v>
      </c>
    </row>
    <row r="802" spans="1:6" x14ac:dyDescent="0.3">
      <c r="A802" t="s">
        <v>851</v>
      </c>
      <c r="B802" t="str">
        <f>VLOOKUP(A802,'Remote work mental helath'!$A$2:$T$1001,5,)</f>
        <v>Manufacturing</v>
      </c>
      <c r="C802" t="str">
        <f>VLOOKUP(A802,'Remote work mental helath'!$A$2:$T$1001,7,)</f>
        <v>Remote</v>
      </c>
      <c r="D802">
        <f>VLOOKUP(A802,'Remote work mental helath'!$A$2:$T$1001,6,)</f>
        <v>3</v>
      </c>
      <c r="E802">
        <f>VLOOKUP(A802,'Remote work mental helath'!$A$2:$T$1001,8,)</f>
        <v>32</v>
      </c>
      <c r="F802">
        <f>VLOOKUP(A802,'Remote work mental helath'!$A$2:$T$1001,9,)</f>
        <v>10</v>
      </c>
    </row>
    <row r="803" spans="1:6" x14ac:dyDescent="0.3">
      <c r="A803" t="s">
        <v>852</v>
      </c>
      <c r="B803" t="str">
        <f>VLOOKUP(A803,'Remote work mental helath'!$A$2:$T$1001,5,)</f>
        <v>Manufacturing</v>
      </c>
      <c r="C803" t="str">
        <f>VLOOKUP(A803,'Remote work mental helath'!$A$2:$T$1001,7,)</f>
        <v>Hybrid</v>
      </c>
      <c r="D803">
        <f>VLOOKUP(A803,'Remote work mental helath'!$A$2:$T$1001,6,)</f>
        <v>24</v>
      </c>
      <c r="E803">
        <f>VLOOKUP(A803,'Remote work mental helath'!$A$2:$T$1001,8,)</f>
        <v>45</v>
      </c>
      <c r="F803">
        <f>VLOOKUP(A803,'Remote work mental helath'!$A$2:$T$1001,9,)</f>
        <v>7</v>
      </c>
    </row>
    <row r="804" spans="1:6" x14ac:dyDescent="0.3">
      <c r="A804" t="s">
        <v>853</v>
      </c>
      <c r="B804" t="str">
        <f>VLOOKUP(A804,'Remote work mental helath'!$A$2:$T$1001,5,)</f>
        <v>Education</v>
      </c>
      <c r="C804" t="str">
        <f>VLOOKUP(A804,'Remote work mental helath'!$A$2:$T$1001,7,)</f>
        <v>Onsite</v>
      </c>
      <c r="D804">
        <f>VLOOKUP(A804,'Remote work mental helath'!$A$2:$T$1001,6,)</f>
        <v>2</v>
      </c>
      <c r="E804">
        <f>VLOOKUP(A804,'Remote work mental helath'!$A$2:$T$1001,8,)</f>
        <v>45</v>
      </c>
      <c r="F804">
        <f>VLOOKUP(A804,'Remote work mental helath'!$A$2:$T$1001,9,)</f>
        <v>13</v>
      </c>
    </row>
    <row r="805" spans="1:6" x14ac:dyDescent="0.3">
      <c r="A805" t="s">
        <v>854</v>
      </c>
      <c r="B805" t="str">
        <f>VLOOKUP(A805,'Remote work mental helath'!$A$2:$T$1001,5,)</f>
        <v>IT</v>
      </c>
      <c r="C805" t="str">
        <f>VLOOKUP(A805,'Remote work mental helath'!$A$2:$T$1001,7,)</f>
        <v>Onsite</v>
      </c>
      <c r="D805">
        <f>VLOOKUP(A805,'Remote work mental helath'!$A$2:$T$1001,6,)</f>
        <v>6</v>
      </c>
      <c r="E805">
        <f>VLOOKUP(A805,'Remote work mental helath'!$A$2:$T$1001,8,)</f>
        <v>39</v>
      </c>
      <c r="F805">
        <f>VLOOKUP(A805,'Remote work mental helath'!$A$2:$T$1001,9,)</f>
        <v>7</v>
      </c>
    </row>
    <row r="806" spans="1:6" x14ac:dyDescent="0.3">
      <c r="A806" t="s">
        <v>855</v>
      </c>
      <c r="B806" t="str">
        <f>VLOOKUP(A806,'Remote work mental helath'!$A$2:$T$1001,5,)</f>
        <v>Retail</v>
      </c>
      <c r="C806" t="str">
        <f>VLOOKUP(A806,'Remote work mental helath'!$A$2:$T$1001,7,)</f>
        <v>Hybrid</v>
      </c>
      <c r="D806">
        <f>VLOOKUP(A806,'Remote work mental helath'!$A$2:$T$1001,6,)</f>
        <v>23</v>
      </c>
      <c r="E806">
        <f>VLOOKUP(A806,'Remote work mental helath'!$A$2:$T$1001,8,)</f>
        <v>32</v>
      </c>
      <c r="F806">
        <f>VLOOKUP(A806,'Remote work mental helath'!$A$2:$T$1001,9,)</f>
        <v>11</v>
      </c>
    </row>
    <row r="807" spans="1:6" x14ac:dyDescent="0.3">
      <c r="A807" t="s">
        <v>856</v>
      </c>
      <c r="B807" t="str">
        <f>VLOOKUP(A807,'Remote work mental helath'!$A$2:$T$1001,5,)</f>
        <v>Retail</v>
      </c>
      <c r="C807" t="str">
        <f>VLOOKUP(A807,'Remote work mental helath'!$A$2:$T$1001,7,)</f>
        <v>Onsite</v>
      </c>
      <c r="D807">
        <f>VLOOKUP(A807,'Remote work mental helath'!$A$2:$T$1001,6,)</f>
        <v>14</v>
      </c>
      <c r="E807">
        <f>VLOOKUP(A807,'Remote work mental helath'!$A$2:$T$1001,8,)</f>
        <v>59</v>
      </c>
      <c r="F807">
        <f>VLOOKUP(A807,'Remote work mental helath'!$A$2:$T$1001,9,)</f>
        <v>14</v>
      </c>
    </row>
    <row r="808" spans="1:6" x14ac:dyDescent="0.3">
      <c r="A808" t="s">
        <v>857</v>
      </c>
      <c r="B808" t="str">
        <f>VLOOKUP(A808,'Remote work mental helath'!$A$2:$T$1001,5,)</f>
        <v>Healthcare</v>
      </c>
      <c r="C808" t="str">
        <f>VLOOKUP(A808,'Remote work mental helath'!$A$2:$T$1001,7,)</f>
        <v>Remote</v>
      </c>
      <c r="D808">
        <f>VLOOKUP(A808,'Remote work mental helath'!$A$2:$T$1001,6,)</f>
        <v>21</v>
      </c>
      <c r="E808">
        <f>VLOOKUP(A808,'Remote work mental helath'!$A$2:$T$1001,8,)</f>
        <v>38</v>
      </c>
      <c r="F808">
        <f>VLOOKUP(A808,'Remote work mental helath'!$A$2:$T$1001,9,)</f>
        <v>12</v>
      </c>
    </row>
    <row r="809" spans="1:6" x14ac:dyDescent="0.3">
      <c r="A809" t="s">
        <v>858</v>
      </c>
      <c r="B809" t="str">
        <f>VLOOKUP(A809,'Remote work mental helath'!$A$2:$T$1001,5,)</f>
        <v>Education</v>
      </c>
      <c r="C809" t="str">
        <f>VLOOKUP(A809,'Remote work mental helath'!$A$2:$T$1001,7,)</f>
        <v>Remote</v>
      </c>
      <c r="D809">
        <f>VLOOKUP(A809,'Remote work mental helath'!$A$2:$T$1001,6,)</f>
        <v>8</v>
      </c>
      <c r="E809">
        <f>VLOOKUP(A809,'Remote work mental helath'!$A$2:$T$1001,8,)</f>
        <v>24</v>
      </c>
      <c r="F809">
        <f>VLOOKUP(A809,'Remote work mental helath'!$A$2:$T$1001,9,)</f>
        <v>9</v>
      </c>
    </row>
    <row r="810" spans="1:6" x14ac:dyDescent="0.3">
      <c r="A810" t="s">
        <v>859</v>
      </c>
      <c r="B810" t="str">
        <f>VLOOKUP(A810,'Remote work mental helath'!$A$2:$T$1001,5,)</f>
        <v>Retail</v>
      </c>
      <c r="C810" t="str">
        <f>VLOOKUP(A810,'Remote work mental helath'!$A$2:$T$1001,7,)</f>
        <v>Onsite</v>
      </c>
      <c r="D810">
        <f>VLOOKUP(A810,'Remote work mental helath'!$A$2:$T$1001,6,)</f>
        <v>4</v>
      </c>
      <c r="E810">
        <f>VLOOKUP(A810,'Remote work mental helath'!$A$2:$T$1001,8,)</f>
        <v>38</v>
      </c>
      <c r="F810">
        <f>VLOOKUP(A810,'Remote work mental helath'!$A$2:$T$1001,9,)</f>
        <v>7</v>
      </c>
    </row>
    <row r="811" spans="1:6" x14ac:dyDescent="0.3">
      <c r="A811" t="s">
        <v>860</v>
      </c>
      <c r="B811" t="str">
        <f>VLOOKUP(A811,'Remote work mental helath'!$A$2:$T$1001,5,)</f>
        <v>Manufacturing</v>
      </c>
      <c r="C811" t="str">
        <f>VLOOKUP(A811,'Remote work mental helath'!$A$2:$T$1001,7,)</f>
        <v>Hybrid</v>
      </c>
      <c r="D811">
        <f>VLOOKUP(A811,'Remote work mental helath'!$A$2:$T$1001,6,)</f>
        <v>26</v>
      </c>
      <c r="E811">
        <f>VLOOKUP(A811,'Remote work mental helath'!$A$2:$T$1001,8,)</f>
        <v>36</v>
      </c>
      <c r="F811">
        <f>VLOOKUP(A811,'Remote work mental helath'!$A$2:$T$1001,9,)</f>
        <v>2</v>
      </c>
    </row>
    <row r="812" spans="1:6" x14ac:dyDescent="0.3">
      <c r="A812" t="s">
        <v>861</v>
      </c>
      <c r="B812" t="str">
        <f>VLOOKUP(A812,'Remote work mental helath'!$A$2:$T$1001,5,)</f>
        <v>IT</v>
      </c>
      <c r="C812" t="str">
        <f>VLOOKUP(A812,'Remote work mental helath'!$A$2:$T$1001,7,)</f>
        <v>Hybrid</v>
      </c>
      <c r="D812">
        <f>VLOOKUP(A812,'Remote work mental helath'!$A$2:$T$1001,6,)</f>
        <v>35</v>
      </c>
      <c r="E812">
        <f>VLOOKUP(A812,'Remote work mental helath'!$A$2:$T$1001,8,)</f>
        <v>56</v>
      </c>
      <c r="F812">
        <f>VLOOKUP(A812,'Remote work mental helath'!$A$2:$T$1001,9,)</f>
        <v>5</v>
      </c>
    </row>
    <row r="813" spans="1:6" x14ac:dyDescent="0.3">
      <c r="A813" t="s">
        <v>862</v>
      </c>
      <c r="B813" t="str">
        <f>VLOOKUP(A813,'Remote work mental helath'!$A$2:$T$1001,5,)</f>
        <v>Healthcare</v>
      </c>
      <c r="C813" t="str">
        <f>VLOOKUP(A813,'Remote work mental helath'!$A$2:$T$1001,7,)</f>
        <v>Hybrid</v>
      </c>
      <c r="D813">
        <f>VLOOKUP(A813,'Remote work mental helath'!$A$2:$T$1001,6,)</f>
        <v>33</v>
      </c>
      <c r="E813">
        <f>VLOOKUP(A813,'Remote work mental helath'!$A$2:$T$1001,8,)</f>
        <v>35</v>
      </c>
      <c r="F813">
        <f>VLOOKUP(A813,'Remote work mental helath'!$A$2:$T$1001,9,)</f>
        <v>7</v>
      </c>
    </row>
    <row r="814" spans="1:6" x14ac:dyDescent="0.3">
      <c r="A814" t="s">
        <v>863</v>
      </c>
      <c r="B814" t="str">
        <f>VLOOKUP(A814,'Remote work mental helath'!$A$2:$T$1001,5,)</f>
        <v>Consulting</v>
      </c>
      <c r="C814" t="str">
        <f>VLOOKUP(A814,'Remote work mental helath'!$A$2:$T$1001,7,)</f>
        <v>Onsite</v>
      </c>
      <c r="D814">
        <f>VLOOKUP(A814,'Remote work mental helath'!$A$2:$T$1001,6,)</f>
        <v>10</v>
      </c>
      <c r="E814">
        <f>VLOOKUP(A814,'Remote work mental helath'!$A$2:$T$1001,8,)</f>
        <v>22</v>
      </c>
      <c r="F814">
        <f>VLOOKUP(A814,'Remote work mental helath'!$A$2:$T$1001,9,)</f>
        <v>9</v>
      </c>
    </row>
    <row r="815" spans="1:6" x14ac:dyDescent="0.3">
      <c r="A815" t="s">
        <v>864</v>
      </c>
      <c r="B815" t="str">
        <f>VLOOKUP(A815,'Remote work mental helath'!$A$2:$T$1001,5,)</f>
        <v>Retail</v>
      </c>
      <c r="C815" t="str">
        <f>VLOOKUP(A815,'Remote work mental helath'!$A$2:$T$1001,7,)</f>
        <v>Remote</v>
      </c>
      <c r="D815">
        <f>VLOOKUP(A815,'Remote work mental helath'!$A$2:$T$1001,6,)</f>
        <v>12</v>
      </c>
      <c r="E815">
        <f>VLOOKUP(A815,'Remote work mental helath'!$A$2:$T$1001,8,)</f>
        <v>40</v>
      </c>
      <c r="F815">
        <f>VLOOKUP(A815,'Remote work mental helath'!$A$2:$T$1001,9,)</f>
        <v>10</v>
      </c>
    </row>
    <row r="816" spans="1:6" x14ac:dyDescent="0.3">
      <c r="A816" t="s">
        <v>865</v>
      </c>
      <c r="B816" t="str">
        <f>VLOOKUP(A816,'Remote work mental helath'!$A$2:$T$1001,5,)</f>
        <v>Manufacturing</v>
      </c>
      <c r="C816" t="str">
        <f>VLOOKUP(A816,'Remote work mental helath'!$A$2:$T$1001,7,)</f>
        <v>Hybrid</v>
      </c>
      <c r="D816">
        <f>VLOOKUP(A816,'Remote work mental helath'!$A$2:$T$1001,6,)</f>
        <v>31</v>
      </c>
      <c r="E816">
        <f>VLOOKUP(A816,'Remote work mental helath'!$A$2:$T$1001,8,)</f>
        <v>22</v>
      </c>
      <c r="F816">
        <f>VLOOKUP(A816,'Remote work mental helath'!$A$2:$T$1001,9,)</f>
        <v>6</v>
      </c>
    </row>
    <row r="817" spans="1:6" x14ac:dyDescent="0.3">
      <c r="A817" t="s">
        <v>866</v>
      </c>
      <c r="B817" t="str">
        <f>VLOOKUP(A817,'Remote work mental helath'!$A$2:$T$1001,5,)</f>
        <v>Manufacturing</v>
      </c>
      <c r="C817" t="str">
        <f>VLOOKUP(A817,'Remote work mental helath'!$A$2:$T$1001,7,)</f>
        <v>Hybrid</v>
      </c>
      <c r="D817">
        <f>VLOOKUP(A817,'Remote work mental helath'!$A$2:$T$1001,6,)</f>
        <v>8</v>
      </c>
      <c r="E817">
        <f>VLOOKUP(A817,'Remote work mental helath'!$A$2:$T$1001,8,)</f>
        <v>41</v>
      </c>
      <c r="F817">
        <f>VLOOKUP(A817,'Remote work mental helath'!$A$2:$T$1001,9,)</f>
        <v>13</v>
      </c>
    </row>
    <row r="818" spans="1:6" x14ac:dyDescent="0.3">
      <c r="A818" t="s">
        <v>867</v>
      </c>
      <c r="B818" t="str">
        <f>VLOOKUP(A818,'Remote work mental helath'!$A$2:$T$1001,5,)</f>
        <v>Retail</v>
      </c>
      <c r="C818" t="str">
        <f>VLOOKUP(A818,'Remote work mental helath'!$A$2:$T$1001,7,)</f>
        <v>Remote</v>
      </c>
      <c r="D818">
        <f>VLOOKUP(A818,'Remote work mental helath'!$A$2:$T$1001,6,)</f>
        <v>23</v>
      </c>
      <c r="E818">
        <f>VLOOKUP(A818,'Remote work mental helath'!$A$2:$T$1001,8,)</f>
        <v>53</v>
      </c>
      <c r="F818">
        <f>VLOOKUP(A818,'Remote work mental helath'!$A$2:$T$1001,9,)</f>
        <v>4</v>
      </c>
    </row>
    <row r="819" spans="1:6" x14ac:dyDescent="0.3">
      <c r="A819" t="s">
        <v>868</v>
      </c>
      <c r="B819" t="str">
        <f>VLOOKUP(A819,'Remote work mental helath'!$A$2:$T$1001,5,)</f>
        <v>Retail</v>
      </c>
      <c r="C819" t="str">
        <f>VLOOKUP(A819,'Remote work mental helath'!$A$2:$T$1001,7,)</f>
        <v>Hybrid</v>
      </c>
      <c r="D819">
        <f>VLOOKUP(A819,'Remote work mental helath'!$A$2:$T$1001,6,)</f>
        <v>6</v>
      </c>
      <c r="E819">
        <f>VLOOKUP(A819,'Remote work mental helath'!$A$2:$T$1001,8,)</f>
        <v>57</v>
      </c>
      <c r="F819">
        <f>VLOOKUP(A819,'Remote work mental helath'!$A$2:$T$1001,9,)</f>
        <v>15</v>
      </c>
    </row>
    <row r="820" spans="1:6" x14ac:dyDescent="0.3">
      <c r="A820" t="s">
        <v>869</v>
      </c>
      <c r="B820" t="str">
        <f>VLOOKUP(A820,'Remote work mental helath'!$A$2:$T$1001,5,)</f>
        <v>Education</v>
      </c>
      <c r="C820" t="str">
        <f>VLOOKUP(A820,'Remote work mental helath'!$A$2:$T$1001,7,)</f>
        <v>Remote</v>
      </c>
      <c r="D820">
        <f>VLOOKUP(A820,'Remote work mental helath'!$A$2:$T$1001,6,)</f>
        <v>9</v>
      </c>
      <c r="E820">
        <f>VLOOKUP(A820,'Remote work mental helath'!$A$2:$T$1001,8,)</f>
        <v>51</v>
      </c>
      <c r="F820">
        <f>VLOOKUP(A820,'Remote work mental helath'!$A$2:$T$1001,9,)</f>
        <v>7</v>
      </c>
    </row>
    <row r="821" spans="1:6" x14ac:dyDescent="0.3">
      <c r="A821" t="s">
        <v>870</v>
      </c>
      <c r="B821" t="str">
        <f>VLOOKUP(A821,'Remote work mental helath'!$A$2:$T$1001,5,)</f>
        <v>Healthcare</v>
      </c>
      <c r="C821" t="str">
        <f>VLOOKUP(A821,'Remote work mental helath'!$A$2:$T$1001,7,)</f>
        <v>Onsite</v>
      </c>
      <c r="D821">
        <f>VLOOKUP(A821,'Remote work mental helath'!$A$2:$T$1001,6,)</f>
        <v>23</v>
      </c>
      <c r="E821">
        <f>VLOOKUP(A821,'Remote work mental helath'!$A$2:$T$1001,8,)</f>
        <v>20</v>
      </c>
      <c r="F821">
        <f>VLOOKUP(A821,'Remote work mental helath'!$A$2:$T$1001,9,)</f>
        <v>15</v>
      </c>
    </row>
    <row r="822" spans="1:6" x14ac:dyDescent="0.3">
      <c r="A822" t="s">
        <v>871</v>
      </c>
      <c r="B822" t="str">
        <f>VLOOKUP(A822,'Remote work mental helath'!$A$2:$T$1001,5,)</f>
        <v>IT</v>
      </c>
      <c r="C822" t="str">
        <f>VLOOKUP(A822,'Remote work mental helath'!$A$2:$T$1001,7,)</f>
        <v>Remote</v>
      </c>
      <c r="D822">
        <f>VLOOKUP(A822,'Remote work mental helath'!$A$2:$T$1001,6,)</f>
        <v>18</v>
      </c>
      <c r="E822">
        <f>VLOOKUP(A822,'Remote work mental helath'!$A$2:$T$1001,8,)</f>
        <v>56</v>
      </c>
      <c r="F822">
        <f>VLOOKUP(A822,'Remote work mental helath'!$A$2:$T$1001,9,)</f>
        <v>12</v>
      </c>
    </row>
    <row r="823" spans="1:6" x14ac:dyDescent="0.3">
      <c r="A823" t="s">
        <v>872</v>
      </c>
      <c r="B823" t="str">
        <f>VLOOKUP(A823,'Remote work mental helath'!$A$2:$T$1001,5,)</f>
        <v>Manufacturing</v>
      </c>
      <c r="C823" t="str">
        <f>VLOOKUP(A823,'Remote work mental helath'!$A$2:$T$1001,7,)</f>
        <v>Onsite</v>
      </c>
      <c r="D823">
        <f>VLOOKUP(A823,'Remote work mental helath'!$A$2:$T$1001,6,)</f>
        <v>16</v>
      </c>
      <c r="E823">
        <f>VLOOKUP(A823,'Remote work mental helath'!$A$2:$T$1001,8,)</f>
        <v>27</v>
      </c>
      <c r="F823">
        <f>VLOOKUP(A823,'Remote work mental helath'!$A$2:$T$1001,9,)</f>
        <v>7</v>
      </c>
    </row>
    <row r="824" spans="1:6" x14ac:dyDescent="0.3">
      <c r="A824" t="s">
        <v>873</v>
      </c>
      <c r="B824" t="str">
        <f>VLOOKUP(A824,'Remote work mental helath'!$A$2:$T$1001,5,)</f>
        <v>Healthcare</v>
      </c>
      <c r="C824" t="str">
        <f>VLOOKUP(A824,'Remote work mental helath'!$A$2:$T$1001,7,)</f>
        <v>Onsite</v>
      </c>
      <c r="D824">
        <f>VLOOKUP(A824,'Remote work mental helath'!$A$2:$T$1001,6,)</f>
        <v>17</v>
      </c>
      <c r="E824">
        <f>VLOOKUP(A824,'Remote work mental helath'!$A$2:$T$1001,8,)</f>
        <v>29</v>
      </c>
      <c r="F824">
        <f>VLOOKUP(A824,'Remote work mental helath'!$A$2:$T$1001,9,)</f>
        <v>15</v>
      </c>
    </row>
    <row r="825" spans="1:6" x14ac:dyDescent="0.3">
      <c r="A825" t="s">
        <v>874</v>
      </c>
      <c r="B825" t="str">
        <f>VLOOKUP(A825,'Remote work mental helath'!$A$2:$T$1001,5,)</f>
        <v>Retail</v>
      </c>
      <c r="C825" t="str">
        <f>VLOOKUP(A825,'Remote work mental helath'!$A$2:$T$1001,7,)</f>
        <v>Onsite</v>
      </c>
      <c r="D825">
        <f>VLOOKUP(A825,'Remote work mental helath'!$A$2:$T$1001,6,)</f>
        <v>16</v>
      </c>
      <c r="E825">
        <f>VLOOKUP(A825,'Remote work mental helath'!$A$2:$T$1001,8,)</f>
        <v>52</v>
      </c>
      <c r="F825">
        <f>VLOOKUP(A825,'Remote work mental helath'!$A$2:$T$1001,9,)</f>
        <v>7</v>
      </c>
    </row>
    <row r="826" spans="1:6" x14ac:dyDescent="0.3">
      <c r="A826" t="s">
        <v>875</v>
      </c>
      <c r="B826" t="str">
        <f>VLOOKUP(A826,'Remote work mental helath'!$A$2:$T$1001,5,)</f>
        <v>Healthcare</v>
      </c>
      <c r="C826" t="str">
        <f>VLOOKUP(A826,'Remote work mental helath'!$A$2:$T$1001,7,)</f>
        <v>Onsite</v>
      </c>
      <c r="D826">
        <f>VLOOKUP(A826,'Remote work mental helath'!$A$2:$T$1001,6,)</f>
        <v>6</v>
      </c>
      <c r="E826">
        <f>VLOOKUP(A826,'Remote work mental helath'!$A$2:$T$1001,8,)</f>
        <v>45</v>
      </c>
      <c r="F826">
        <f>VLOOKUP(A826,'Remote work mental helath'!$A$2:$T$1001,9,)</f>
        <v>3</v>
      </c>
    </row>
    <row r="827" spans="1:6" x14ac:dyDescent="0.3">
      <c r="A827" t="s">
        <v>876</v>
      </c>
      <c r="B827" t="str">
        <f>VLOOKUP(A827,'Remote work mental helath'!$A$2:$T$1001,5,)</f>
        <v>Retail</v>
      </c>
      <c r="C827" t="str">
        <f>VLOOKUP(A827,'Remote work mental helath'!$A$2:$T$1001,7,)</f>
        <v>Remote</v>
      </c>
      <c r="D827">
        <f>VLOOKUP(A827,'Remote work mental helath'!$A$2:$T$1001,6,)</f>
        <v>9</v>
      </c>
      <c r="E827">
        <f>VLOOKUP(A827,'Remote work mental helath'!$A$2:$T$1001,8,)</f>
        <v>58</v>
      </c>
      <c r="F827">
        <f>VLOOKUP(A827,'Remote work mental helath'!$A$2:$T$1001,9,)</f>
        <v>7</v>
      </c>
    </row>
    <row r="828" spans="1:6" x14ac:dyDescent="0.3">
      <c r="A828" t="s">
        <v>877</v>
      </c>
      <c r="B828" t="str">
        <f>VLOOKUP(A828,'Remote work mental helath'!$A$2:$T$1001,5,)</f>
        <v>Retail</v>
      </c>
      <c r="C828" t="str">
        <f>VLOOKUP(A828,'Remote work mental helath'!$A$2:$T$1001,7,)</f>
        <v>Hybrid</v>
      </c>
      <c r="D828">
        <f>VLOOKUP(A828,'Remote work mental helath'!$A$2:$T$1001,6,)</f>
        <v>19</v>
      </c>
      <c r="E828">
        <f>VLOOKUP(A828,'Remote work mental helath'!$A$2:$T$1001,8,)</f>
        <v>23</v>
      </c>
      <c r="F828">
        <f>VLOOKUP(A828,'Remote work mental helath'!$A$2:$T$1001,9,)</f>
        <v>3</v>
      </c>
    </row>
    <row r="829" spans="1:6" x14ac:dyDescent="0.3">
      <c r="A829" t="s">
        <v>878</v>
      </c>
      <c r="B829" t="str">
        <f>VLOOKUP(A829,'Remote work mental helath'!$A$2:$T$1001,5,)</f>
        <v>IT</v>
      </c>
      <c r="C829" t="str">
        <f>VLOOKUP(A829,'Remote work mental helath'!$A$2:$T$1001,7,)</f>
        <v>Onsite</v>
      </c>
      <c r="D829">
        <f>VLOOKUP(A829,'Remote work mental helath'!$A$2:$T$1001,6,)</f>
        <v>33</v>
      </c>
      <c r="E829">
        <f>VLOOKUP(A829,'Remote work mental helath'!$A$2:$T$1001,8,)</f>
        <v>27</v>
      </c>
      <c r="F829">
        <f>VLOOKUP(A829,'Remote work mental helath'!$A$2:$T$1001,9,)</f>
        <v>14</v>
      </c>
    </row>
    <row r="830" spans="1:6" x14ac:dyDescent="0.3">
      <c r="A830" t="s">
        <v>879</v>
      </c>
      <c r="B830" t="str">
        <f>VLOOKUP(A830,'Remote work mental helath'!$A$2:$T$1001,5,)</f>
        <v>Healthcare</v>
      </c>
      <c r="C830" t="str">
        <f>VLOOKUP(A830,'Remote work mental helath'!$A$2:$T$1001,7,)</f>
        <v>Hybrid</v>
      </c>
      <c r="D830">
        <f>VLOOKUP(A830,'Remote work mental helath'!$A$2:$T$1001,6,)</f>
        <v>21</v>
      </c>
      <c r="E830">
        <f>VLOOKUP(A830,'Remote work mental helath'!$A$2:$T$1001,8,)</f>
        <v>59</v>
      </c>
      <c r="F830">
        <f>VLOOKUP(A830,'Remote work mental helath'!$A$2:$T$1001,9,)</f>
        <v>10</v>
      </c>
    </row>
    <row r="831" spans="1:6" x14ac:dyDescent="0.3">
      <c r="A831" t="s">
        <v>880</v>
      </c>
      <c r="B831" t="str">
        <f>VLOOKUP(A831,'Remote work mental helath'!$A$2:$T$1001,5,)</f>
        <v>Healthcare</v>
      </c>
      <c r="C831" t="str">
        <f>VLOOKUP(A831,'Remote work mental helath'!$A$2:$T$1001,7,)</f>
        <v>Onsite</v>
      </c>
      <c r="D831">
        <f>VLOOKUP(A831,'Remote work mental helath'!$A$2:$T$1001,6,)</f>
        <v>14</v>
      </c>
      <c r="E831">
        <f>VLOOKUP(A831,'Remote work mental helath'!$A$2:$T$1001,8,)</f>
        <v>40</v>
      </c>
      <c r="F831">
        <f>VLOOKUP(A831,'Remote work mental helath'!$A$2:$T$1001,9,)</f>
        <v>12</v>
      </c>
    </row>
    <row r="832" spans="1:6" x14ac:dyDescent="0.3">
      <c r="A832" t="s">
        <v>881</v>
      </c>
      <c r="B832" t="str">
        <f>VLOOKUP(A832,'Remote work mental helath'!$A$2:$T$1001,5,)</f>
        <v>IT</v>
      </c>
      <c r="C832" t="str">
        <f>VLOOKUP(A832,'Remote work mental helath'!$A$2:$T$1001,7,)</f>
        <v>Onsite</v>
      </c>
      <c r="D832">
        <f>VLOOKUP(A832,'Remote work mental helath'!$A$2:$T$1001,6,)</f>
        <v>30</v>
      </c>
      <c r="E832">
        <f>VLOOKUP(A832,'Remote work mental helath'!$A$2:$T$1001,8,)</f>
        <v>59</v>
      </c>
      <c r="F832">
        <f>VLOOKUP(A832,'Remote work mental helath'!$A$2:$T$1001,9,)</f>
        <v>11</v>
      </c>
    </row>
    <row r="833" spans="1:6" x14ac:dyDescent="0.3">
      <c r="A833" t="s">
        <v>882</v>
      </c>
      <c r="B833" t="str">
        <f>VLOOKUP(A833,'Remote work mental helath'!$A$2:$T$1001,5,)</f>
        <v>Manufacturing</v>
      </c>
      <c r="C833" t="str">
        <f>VLOOKUP(A833,'Remote work mental helath'!$A$2:$T$1001,7,)</f>
        <v>Remote</v>
      </c>
      <c r="D833">
        <f>VLOOKUP(A833,'Remote work mental helath'!$A$2:$T$1001,6,)</f>
        <v>2</v>
      </c>
      <c r="E833">
        <f>VLOOKUP(A833,'Remote work mental helath'!$A$2:$T$1001,8,)</f>
        <v>58</v>
      </c>
      <c r="F833">
        <f>VLOOKUP(A833,'Remote work mental helath'!$A$2:$T$1001,9,)</f>
        <v>4</v>
      </c>
    </row>
    <row r="834" spans="1:6" x14ac:dyDescent="0.3">
      <c r="A834" t="s">
        <v>883</v>
      </c>
      <c r="B834" t="str">
        <f>VLOOKUP(A834,'Remote work mental helath'!$A$2:$T$1001,5,)</f>
        <v>IT</v>
      </c>
      <c r="C834" t="str">
        <f>VLOOKUP(A834,'Remote work mental helath'!$A$2:$T$1001,7,)</f>
        <v>Remote</v>
      </c>
      <c r="D834">
        <f>VLOOKUP(A834,'Remote work mental helath'!$A$2:$T$1001,6,)</f>
        <v>10</v>
      </c>
      <c r="E834">
        <f>VLOOKUP(A834,'Remote work mental helath'!$A$2:$T$1001,8,)</f>
        <v>52</v>
      </c>
      <c r="F834">
        <f>VLOOKUP(A834,'Remote work mental helath'!$A$2:$T$1001,9,)</f>
        <v>3</v>
      </c>
    </row>
    <row r="835" spans="1:6" x14ac:dyDescent="0.3">
      <c r="A835" t="s">
        <v>884</v>
      </c>
      <c r="B835" t="str">
        <f>VLOOKUP(A835,'Remote work mental helath'!$A$2:$T$1001,5,)</f>
        <v>Consulting</v>
      </c>
      <c r="C835" t="str">
        <f>VLOOKUP(A835,'Remote work mental helath'!$A$2:$T$1001,7,)</f>
        <v>Hybrid</v>
      </c>
      <c r="D835">
        <f>VLOOKUP(A835,'Remote work mental helath'!$A$2:$T$1001,6,)</f>
        <v>4</v>
      </c>
      <c r="E835">
        <f>VLOOKUP(A835,'Remote work mental helath'!$A$2:$T$1001,8,)</f>
        <v>57</v>
      </c>
      <c r="F835">
        <f>VLOOKUP(A835,'Remote work mental helath'!$A$2:$T$1001,9,)</f>
        <v>12</v>
      </c>
    </row>
    <row r="836" spans="1:6" x14ac:dyDescent="0.3">
      <c r="A836" t="s">
        <v>885</v>
      </c>
      <c r="B836" t="str">
        <f>VLOOKUP(A836,'Remote work mental helath'!$A$2:$T$1001,5,)</f>
        <v>Manufacturing</v>
      </c>
      <c r="C836" t="str">
        <f>VLOOKUP(A836,'Remote work mental helath'!$A$2:$T$1001,7,)</f>
        <v>Onsite</v>
      </c>
      <c r="D836">
        <f>VLOOKUP(A836,'Remote work mental helath'!$A$2:$T$1001,6,)</f>
        <v>12</v>
      </c>
      <c r="E836">
        <f>VLOOKUP(A836,'Remote work mental helath'!$A$2:$T$1001,8,)</f>
        <v>22</v>
      </c>
      <c r="F836">
        <f>VLOOKUP(A836,'Remote work mental helath'!$A$2:$T$1001,9,)</f>
        <v>1</v>
      </c>
    </row>
    <row r="837" spans="1:6" x14ac:dyDescent="0.3">
      <c r="A837" t="s">
        <v>886</v>
      </c>
      <c r="B837" t="str">
        <f>VLOOKUP(A837,'Remote work mental helath'!$A$2:$T$1001,5,)</f>
        <v>IT</v>
      </c>
      <c r="C837" t="str">
        <f>VLOOKUP(A837,'Remote work mental helath'!$A$2:$T$1001,7,)</f>
        <v>Remote</v>
      </c>
      <c r="D837">
        <f>VLOOKUP(A837,'Remote work mental helath'!$A$2:$T$1001,6,)</f>
        <v>23</v>
      </c>
      <c r="E837">
        <f>VLOOKUP(A837,'Remote work mental helath'!$A$2:$T$1001,8,)</f>
        <v>25</v>
      </c>
      <c r="F837">
        <f>VLOOKUP(A837,'Remote work mental helath'!$A$2:$T$1001,9,)</f>
        <v>10</v>
      </c>
    </row>
    <row r="838" spans="1:6" x14ac:dyDescent="0.3">
      <c r="A838" t="s">
        <v>887</v>
      </c>
      <c r="B838" t="str">
        <f>VLOOKUP(A838,'Remote work mental helath'!$A$2:$T$1001,5,)</f>
        <v>Finance</v>
      </c>
      <c r="C838" t="str">
        <f>VLOOKUP(A838,'Remote work mental helath'!$A$2:$T$1001,7,)</f>
        <v>Hybrid</v>
      </c>
      <c r="D838">
        <f>VLOOKUP(A838,'Remote work mental helath'!$A$2:$T$1001,6,)</f>
        <v>4</v>
      </c>
      <c r="E838">
        <f>VLOOKUP(A838,'Remote work mental helath'!$A$2:$T$1001,8,)</f>
        <v>57</v>
      </c>
      <c r="F838">
        <f>VLOOKUP(A838,'Remote work mental helath'!$A$2:$T$1001,9,)</f>
        <v>14</v>
      </c>
    </row>
    <row r="839" spans="1:6" x14ac:dyDescent="0.3">
      <c r="A839" t="s">
        <v>888</v>
      </c>
      <c r="B839" t="str">
        <f>VLOOKUP(A839,'Remote work mental helath'!$A$2:$T$1001,5,)</f>
        <v>Finance</v>
      </c>
      <c r="C839" t="str">
        <f>VLOOKUP(A839,'Remote work mental helath'!$A$2:$T$1001,7,)</f>
        <v>Hybrid</v>
      </c>
      <c r="D839">
        <f>VLOOKUP(A839,'Remote work mental helath'!$A$2:$T$1001,6,)</f>
        <v>22</v>
      </c>
      <c r="E839">
        <f>VLOOKUP(A839,'Remote work mental helath'!$A$2:$T$1001,8,)</f>
        <v>55</v>
      </c>
      <c r="F839">
        <f>VLOOKUP(A839,'Remote work mental helath'!$A$2:$T$1001,9,)</f>
        <v>14</v>
      </c>
    </row>
    <row r="840" spans="1:6" x14ac:dyDescent="0.3">
      <c r="A840" t="s">
        <v>889</v>
      </c>
      <c r="B840" t="str">
        <f>VLOOKUP(A840,'Remote work mental helath'!$A$2:$T$1001,5,)</f>
        <v>Retail</v>
      </c>
      <c r="C840" t="str">
        <f>VLOOKUP(A840,'Remote work mental helath'!$A$2:$T$1001,7,)</f>
        <v>Onsite</v>
      </c>
      <c r="D840">
        <f>VLOOKUP(A840,'Remote work mental helath'!$A$2:$T$1001,6,)</f>
        <v>9</v>
      </c>
      <c r="E840">
        <f>VLOOKUP(A840,'Remote work mental helath'!$A$2:$T$1001,8,)</f>
        <v>51</v>
      </c>
      <c r="F840">
        <f>VLOOKUP(A840,'Remote work mental helath'!$A$2:$T$1001,9,)</f>
        <v>1</v>
      </c>
    </row>
    <row r="841" spans="1:6" x14ac:dyDescent="0.3">
      <c r="A841" t="s">
        <v>890</v>
      </c>
      <c r="B841" t="str">
        <f>VLOOKUP(A841,'Remote work mental helath'!$A$2:$T$1001,5,)</f>
        <v>Retail</v>
      </c>
      <c r="C841" t="str">
        <f>VLOOKUP(A841,'Remote work mental helath'!$A$2:$T$1001,7,)</f>
        <v>Onsite</v>
      </c>
      <c r="D841">
        <f>VLOOKUP(A841,'Remote work mental helath'!$A$2:$T$1001,6,)</f>
        <v>15</v>
      </c>
      <c r="E841">
        <f>VLOOKUP(A841,'Remote work mental helath'!$A$2:$T$1001,8,)</f>
        <v>32</v>
      </c>
      <c r="F841">
        <f>VLOOKUP(A841,'Remote work mental helath'!$A$2:$T$1001,9,)</f>
        <v>9</v>
      </c>
    </row>
    <row r="842" spans="1:6" x14ac:dyDescent="0.3">
      <c r="A842" t="s">
        <v>891</v>
      </c>
      <c r="B842" t="str">
        <f>VLOOKUP(A842,'Remote work mental helath'!$A$2:$T$1001,5,)</f>
        <v>Education</v>
      </c>
      <c r="C842" t="str">
        <f>VLOOKUP(A842,'Remote work mental helath'!$A$2:$T$1001,7,)</f>
        <v>Hybrid</v>
      </c>
      <c r="D842">
        <f>VLOOKUP(A842,'Remote work mental helath'!$A$2:$T$1001,6,)</f>
        <v>1</v>
      </c>
      <c r="E842">
        <f>VLOOKUP(A842,'Remote work mental helath'!$A$2:$T$1001,8,)</f>
        <v>47</v>
      </c>
      <c r="F842">
        <f>VLOOKUP(A842,'Remote work mental helath'!$A$2:$T$1001,9,)</f>
        <v>12</v>
      </c>
    </row>
    <row r="843" spans="1:6" x14ac:dyDescent="0.3">
      <c r="A843" t="s">
        <v>892</v>
      </c>
      <c r="B843" t="str">
        <f>VLOOKUP(A843,'Remote work mental helath'!$A$2:$T$1001,5,)</f>
        <v>Manufacturing</v>
      </c>
      <c r="C843" t="str">
        <f>VLOOKUP(A843,'Remote work mental helath'!$A$2:$T$1001,7,)</f>
        <v>Onsite</v>
      </c>
      <c r="D843">
        <f>VLOOKUP(A843,'Remote work mental helath'!$A$2:$T$1001,6,)</f>
        <v>3</v>
      </c>
      <c r="E843">
        <f>VLOOKUP(A843,'Remote work mental helath'!$A$2:$T$1001,8,)</f>
        <v>42</v>
      </c>
      <c r="F843">
        <f>VLOOKUP(A843,'Remote work mental helath'!$A$2:$T$1001,9,)</f>
        <v>12</v>
      </c>
    </row>
    <row r="844" spans="1:6" x14ac:dyDescent="0.3">
      <c r="A844" t="s">
        <v>893</v>
      </c>
      <c r="B844" t="str">
        <f>VLOOKUP(A844,'Remote work mental helath'!$A$2:$T$1001,5,)</f>
        <v>Finance</v>
      </c>
      <c r="C844" t="str">
        <f>VLOOKUP(A844,'Remote work mental helath'!$A$2:$T$1001,7,)</f>
        <v>Remote</v>
      </c>
      <c r="D844">
        <f>VLOOKUP(A844,'Remote work mental helath'!$A$2:$T$1001,6,)</f>
        <v>25</v>
      </c>
      <c r="E844">
        <f>VLOOKUP(A844,'Remote work mental helath'!$A$2:$T$1001,8,)</f>
        <v>56</v>
      </c>
      <c r="F844">
        <f>VLOOKUP(A844,'Remote work mental helath'!$A$2:$T$1001,9,)</f>
        <v>15</v>
      </c>
    </row>
    <row r="845" spans="1:6" x14ac:dyDescent="0.3">
      <c r="A845" t="s">
        <v>894</v>
      </c>
      <c r="B845" t="str">
        <f>VLOOKUP(A845,'Remote work mental helath'!$A$2:$T$1001,5,)</f>
        <v>Education</v>
      </c>
      <c r="C845" t="str">
        <f>VLOOKUP(A845,'Remote work mental helath'!$A$2:$T$1001,7,)</f>
        <v>Onsite</v>
      </c>
      <c r="D845">
        <f>VLOOKUP(A845,'Remote work mental helath'!$A$2:$T$1001,6,)</f>
        <v>12</v>
      </c>
      <c r="E845">
        <f>VLOOKUP(A845,'Remote work mental helath'!$A$2:$T$1001,8,)</f>
        <v>40</v>
      </c>
      <c r="F845">
        <f>VLOOKUP(A845,'Remote work mental helath'!$A$2:$T$1001,9,)</f>
        <v>7</v>
      </c>
    </row>
    <row r="846" spans="1:6" x14ac:dyDescent="0.3">
      <c r="A846" t="s">
        <v>895</v>
      </c>
      <c r="B846" t="str">
        <f>VLOOKUP(A846,'Remote work mental helath'!$A$2:$T$1001,5,)</f>
        <v>Healthcare</v>
      </c>
      <c r="C846" t="str">
        <f>VLOOKUP(A846,'Remote work mental helath'!$A$2:$T$1001,7,)</f>
        <v>Onsite</v>
      </c>
      <c r="D846">
        <f>VLOOKUP(A846,'Remote work mental helath'!$A$2:$T$1001,6,)</f>
        <v>28</v>
      </c>
      <c r="E846">
        <f>VLOOKUP(A846,'Remote work mental helath'!$A$2:$T$1001,8,)</f>
        <v>36</v>
      </c>
      <c r="F846">
        <f>VLOOKUP(A846,'Remote work mental helath'!$A$2:$T$1001,9,)</f>
        <v>12</v>
      </c>
    </row>
    <row r="847" spans="1:6" x14ac:dyDescent="0.3">
      <c r="A847" t="s">
        <v>896</v>
      </c>
      <c r="B847" t="str">
        <f>VLOOKUP(A847,'Remote work mental helath'!$A$2:$T$1001,5,)</f>
        <v>Finance</v>
      </c>
      <c r="C847" t="str">
        <f>VLOOKUP(A847,'Remote work mental helath'!$A$2:$T$1001,7,)</f>
        <v>Hybrid</v>
      </c>
      <c r="D847">
        <f>VLOOKUP(A847,'Remote work mental helath'!$A$2:$T$1001,6,)</f>
        <v>5</v>
      </c>
      <c r="E847">
        <f>VLOOKUP(A847,'Remote work mental helath'!$A$2:$T$1001,8,)</f>
        <v>31</v>
      </c>
      <c r="F847">
        <f>VLOOKUP(A847,'Remote work mental helath'!$A$2:$T$1001,9,)</f>
        <v>5</v>
      </c>
    </row>
    <row r="848" spans="1:6" x14ac:dyDescent="0.3">
      <c r="A848" t="s">
        <v>897</v>
      </c>
      <c r="B848" t="str">
        <f>VLOOKUP(A848,'Remote work mental helath'!$A$2:$T$1001,5,)</f>
        <v>Retail</v>
      </c>
      <c r="C848" t="str">
        <f>VLOOKUP(A848,'Remote work mental helath'!$A$2:$T$1001,7,)</f>
        <v>Onsite</v>
      </c>
      <c r="D848">
        <f>VLOOKUP(A848,'Remote work mental helath'!$A$2:$T$1001,6,)</f>
        <v>5</v>
      </c>
      <c r="E848">
        <f>VLOOKUP(A848,'Remote work mental helath'!$A$2:$T$1001,8,)</f>
        <v>42</v>
      </c>
      <c r="F848">
        <f>VLOOKUP(A848,'Remote work mental helath'!$A$2:$T$1001,9,)</f>
        <v>1</v>
      </c>
    </row>
    <row r="849" spans="1:6" x14ac:dyDescent="0.3">
      <c r="A849" t="s">
        <v>898</v>
      </c>
      <c r="B849" t="str">
        <f>VLOOKUP(A849,'Remote work mental helath'!$A$2:$T$1001,5,)</f>
        <v>IT</v>
      </c>
      <c r="C849" t="str">
        <f>VLOOKUP(A849,'Remote work mental helath'!$A$2:$T$1001,7,)</f>
        <v>Remote</v>
      </c>
      <c r="D849">
        <f>VLOOKUP(A849,'Remote work mental helath'!$A$2:$T$1001,6,)</f>
        <v>4</v>
      </c>
      <c r="E849">
        <f>VLOOKUP(A849,'Remote work mental helath'!$A$2:$T$1001,8,)</f>
        <v>34</v>
      </c>
      <c r="F849">
        <f>VLOOKUP(A849,'Remote work mental helath'!$A$2:$T$1001,9,)</f>
        <v>7</v>
      </c>
    </row>
    <row r="850" spans="1:6" x14ac:dyDescent="0.3">
      <c r="A850" t="s">
        <v>899</v>
      </c>
      <c r="B850" t="str">
        <f>VLOOKUP(A850,'Remote work mental helath'!$A$2:$T$1001,5,)</f>
        <v>Consulting</v>
      </c>
      <c r="C850" t="str">
        <f>VLOOKUP(A850,'Remote work mental helath'!$A$2:$T$1001,7,)</f>
        <v>Onsite</v>
      </c>
      <c r="D850">
        <f>VLOOKUP(A850,'Remote work mental helath'!$A$2:$T$1001,6,)</f>
        <v>25</v>
      </c>
      <c r="E850">
        <f>VLOOKUP(A850,'Remote work mental helath'!$A$2:$T$1001,8,)</f>
        <v>56</v>
      </c>
      <c r="F850">
        <f>VLOOKUP(A850,'Remote work mental helath'!$A$2:$T$1001,9,)</f>
        <v>9</v>
      </c>
    </row>
    <row r="851" spans="1:6" x14ac:dyDescent="0.3">
      <c r="A851" t="s">
        <v>900</v>
      </c>
      <c r="B851" t="str">
        <f>VLOOKUP(A851,'Remote work mental helath'!$A$2:$T$1001,5,)</f>
        <v>Manufacturing</v>
      </c>
      <c r="C851" t="str">
        <f>VLOOKUP(A851,'Remote work mental helath'!$A$2:$T$1001,7,)</f>
        <v>Remote</v>
      </c>
      <c r="D851">
        <f>VLOOKUP(A851,'Remote work mental helath'!$A$2:$T$1001,6,)</f>
        <v>10</v>
      </c>
      <c r="E851">
        <f>VLOOKUP(A851,'Remote work mental helath'!$A$2:$T$1001,8,)</f>
        <v>53</v>
      </c>
      <c r="F851">
        <f>VLOOKUP(A851,'Remote work mental helath'!$A$2:$T$1001,9,)</f>
        <v>15</v>
      </c>
    </row>
    <row r="852" spans="1:6" x14ac:dyDescent="0.3">
      <c r="A852" t="s">
        <v>901</v>
      </c>
      <c r="B852" t="str">
        <f>VLOOKUP(A852,'Remote work mental helath'!$A$2:$T$1001,5,)</f>
        <v>Finance</v>
      </c>
      <c r="C852" t="str">
        <f>VLOOKUP(A852,'Remote work mental helath'!$A$2:$T$1001,7,)</f>
        <v>Onsite</v>
      </c>
      <c r="D852">
        <f>VLOOKUP(A852,'Remote work mental helath'!$A$2:$T$1001,6,)</f>
        <v>32</v>
      </c>
      <c r="E852">
        <f>VLOOKUP(A852,'Remote work mental helath'!$A$2:$T$1001,8,)</f>
        <v>25</v>
      </c>
      <c r="F852">
        <f>VLOOKUP(A852,'Remote work mental helath'!$A$2:$T$1001,9,)</f>
        <v>15</v>
      </c>
    </row>
    <row r="853" spans="1:6" x14ac:dyDescent="0.3">
      <c r="A853" t="s">
        <v>902</v>
      </c>
      <c r="B853" t="str">
        <f>VLOOKUP(A853,'Remote work mental helath'!$A$2:$T$1001,5,)</f>
        <v>IT</v>
      </c>
      <c r="C853" t="str">
        <f>VLOOKUP(A853,'Remote work mental helath'!$A$2:$T$1001,7,)</f>
        <v>Remote</v>
      </c>
      <c r="D853">
        <f>VLOOKUP(A853,'Remote work mental helath'!$A$2:$T$1001,6,)</f>
        <v>32</v>
      </c>
      <c r="E853">
        <f>VLOOKUP(A853,'Remote work mental helath'!$A$2:$T$1001,8,)</f>
        <v>31</v>
      </c>
      <c r="F853">
        <f>VLOOKUP(A853,'Remote work mental helath'!$A$2:$T$1001,9,)</f>
        <v>15</v>
      </c>
    </row>
    <row r="854" spans="1:6" x14ac:dyDescent="0.3">
      <c r="A854" t="s">
        <v>903</v>
      </c>
      <c r="B854" t="str">
        <f>VLOOKUP(A854,'Remote work mental helath'!$A$2:$T$1001,5,)</f>
        <v>Healthcare</v>
      </c>
      <c r="C854" t="str">
        <f>VLOOKUP(A854,'Remote work mental helath'!$A$2:$T$1001,7,)</f>
        <v>Hybrid</v>
      </c>
      <c r="D854">
        <f>VLOOKUP(A854,'Remote work mental helath'!$A$2:$T$1001,6,)</f>
        <v>30</v>
      </c>
      <c r="E854">
        <f>VLOOKUP(A854,'Remote work mental helath'!$A$2:$T$1001,8,)</f>
        <v>21</v>
      </c>
      <c r="F854">
        <f>VLOOKUP(A854,'Remote work mental helath'!$A$2:$T$1001,9,)</f>
        <v>3</v>
      </c>
    </row>
    <row r="855" spans="1:6" x14ac:dyDescent="0.3">
      <c r="A855" t="s">
        <v>904</v>
      </c>
      <c r="B855" t="str">
        <f>VLOOKUP(A855,'Remote work mental helath'!$A$2:$T$1001,5,)</f>
        <v>Finance</v>
      </c>
      <c r="C855" t="str">
        <f>VLOOKUP(A855,'Remote work mental helath'!$A$2:$T$1001,7,)</f>
        <v>Remote</v>
      </c>
      <c r="D855">
        <f>VLOOKUP(A855,'Remote work mental helath'!$A$2:$T$1001,6,)</f>
        <v>19</v>
      </c>
      <c r="E855">
        <f>VLOOKUP(A855,'Remote work mental helath'!$A$2:$T$1001,8,)</f>
        <v>58</v>
      </c>
      <c r="F855">
        <f>VLOOKUP(A855,'Remote work mental helath'!$A$2:$T$1001,9,)</f>
        <v>9</v>
      </c>
    </row>
    <row r="856" spans="1:6" x14ac:dyDescent="0.3">
      <c r="A856" t="s">
        <v>905</v>
      </c>
      <c r="B856" t="str">
        <f>VLOOKUP(A856,'Remote work mental helath'!$A$2:$T$1001,5,)</f>
        <v>IT</v>
      </c>
      <c r="C856" t="str">
        <f>VLOOKUP(A856,'Remote work mental helath'!$A$2:$T$1001,7,)</f>
        <v>Remote</v>
      </c>
      <c r="D856">
        <f>VLOOKUP(A856,'Remote work mental helath'!$A$2:$T$1001,6,)</f>
        <v>5</v>
      </c>
      <c r="E856">
        <f>VLOOKUP(A856,'Remote work mental helath'!$A$2:$T$1001,8,)</f>
        <v>29</v>
      </c>
      <c r="F856">
        <f>VLOOKUP(A856,'Remote work mental helath'!$A$2:$T$1001,9,)</f>
        <v>13</v>
      </c>
    </row>
    <row r="857" spans="1:6" x14ac:dyDescent="0.3">
      <c r="A857" t="s">
        <v>906</v>
      </c>
      <c r="B857" t="str">
        <f>VLOOKUP(A857,'Remote work mental helath'!$A$2:$T$1001,5,)</f>
        <v>Manufacturing</v>
      </c>
      <c r="C857" t="str">
        <f>VLOOKUP(A857,'Remote work mental helath'!$A$2:$T$1001,7,)</f>
        <v>Remote</v>
      </c>
      <c r="D857">
        <f>VLOOKUP(A857,'Remote work mental helath'!$A$2:$T$1001,6,)</f>
        <v>28</v>
      </c>
      <c r="E857">
        <f>VLOOKUP(A857,'Remote work mental helath'!$A$2:$T$1001,8,)</f>
        <v>56</v>
      </c>
      <c r="F857">
        <f>VLOOKUP(A857,'Remote work mental helath'!$A$2:$T$1001,9,)</f>
        <v>5</v>
      </c>
    </row>
    <row r="858" spans="1:6" x14ac:dyDescent="0.3">
      <c r="A858" t="s">
        <v>907</v>
      </c>
      <c r="B858" t="str">
        <f>VLOOKUP(A858,'Remote work mental helath'!$A$2:$T$1001,5,)</f>
        <v>Healthcare</v>
      </c>
      <c r="C858" t="str">
        <f>VLOOKUP(A858,'Remote work mental helath'!$A$2:$T$1001,7,)</f>
        <v>Remote</v>
      </c>
      <c r="D858">
        <f>VLOOKUP(A858,'Remote work mental helath'!$A$2:$T$1001,6,)</f>
        <v>14</v>
      </c>
      <c r="E858">
        <f>VLOOKUP(A858,'Remote work mental helath'!$A$2:$T$1001,8,)</f>
        <v>48</v>
      </c>
      <c r="F858">
        <f>VLOOKUP(A858,'Remote work mental helath'!$A$2:$T$1001,9,)</f>
        <v>1</v>
      </c>
    </row>
    <row r="859" spans="1:6" x14ac:dyDescent="0.3">
      <c r="A859" t="s">
        <v>908</v>
      </c>
      <c r="B859" t="str">
        <f>VLOOKUP(A859,'Remote work mental helath'!$A$2:$T$1001,5,)</f>
        <v>Manufacturing</v>
      </c>
      <c r="C859" t="str">
        <f>VLOOKUP(A859,'Remote work mental helath'!$A$2:$T$1001,7,)</f>
        <v>Hybrid</v>
      </c>
      <c r="D859">
        <f>VLOOKUP(A859,'Remote work mental helath'!$A$2:$T$1001,6,)</f>
        <v>2</v>
      </c>
      <c r="E859">
        <f>VLOOKUP(A859,'Remote work mental helath'!$A$2:$T$1001,8,)</f>
        <v>60</v>
      </c>
      <c r="F859">
        <f>VLOOKUP(A859,'Remote work mental helath'!$A$2:$T$1001,9,)</f>
        <v>2</v>
      </c>
    </row>
    <row r="860" spans="1:6" x14ac:dyDescent="0.3">
      <c r="A860" t="s">
        <v>909</v>
      </c>
      <c r="B860" t="str">
        <f>VLOOKUP(A860,'Remote work mental helath'!$A$2:$T$1001,5,)</f>
        <v>Retail</v>
      </c>
      <c r="C860" t="str">
        <f>VLOOKUP(A860,'Remote work mental helath'!$A$2:$T$1001,7,)</f>
        <v>Hybrid</v>
      </c>
      <c r="D860">
        <f>VLOOKUP(A860,'Remote work mental helath'!$A$2:$T$1001,6,)</f>
        <v>29</v>
      </c>
      <c r="E860">
        <f>VLOOKUP(A860,'Remote work mental helath'!$A$2:$T$1001,8,)</f>
        <v>26</v>
      </c>
      <c r="F860">
        <f>VLOOKUP(A860,'Remote work mental helath'!$A$2:$T$1001,9,)</f>
        <v>8</v>
      </c>
    </row>
    <row r="861" spans="1:6" x14ac:dyDescent="0.3">
      <c r="A861" t="s">
        <v>910</v>
      </c>
      <c r="B861" t="str">
        <f>VLOOKUP(A861,'Remote work mental helath'!$A$2:$T$1001,5,)</f>
        <v>IT</v>
      </c>
      <c r="C861" t="str">
        <f>VLOOKUP(A861,'Remote work mental helath'!$A$2:$T$1001,7,)</f>
        <v>Onsite</v>
      </c>
      <c r="D861">
        <f>VLOOKUP(A861,'Remote work mental helath'!$A$2:$T$1001,6,)</f>
        <v>15</v>
      </c>
      <c r="E861">
        <f>VLOOKUP(A861,'Remote work mental helath'!$A$2:$T$1001,8,)</f>
        <v>21</v>
      </c>
      <c r="F861">
        <f>VLOOKUP(A861,'Remote work mental helath'!$A$2:$T$1001,9,)</f>
        <v>8</v>
      </c>
    </row>
    <row r="862" spans="1:6" x14ac:dyDescent="0.3">
      <c r="A862" t="s">
        <v>911</v>
      </c>
      <c r="B862" t="str">
        <f>VLOOKUP(A862,'Remote work mental helath'!$A$2:$T$1001,5,)</f>
        <v>Healthcare</v>
      </c>
      <c r="C862" t="str">
        <f>VLOOKUP(A862,'Remote work mental helath'!$A$2:$T$1001,7,)</f>
        <v>Onsite</v>
      </c>
      <c r="D862">
        <f>VLOOKUP(A862,'Remote work mental helath'!$A$2:$T$1001,6,)</f>
        <v>27</v>
      </c>
      <c r="E862">
        <f>VLOOKUP(A862,'Remote work mental helath'!$A$2:$T$1001,8,)</f>
        <v>20</v>
      </c>
      <c r="F862">
        <f>VLOOKUP(A862,'Remote work mental helath'!$A$2:$T$1001,9,)</f>
        <v>8</v>
      </c>
    </row>
    <row r="863" spans="1:6" x14ac:dyDescent="0.3">
      <c r="A863" t="s">
        <v>912</v>
      </c>
      <c r="B863" t="str">
        <f>VLOOKUP(A863,'Remote work mental helath'!$A$2:$T$1001,5,)</f>
        <v>Finance</v>
      </c>
      <c r="C863" t="str">
        <f>VLOOKUP(A863,'Remote work mental helath'!$A$2:$T$1001,7,)</f>
        <v>Onsite</v>
      </c>
      <c r="D863">
        <f>VLOOKUP(A863,'Remote work mental helath'!$A$2:$T$1001,6,)</f>
        <v>26</v>
      </c>
      <c r="E863">
        <f>VLOOKUP(A863,'Remote work mental helath'!$A$2:$T$1001,8,)</f>
        <v>58</v>
      </c>
      <c r="F863">
        <f>VLOOKUP(A863,'Remote work mental helath'!$A$2:$T$1001,9,)</f>
        <v>9</v>
      </c>
    </row>
    <row r="864" spans="1:6" x14ac:dyDescent="0.3">
      <c r="A864" t="s">
        <v>913</v>
      </c>
      <c r="B864" t="str">
        <f>VLOOKUP(A864,'Remote work mental helath'!$A$2:$T$1001,5,)</f>
        <v>Retail</v>
      </c>
      <c r="C864" t="str">
        <f>VLOOKUP(A864,'Remote work mental helath'!$A$2:$T$1001,7,)</f>
        <v>Hybrid</v>
      </c>
      <c r="D864">
        <f>VLOOKUP(A864,'Remote work mental helath'!$A$2:$T$1001,6,)</f>
        <v>10</v>
      </c>
      <c r="E864">
        <f>VLOOKUP(A864,'Remote work mental helath'!$A$2:$T$1001,8,)</f>
        <v>39</v>
      </c>
      <c r="F864">
        <f>VLOOKUP(A864,'Remote work mental helath'!$A$2:$T$1001,9,)</f>
        <v>10</v>
      </c>
    </row>
    <row r="865" spans="1:6" x14ac:dyDescent="0.3">
      <c r="A865" t="s">
        <v>914</v>
      </c>
      <c r="B865" t="str">
        <f>VLOOKUP(A865,'Remote work mental helath'!$A$2:$T$1001,5,)</f>
        <v>Healthcare</v>
      </c>
      <c r="C865" t="str">
        <f>VLOOKUP(A865,'Remote work mental helath'!$A$2:$T$1001,7,)</f>
        <v>Onsite</v>
      </c>
      <c r="D865">
        <f>VLOOKUP(A865,'Remote work mental helath'!$A$2:$T$1001,6,)</f>
        <v>6</v>
      </c>
      <c r="E865">
        <f>VLOOKUP(A865,'Remote work mental helath'!$A$2:$T$1001,8,)</f>
        <v>43</v>
      </c>
      <c r="F865">
        <f>VLOOKUP(A865,'Remote work mental helath'!$A$2:$T$1001,9,)</f>
        <v>11</v>
      </c>
    </row>
    <row r="866" spans="1:6" x14ac:dyDescent="0.3">
      <c r="A866" t="s">
        <v>915</v>
      </c>
      <c r="B866" t="str">
        <f>VLOOKUP(A866,'Remote work mental helath'!$A$2:$T$1001,5,)</f>
        <v>Healthcare</v>
      </c>
      <c r="C866" t="str">
        <f>VLOOKUP(A866,'Remote work mental helath'!$A$2:$T$1001,7,)</f>
        <v>Remote</v>
      </c>
      <c r="D866">
        <f>VLOOKUP(A866,'Remote work mental helath'!$A$2:$T$1001,6,)</f>
        <v>19</v>
      </c>
      <c r="E866">
        <f>VLOOKUP(A866,'Remote work mental helath'!$A$2:$T$1001,8,)</f>
        <v>43</v>
      </c>
      <c r="F866">
        <f>VLOOKUP(A866,'Remote work mental helath'!$A$2:$T$1001,9,)</f>
        <v>13</v>
      </c>
    </row>
    <row r="867" spans="1:6" x14ac:dyDescent="0.3">
      <c r="A867" t="s">
        <v>916</v>
      </c>
      <c r="B867" t="str">
        <f>VLOOKUP(A867,'Remote work mental helath'!$A$2:$T$1001,5,)</f>
        <v>Consulting</v>
      </c>
      <c r="C867" t="str">
        <f>VLOOKUP(A867,'Remote work mental helath'!$A$2:$T$1001,7,)</f>
        <v>Onsite</v>
      </c>
      <c r="D867">
        <f>VLOOKUP(A867,'Remote work mental helath'!$A$2:$T$1001,6,)</f>
        <v>25</v>
      </c>
      <c r="E867">
        <f>VLOOKUP(A867,'Remote work mental helath'!$A$2:$T$1001,8,)</f>
        <v>28</v>
      </c>
      <c r="F867">
        <f>VLOOKUP(A867,'Remote work mental helath'!$A$2:$T$1001,9,)</f>
        <v>5</v>
      </c>
    </row>
    <row r="868" spans="1:6" x14ac:dyDescent="0.3">
      <c r="A868" t="s">
        <v>917</v>
      </c>
      <c r="B868" t="str">
        <f>VLOOKUP(A868,'Remote work mental helath'!$A$2:$T$1001,5,)</f>
        <v>Consulting</v>
      </c>
      <c r="C868" t="str">
        <f>VLOOKUP(A868,'Remote work mental helath'!$A$2:$T$1001,7,)</f>
        <v>Hybrid</v>
      </c>
      <c r="D868">
        <f>VLOOKUP(A868,'Remote work mental helath'!$A$2:$T$1001,6,)</f>
        <v>32</v>
      </c>
      <c r="E868">
        <f>VLOOKUP(A868,'Remote work mental helath'!$A$2:$T$1001,8,)</f>
        <v>24</v>
      </c>
      <c r="F868">
        <f>VLOOKUP(A868,'Remote work mental helath'!$A$2:$T$1001,9,)</f>
        <v>13</v>
      </c>
    </row>
    <row r="869" spans="1:6" x14ac:dyDescent="0.3">
      <c r="A869" t="s">
        <v>918</v>
      </c>
      <c r="B869" t="str">
        <f>VLOOKUP(A869,'Remote work mental helath'!$A$2:$T$1001,5,)</f>
        <v>Education</v>
      </c>
      <c r="C869" t="str">
        <f>VLOOKUP(A869,'Remote work mental helath'!$A$2:$T$1001,7,)</f>
        <v>Hybrid</v>
      </c>
      <c r="D869">
        <f>VLOOKUP(A869,'Remote work mental helath'!$A$2:$T$1001,6,)</f>
        <v>5</v>
      </c>
      <c r="E869">
        <f>VLOOKUP(A869,'Remote work mental helath'!$A$2:$T$1001,8,)</f>
        <v>51</v>
      </c>
      <c r="F869">
        <f>VLOOKUP(A869,'Remote work mental helath'!$A$2:$T$1001,9,)</f>
        <v>0</v>
      </c>
    </row>
    <row r="870" spans="1:6" x14ac:dyDescent="0.3">
      <c r="A870" t="s">
        <v>919</v>
      </c>
      <c r="B870" t="str">
        <f>VLOOKUP(A870,'Remote work mental helath'!$A$2:$T$1001,5,)</f>
        <v>Healthcare</v>
      </c>
      <c r="C870" t="str">
        <f>VLOOKUP(A870,'Remote work mental helath'!$A$2:$T$1001,7,)</f>
        <v>Remote</v>
      </c>
      <c r="D870">
        <f>VLOOKUP(A870,'Remote work mental helath'!$A$2:$T$1001,6,)</f>
        <v>29</v>
      </c>
      <c r="E870">
        <f>VLOOKUP(A870,'Remote work mental helath'!$A$2:$T$1001,8,)</f>
        <v>29</v>
      </c>
      <c r="F870">
        <f>VLOOKUP(A870,'Remote work mental helath'!$A$2:$T$1001,9,)</f>
        <v>14</v>
      </c>
    </row>
    <row r="871" spans="1:6" x14ac:dyDescent="0.3">
      <c r="A871" t="s">
        <v>920</v>
      </c>
      <c r="B871" t="str">
        <f>VLOOKUP(A871,'Remote work mental helath'!$A$2:$T$1001,5,)</f>
        <v>Manufacturing</v>
      </c>
      <c r="C871" t="str">
        <f>VLOOKUP(A871,'Remote work mental helath'!$A$2:$T$1001,7,)</f>
        <v>Onsite</v>
      </c>
      <c r="D871">
        <f>VLOOKUP(A871,'Remote work mental helath'!$A$2:$T$1001,6,)</f>
        <v>16</v>
      </c>
      <c r="E871">
        <f>VLOOKUP(A871,'Remote work mental helath'!$A$2:$T$1001,8,)</f>
        <v>55</v>
      </c>
      <c r="F871">
        <f>VLOOKUP(A871,'Remote work mental helath'!$A$2:$T$1001,9,)</f>
        <v>4</v>
      </c>
    </row>
    <row r="872" spans="1:6" x14ac:dyDescent="0.3">
      <c r="A872" t="s">
        <v>921</v>
      </c>
      <c r="B872" t="str">
        <f>VLOOKUP(A872,'Remote work mental helath'!$A$2:$T$1001,5,)</f>
        <v>Finance</v>
      </c>
      <c r="C872" t="str">
        <f>VLOOKUP(A872,'Remote work mental helath'!$A$2:$T$1001,7,)</f>
        <v>Remote</v>
      </c>
      <c r="D872">
        <f>VLOOKUP(A872,'Remote work mental helath'!$A$2:$T$1001,6,)</f>
        <v>6</v>
      </c>
      <c r="E872">
        <f>VLOOKUP(A872,'Remote work mental helath'!$A$2:$T$1001,8,)</f>
        <v>40</v>
      </c>
      <c r="F872">
        <f>VLOOKUP(A872,'Remote work mental helath'!$A$2:$T$1001,9,)</f>
        <v>3</v>
      </c>
    </row>
    <row r="873" spans="1:6" x14ac:dyDescent="0.3">
      <c r="A873" t="s">
        <v>922</v>
      </c>
      <c r="B873" t="str">
        <f>VLOOKUP(A873,'Remote work mental helath'!$A$2:$T$1001,5,)</f>
        <v>Finance</v>
      </c>
      <c r="C873" t="str">
        <f>VLOOKUP(A873,'Remote work mental helath'!$A$2:$T$1001,7,)</f>
        <v>Onsite</v>
      </c>
      <c r="D873">
        <f>VLOOKUP(A873,'Remote work mental helath'!$A$2:$T$1001,6,)</f>
        <v>12</v>
      </c>
      <c r="E873">
        <f>VLOOKUP(A873,'Remote work mental helath'!$A$2:$T$1001,8,)</f>
        <v>43</v>
      </c>
      <c r="F873">
        <f>VLOOKUP(A873,'Remote work mental helath'!$A$2:$T$1001,9,)</f>
        <v>3</v>
      </c>
    </row>
    <row r="874" spans="1:6" x14ac:dyDescent="0.3">
      <c r="A874" t="s">
        <v>923</v>
      </c>
      <c r="B874" t="str">
        <f>VLOOKUP(A874,'Remote work mental helath'!$A$2:$T$1001,5,)</f>
        <v>Education</v>
      </c>
      <c r="C874" t="str">
        <f>VLOOKUP(A874,'Remote work mental helath'!$A$2:$T$1001,7,)</f>
        <v>Hybrid</v>
      </c>
      <c r="D874">
        <f>VLOOKUP(A874,'Remote work mental helath'!$A$2:$T$1001,6,)</f>
        <v>22</v>
      </c>
      <c r="E874">
        <f>VLOOKUP(A874,'Remote work mental helath'!$A$2:$T$1001,8,)</f>
        <v>29</v>
      </c>
      <c r="F874">
        <f>VLOOKUP(A874,'Remote work mental helath'!$A$2:$T$1001,9,)</f>
        <v>2</v>
      </c>
    </row>
    <row r="875" spans="1:6" x14ac:dyDescent="0.3">
      <c r="A875" t="s">
        <v>924</v>
      </c>
      <c r="B875" t="str">
        <f>VLOOKUP(A875,'Remote work mental helath'!$A$2:$T$1001,5,)</f>
        <v>Healthcare</v>
      </c>
      <c r="C875" t="str">
        <f>VLOOKUP(A875,'Remote work mental helath'!$A$2:$T$1001,7,)</f>
        <v>Hybrid</v>
      </c>
      <c r="D875">
        <f>VLOOKUP(A875,'Remote work mental helath'!$A$2:$T$1001,6,)</f>
        <v>35</v>
      </c>
      <c r="E875">
        <f>VLOOKUP(A875,'Remote work mental helath'!$A$2:$T$1001,8,)</f>
        <v>48</v>
      </c>
      <c r="F875">
        <f>VLOOKUP(A875,'Remote work mental helath'!$A$2:$T$1001,9,)</f>
        <v>9</v>
      </c>
    </row>
    <row r="876" spans="1:6" x14ac:dyDescent="0.3">
      <c r="A876" t="s">
        <v>925</v>
      </c>
      <c r="B876" t="str">
        <f>VLOOKUP(A876,'Remote work mental helath'!$A$2:$T$1001,5,)</f>
        <v>Manufacturing</v>
      </c>
      <c r="C876" t="str">
        <f>VLOOKUP(A876,'Remote work mental helath'!$A$2:$T$1001,7,)</f>
        <v>Hybrid</v>
      </c>
      <c r="D876">
        <f>VLOOKUP(A876,'Remote work mental helath'!$A$2:$T$1001,6,)</f>
        <v>1</v>
      </c>
      <c r="E876">
        <f>VLOOKUP(A876,'Remote work mental helath'!$A$2:$T$1001,8,)</f>
        <v>38</v>
      </c>
      <c r="F876">
        <f>VLOOKUP(A876,'Remote work mental helath'!$A$2:$T$1001,9,)</f>
        <v>10</v>
      </c>
    </row>
    <row r="877" spans="1:6" x14ac:dyDescent="0.3">
      <c r="A877" t="s">
        <v>926</v>
      </c>
      <c r="B877" t="str">
        <f>VLOOKUP(A877,'Remote work mental helath'!$A$2:$T$1001,5,)</f>
        <v>Consulting</v>
      </c>
      <c r="C877" t="str">
        <f>VLOOKUP(A877,'Remote work mental helath'!$A$2:$T$1001,7,)</f>
        <v>Hybrid</v>
      </c>
      <c r="D877">
        <f>VLOOKUP(A877,'Remote work mental helath'!$A$2:$T$1001,6,)</f>
        <v>33</v>
      </c>
      <c r="E877">
        <f>VLOOKUP(A877,'Remote work mental helath'!$A$2:$T$1001,8,)</f>
        <v>42</v>
      </c>
      <c r="F877">
        <f>VLOOKUP(A877,'Remote work mental helath'!$A$2:$T$1001,9,)</f>
        <v>1</v>
      </c>
    </row>
    <row r="878" spans="1:6" x14ac:dyDescent="0.3">
      <c r="A878" t="s">
        <v>927</v>
      </c>
      <c r="B878" t="str">
        <f>VLOOKUP(A878,'Remote work mental helath'!$A$2:$T$1001,5,)</f>
        <v>Retail</v>
      </c>
      <c r="C878" t="str">
        <f>VLOOKUP(A878,'Remote work mental helath'!$A$2:$T$1001,7,)</f>
        <v>Remote</v>
      </c>
      <c r="D878">
        <f>VLOOKUP(A878,'Remote work mental helath'!$A$2:$T$1001,6,)</f>
        <v>2</v>
      </c>
      <c r="E878">
        <f>VLOOKUP(A878,'Remote work mental helath'!$A$2:$T$1001,8,)</f>
        <v>34</v>
      </c>
      <c r="F878">
        <f>VLOOKUP(A878,'Remote work mental helath'!$A$2:$T$1001,9,)</f>
        <v>14</v>
      </c>
    </row>
    <row r="879" spans="1:6" x14ac:dyDescent="0.3">
      <c r="A879" t="s">
        <v>928</v>
      </c>
      <c r="B879" t="str">
        <f>VLOOKUP(A879,'Remote work mental helath'!$A$2:$T$1001,5,)</f>
        <v>Consulting</v>
      </c>
      <c r="C879" t="str">
        <f>VLOOKUP(A879,'Remote work mental helath'!$A$2:$T$1001,7,)</f>
        <v>Hybrid</v>
      </c>
      <c r="D879">
        <f>VLOOKUP(A879,'Remote work mental helath'!$A$2:$T$1001,6,)</f>
        <v>8</v>
      </c>
      <c r="E879">
        <f>VLOOKUP(A879,'Remote work mental helath'!$A$2:$T$1001,8,)</f>
        <v>48</v>
      </c>
      <c r="F879">
        <f>VLOOKUP(A879,'Remote work mental helath'!$A$2:$T$1001,9,)</f>
        <v>7</v>
      </c>
    </row>
    <row r="880" spans="1:6" x14ac:dyDescent="0.3">
      <c r="A880" t="s">
        <v>929</v>
      </c>
      <c r="B880" t="str">
        <f>VLOOKUP(A880,'Remote work mental helath'!$A$2:$T$1001,5,)</f>
        <v>Manufacturing</v>
      </c>
      <c r="C880" t="str">
        <f>VLOOKUP(A880,'Remote work mental helath'!$A$2:$T$1001,7,)</f>
        <v>Remote</v>
      </c>
      <c r="D880">
        <f>VLOOKUP(A880,'Remote work mental helath'!$A$2:$T$1001,6,)</f>
        <v>26</v>
      </c>
      <c r="E880">
        <f>VLOOKUP(A880,'Remote work mental helath'!$A$2:$T$1001,8,)</f>
        <v>57</v>
      </c>
      <c r="F880">
        <f>VLOOKUP(A880,'Remote work mental helath'!$A$2:$T$1001,9,)</f>
        <v>3</v>
      </c>
    </row>
    <row r="881" spans="1:6" x14ac:dyDescent="0.3">
      <c r="A881" t="s">
        <v>930</v>
      </c>
      <c r="B881" t="str">
        <f>VLOOKUP(A881,'Remote work mental helath'!$A$2:$T$1001,5,)</f>
        <v>Retail</v>
      </c>
      <c r="C881" t="str">
        <f>VLOOKUP(A881,'Remote work mental helath'!$A$2:$T$1001,7,)</f>
        <v>Onsite</v>
      </c>
      <c r="D881">
        <f>VLOOKUP(A881,'Remote work mental helath'!$A$2:$T$1001,6,)</f>
        <v>22</v>
      </c>
      <c r="E881">
        <f>VLOOKUP(A881,'Remote work mental helath'!$A$2:$T$1001,8,)</f>
        <v>59</v>
      </c>
      <c r="F881">
        <f>VLOOKUP(A881,'Remote work mental helath'!$A$2:$T$1001,9,)</f>
        <v>8</v>
      </c>
    </row>
    <row r="882" spans="1:6" x14ac:dyDescent="0.3">
      <c r="A882" t="s">
        <v>931</v>
      </c>
      <c r="B882" t="str">
        <f>VLOOKUP(A882,'Remote work mental helath'!$A$2:$T$1001,5,)</f>
        <v>Education</v>
      </c>
      <c r="C882" t="str">
        <f>VLOOKUP(A882,'Remote work mental helath'!$A$2:$T$1001,7,)</f>
        <v>Onsite</v>
      </c>
      <c r="D882">
        <f>VLOOKUP(A882,'Remote work mental helath'!$A$2:$T$1001,6,)</f>
        <v>17</v>
      </c>
      <c r="E882">
        <f>VLOOKUP(A882,'Remote work mental helath'!$A$2:$T$1001,8,)</f>
        <v>30</v>
      </c>
      <c r="F882">
        <f>VLOOKUP(A882,'Remote work mental helath'!$A$2:$T$1001,9,)</f>
        <v>10</v>
      </c>
    </row>
    <row r="883" spans="1:6" x14ac:dyDescent="0.3">
      <c r="A883" t="s">
        <v>932</v>
      </c>
      <c r="B883" t="str">
        <f>VLOOKUP(A883,'Remote work mental helath'!$A$2:$T$1001,5,)</f>
        <v>IT</v>
      </c>
      <c r="C883" t="str">
        <f>VLOOKUP(A883,'Remote work mental helath'!$A$2:$T$1001,7,)</f>
        <v>Onsite</v>
      </c>
      <c r="D883">
        <f>VLOOKUP(A883,'Remote work mental helath'!$A$2:$T$1001,6,)</f>
        <v>28</v>
      </c>
      <c r="E883">
        <f>VLOOKUP(A883,'Remote work mental helath'!$A$2:$T$1001,8,)</f>
        <v>29</v>
      </c>
      <c r="F883">
        <f>VLOOKUP(A883,'Remote work mental helath'!$A$2:$T$1001,9,)</f>
        <v>9</v>
      </c>
    </row>
    <row r="884" spans="1:6" x14ac:dyDescent="0.3">
      <c r="A884" t="s">
        <v>933</v>
      </c>
      <c r="B884" t="str">
        <f>VLOOKUP(A884,'Remote work mental helath'!$A$2:$T$1001,5,)</f>
        <v>Education</v>
      </c>
      <c r="C884" t="str">
        <f>VLOOKUP(A884,'Remote work mental helath'!$A$2:$T$1001,7,)</f>
        <v>Remote</v>
      </c>
      <c r="D884">
        <f>VLOOKUP(A884,'Remote work mental helath'!$A$2:$T$1001,6,)</f>
        <v>25</v>
      </c>
      <c r="E884">
        <f>VLOOKUP(A884,'Remote work mental helath'!$A$2:$T$1001,8,)</f>
        <v>21</v>
      </c>
      <c r="F884">
        <f>VLOOKUP(A884,'Remote work mental helath'!$A$2:$T$1001,9,)</f>
        <v>10</v>
      </c>
    </row>
    <row r="885" spans="1:6" x14ac:dyDescent="0.3">
      <c r="A885" t="s">
        <v>934</v>
      </c>
      <c r="B885" t="str">
        <f>VLOOKUP(A885,'Remote work mental helath'!$A$2:$T$1001,5,)</f>
        <v>Retail</v>
      </c>
      <c r="C885" t="str">
        <f>VLOOKUP(A885,'Remote work mental helath'!$A$2:$T$1001,7,)</f>
        <v>Remote</v>
      </c>
      <c r="D885">
        <f>VLOOKUP(A885,'Remote work mental helath'!$A$2:$T$1001,6,)</f>
        <v>30</v>
      </c>
      <c r="E885">
        <f>VLOOKUP(A885,'Remote work mental helath'!$A$2:$T$1001,8,)</f>
        <v>23</v>
      </c>
      <c r="F885">
        <f>VLOOKUP(A885,'Remote work mental helath'!$A$2:$T$1001,9,)</f>
        <v>14</v>
      </c>
    </row>
    <row r="886" spans="1:6" x14ac:dyDescent="0.3">
      <c r="A886" t="s">
        <v>935</v>
      </c>
      <c r="B886" t="str">
        <f>VLOOKUP(A886,'Remote work mental helath'!$A$2:$T$1001,5,)</f>
        <v>Consulting</v>
      </c>
      <c r="C886" t="str">
        <f>VLOOKUP(A886,'Remote work mental helath'!$A$2:$T$1001,7,)</f>
        <v>Remote</v>
      </c>
      <c r="D886">
        <f>VLOOKUP(A886,'Remote work mental helath'!$A$2:$T$1001,6,)</f>
        <v>34</v>
      </c>
      <c r="E886">
        <f>VLOOKUP(A886,'Remote work mental helath'!$A$2:$T$1001,8,)</f>
        <v>53</v>
      </c>
      <c r="F886">
        <f>VLOOKUP(A886,'Remote work mental helath'!$A$2:$T$1001,9,)</f>
        <v>1</v>
      </c>
    </row>
    <row r="887" spans="1:6" x14ac:dyDescent="0.3">
      <c r="A887" t="s">
        <v>936</v>
      </c>
      <c r="B887" t="str">
        <f>VLOOKUP(A887,'Remote work mental helath'!$A$2:$T$1001,5,)</f>
        <v>Finance</v>
      </c>
      <c r="C887" t="str">
        <f>VLOOKUP(A887,'Remote work mental helath'!$A$2:$T$1001,7,)</f>
        <v>Hybrid</v>
      </c>
      <c r="D887">
        <f>VLOOKUP(A887,'Remote work mental helath'!$A$2:$T$1001,6,)</f>
        <v>13</v>
      </c>
      <c r="E887">
        <f>VLOOKUP(A887,'Remote work mental helath'!$A$2:$T$1001,8,)</f>
        <v>30</v>
      </c>
      <c r="F887">
        <f>VLOOKUP(A887,'Remote work mental helath'!$A$2:$T$1001,9,)</f>
        <v>6</v>
      </c>
    </row>
    <row r="888" spans="1:6" x14ac:dyDescent="0.3">
      <c r="A888" t="s">
        <v>937</v>
      </c>
      <c r="B888" t="str">
        <f>VLOOKUP(A888,'Remote work mental helath'!$A$2:$T$1001,5,)</f>
        <v>Retail</v>
      </c>
      <c r="C888" t="str">
        <f>VLOOKUP(A888,'Remote work mental helath'!$A$2:$T$1001,7,)</f>
        <v>Onsite</v>
      </c>
      <c r="D888">
        <f>VLOOKUP(A888,'Remote work mental helath'!$A$2:$T$1001,6,)</f>
        <v>19</v>
      </c>
      <c r="E888">
        <f>VLOOKUP(A888,'Remote work mental helath'!$A$2:$T$1001,8,)</f>
        <v>60</v>
      </c>
      <c r="F888">
        <f>VLOOKUP(A888,'Remote work mental helath'!$A$2:$T$1001,9,)</f>
        <v>10</v>
      </c>
    </row>
    <row r="889" spans="1:6" x14ac:dyDescent="0.3">
      <c r="A889" t="s">
        <v>938</v>
      </c>
      <c r="B889" t="str">
        <f>VLOOKUP(A889,'Remote work mental helath'!$A$2:$T$1001,5,)</f>
        <v>Consulting</v>
      </c>
      <c r="C889" t="str">
        <f>VLOOKUP(A889,'Remote work mental helath'!$A$2:$T$1001,7,)</f>
        <v>Onsite</v>
      </c>
      <c r="D889">
        <f>VLOOKUP(A889,'Remote work mental helath'!$A$2:$T$1001,6,)</f>
        <v>20</v>
      </c>
      <c r="E889">
        <f>VLOOKUP(A889,'Remote work mental helath'!$A$2:$T$1001,8,)</f>
        <v>50</v>
      </c>
      <c r="F889">
        <f>VLOOKUP(A889,'Remote work mental helath'!$A$2:$T$1001,9,)</f>
        <v>5</v>
      </c>
    </row>
    <row r="890" spans="1:6" x14ac:dyDescent="0.3">
      <c r="A890" t="s">
        <v>939</v>
      </c>
      <c r="B890" t="str">
        <f>VLOOKUP(A890,'Remote work mental helath'!$A$2:$T$1001,5,)</f>
        <v>IT</v>
      </c>
      <c r="C890" t="str">
        <f>VLOOKUP(A890,'Remote work mental helath'!$A$2:$T$1001,7,)</f>
        <v>Remote</v>
      </c>
      <c r="D890">
        <f>VLOOKUP(A890,'Remote work mental helath'!$A$2:$T$1001,6,)</f>
        <v>25</v>
      </c>
      <c r="E890">
        <f>VLOOKUP(A890,'Remote work mental helath'!$A$2:$T$1001,8,)</f>
        <v>31</v>
      </c>
      <c r="F890">
        <f>VLOOKUP(A890,'Remote work mental helath'!$A$2:$T$1001,9,)</f>
        <v>14</v>
      </c>
    </row>
    <row r="891" spans="1:6" x14ac:dyDescent="0.3">
      <c r="A891" t="s">
        <v>940</v>
      </c>
      <c r="B891" t="str">
        <f>VLOOKUP(A891,'Remote work mental helath'!$A$2:$T$1001,5,)</f>
        <v>Manufacturing</v>
      </c>
      <c r="C891" t="str">
        <f>VLOOKUP(A891,'Remote work mental helath'!$A$2:$T$1001,7,)</f>
        <v>Hybrid</v>
      </c>
      <c r="D891">
        <f>VLOOKUP(A891,'Remote work mental helath'!$A$2:$T$1001,6,)</f>
        <v>19</v>
      </c>
      <c r="E891">
        <f>VLOOKUP(A891,'Remote work mental helath'!$A$2:$T$1001,8,)</f>
        <v>49</v>
      </c>
      <c r="F891">
        <f>VLOOKUP(A891,'Remote work mental helath'!$A$2:$T$1001,9,)</f>
        <v>0</v>
      </c>
    </row>
    <row r="892" spans="1:6" x14ac:dyDescent="0.3">
      <c r="A892" t="s">
        <v>941</v>
      </c>
      <c r="B892" t="str">
        <f>VLOOKUP(A892,'Remote work mental helath'!$A$2:$T$1001,5,)</f>
        <v>Consulting</v>
      </c>
      <c r="C892" t="str">
        <f>VLOOKUP(A892,'Remote work mental helath'!$A$2:$T$1001,7,)</f>
        <v>Remote</v>
      </c>
      <c r="D892">
        <f>VLOOKUP(A892,'Remote work mental helath'!$A$2:$T$1001,6,)</f>
        <v>2</v>
      </c>
      <c r="E892">
        <f>VLOOKUP(A892,'Remote work mental helath'!$A$2:$T$1001,8,)</f>
        <v>35</v>
      </c>
      <c r="F892">
        <f>VLOOKUP(A892,'Remote work mental helath'!$A$2:$T$1001,9,)</f>
        <v>4</v>
      </c>
    </row>
    <row r="893" spans="1:6" x14ac:dyDescent="0.3">
      <c r="A893" t="s">
        <v>942</v>
      </c>
      <c r="B893" t="str">
        <f>VLOOKUP(A893,'Remote work mental helath'!$A$2:$T$1001,5,)</f>
        <v>Education</v>
      </c>
      <c r="C893" t="str">
        <f>VLOOKUP(A893,'Remote work mental helath'!$A$2:$T$1001,7,)</f>
        <v>Remote</v>
      </c>
      <c r="D893">
        <f>VLOOKUP(A893,'Remote work mental helath'!$A$2:$T$1001,6,)</f>
        <v>35</v>
      </c>
      <c r="E893">
        <f>VLOOKUP(A893,'Remote work mental helath'!$A$2:$T$1001,8,)</f>
        <v>26</v>
      </c>
      <c r="F893">
        <f>VLOOKUP(A893,'Remote work mental helath'!$A$2:$T$1001,9,)</f>
        <v>14</v>
      </c>
    </row>
    <row r="894" spans="1:6" x14ac:dyDescent="0.3">
      <c r="A894" t="s">
        <v>943</v>
      </c>
      <c r="B894" t="str">
        <f>VLOOKUP(A894,'Remote work mental helath'!$A$2:$T$1001,5,)</f>
        <v>Retail</v>
      </c>
      <c r="C894" t="str">
        <f>VLOOKUP(A894,'Remote work mental helath'!$A$2:$T$1001,7,)</f>
        <v>Onsite</v>
      </c>
      <c r="D894">
        <f>VLOOKUP(A894,'Remote work mental helath'!$A$2:$T$1001,6,)</f>
        <v>23</v>
      </c>
      <c r="E894">
        <f>VLOOKUP(A894,'Remote work mental helath'!$A$2:$T$1001,8,)</f>
        <v>60</v>
      </c>
      <c r="F894">
        <f>VLOOKUP(A894,'Remote work mental helath'!$A$2:$T$1001,9,)</f>
        <v>15</v>
      </c>
    </row>
    <row r="895" spans="1:6" x14ac:dyDescent="0.3">
      <c r="A895" t="s">
        <v>944</v>
      </c>
      <c r="B895" t="str">
        <f>VLOOKUP(A895,'Remote work mental helath'!$A$2:$T$1001,5,)</f>
        <v>Healthcare</v>
      </c>
      <c r="C895" t="str">
        <f>VLOOKUP(A895,'Remote work mental helath'!$A$2:$T$1001,7,)</f>
        <v>Onsite</v>
      </c>
      <c r="D895">
        <f>VLOOKUP(A895,'Remote work mental helath'!$A$2:$T$1001,6,)</f>
        <v>3</v>
      </c>
      <c r="E895">
        <f>VLOOKUP(A895,'Remote work mental helath'!$A$2:$T$1001,8,)</f>
        <v>30</v>
      </c>
      <c r="F895">
        <f>VLOOKUP(A895,'Remote work mental helath'!$A$2:$T$1001,9,)</f>
        <v>10</v>
      </c>
    </row>
    <row r="896" spans="1:6" x14ac:dyDescent="0.3">
      <c r="A896" t="s">
        <v>945</v>
      </c>
      <c r="B896" t="str">
        <f>VLOOKUP(A896,'Remote work mental helath'!$A$2:$T$1001,5,)</f>
        <v>Consulting</v>
      </c>
      <c r="C896" t="str">
        <f>VLOOKUP(A896,'Remote work mental helath'!$A$2:$T$1001,7,)</f>
        <v>Remote</v>
      </c>
      <c r="D896">
        <f>VLOOKUP(A896,'Remote work mental helath'!$A$2:$T$1001,6,)</f>
        <v>21</v>
      </c>
      <c r="E896">
        <f>VLOOKUP(A896,'Remote work mental helath'!$A$2:$T$1001,8,)</f>
        <v>25</v>
      </c>
      <c r="F896">
        <f>VLOOKUP(A896,'Remote work mental helath'!$A$2:$T$1001,9,)</f>
        <v>6</v>
      </c>
    </row>
    <row r="897" spans="1:6" x14ac:dyDescent="0.3">
      <c r="A897" t="s">
        <v>946</v>
      </c>
      <c r="B897" t="str">
        <f>VLOOKUP(A897,'Remote work mental helath'!$A$2:$T$1001,5,)</f>
        <v>Retail</v>
      </c>
      <c r="C897" t="str">
        <f>VLOOKUP(A897,'Remote work mental helath'!$A$2:$T$1001,7,)</f>
        <v>Remote</v>
      </c>
      <c r="D897">
        <f>VLOOKUP(A897,'Remote work mental helath'!$A$2:$T$1001,6,)</f>
        <v>9</v>
      </c>
      <c r="E897">
        <f>VLOOKUP(A897,'Remote work mental helath'!$A$2:$T$1001,8,)</f>
        <v>42</v>
      </c>
      <c r="F897">
        <f>VLOOKUP(A897,'Remote work mental helath'!$A$2:$T$1001,9,)</f>
        <v>2</v>
      </c>
    </row>
    <row r="898" spans="1:6" x14ac:dyDescent="0.3">
      <c r="A898" t="s">
        <v>947</v>
      </c>
      <c r="B898" t="str">
        <f>VLOOKUP(A898,'Remote work mental helath'!$A$2:$T$1001,5,)</f>
        <v>Finance</v>
      </c>
      <c r="C898" t="str">
        <f>VLOOKUP(A898,'Remote work mental helath'!$A$2:$T$1001,7,)</f>
        <v>Remote</v>
      </c>
      <c r="D898">
        <f>VLOOKUP(A898,'Remote work mental helath'!$A$2:$T$1001,6,)</f>
        <v>9</v>
      </c>
      <c r="E898">
        <f>VLOOKUP(A898,'Remote work mental helath'!$A$2:$T$1001,8,)</f>
        <v>46</v>
      </c>
      <c r="F898">
        <f>VLOOKUP(A898,'Remote work mental helath'!$A$2:$T$1001,9,)</f>
        <v>13</v>
      </c>
    </row>
    <row r="899" spans="1:6" x14ac:dyDescent="0.3">
      <c r="A899" t="s">
        <v>948</v>
      </c>
      <c r="B899" t="str">
        <f>VLOOKUP(A899,'Remote work mental helath'!$A$2:$T$1001,5,)</f>
        <v>Healthcare</v>
      </c>
      <c r="C899" t="str">
        <f>VLOOKUP(A899,'Remote work mental helath'!$A$2:$T$1001,7,)</f>
        <v>Onsite</v>
      </c>
      <c r="D899">
        <f>VLOOKUP(A899,'Remote work mental helath'!$A$2:$T$1001,6,)</f>
        <v>10</v>
      </c>
      <c r="E899">
        <f>VLOOKUP(A899,'Remote work mental helath'!$A$2:$T$1001,8,)</f>
        <v>41</v>
      </c>
      <c r="F899">
        <f>VLOOKUP(A899,'Remote work mental helath'!$A$2:$T$1001,9,)</f>
        <v>9</v>
      </c>
    </row>
    <row r="900" spans="1:6" x14ac:dyDescent="0.3">
      <c r="A900" t="s">
        <v>949</v>
      </c>
      <c r="B900" t="str">
        <f>VLOOKUP(A900,'Remote work mental helath'!$A$2:$T$1001,5,)</f>
        <v>Retail</v>
      </c>
      <c r="C900" t="str">
        <f>VLOOKUP(A900,'Remote work mental helath'!$A$2:$T$1001,7,)</f>
        <v>Onsite</v>
      </c>
      <c r="D900">
        <f>VLOOKUP(A900,'Remote work mental helath'!$A$2:$T$1001,6,)</f>
        <v>1</v>
      </c>
      <c r="E900">
        <f>VLOOKUP(A900,'Remote work mental helath'!$A$2:$T$1001,8,)</f>
        <v>39</v>
      </c>
      <c r="F900">
        <f>VLOOKUP(A900,'Remote work mental helath'!$A$2:$T$1001,9,)</f>
        <v>10</v>
      </c>
    </row>
    <row r="901" spans="1:6" x14ac:dyDescent="0.3">
      <c r="A901" t="s">
        <v>950</v>
      </c>
      <c r="B901" t="str">
        <f>VLOOKUP(A901,'Remote work mental helath'!$A$2:$T$1001,5,)</f>
        <v>IT</v>
      </c>
      <c r="C901" t="str">
        <f>VLOOKUP(A901,'Remote work mental helath'!$A$2:$T$1001,7,)</f>
        <v>Onsite</v>
      </c>
      <c r="D901">
        <f>VLOOKUP(A901,'Remote work mental helath'!$A$2:$T$1001,6,)</f>
        <v>11</v>
      </c>
      <c r="E901">
        <f>VLOOKUP(A901,'Remote work mental helath'!$A$2:$T$1001,8,)</f>
        <v>58</v>
      </c>
      <c r="F901">
        <f>VLOOKUP(A901,'Remote work mental helath'!$A$2:$T$1001,9,)</f>
        <v>2</v>
      </c>
    </row>
    <row r="902" spans="1:6" x14ac:dyDescent="0.3">
      <c r="A902" t="s">
        <v>951</v>
      </c>
      <c r="B902" t="str">
        <f>VLOOKUP(A902,'Remote work mental helath'!$A$2:$T$1001,5,)</f>
        <v>IT</v>
      </c>
      <c r="C902" t="str">
        <f>VLOOKUP(A902,'Remote work mental helath'!$A$2:$T$1001,7,)</f>
        <v>Remote</v>
      </c>
      <c r="D902">
        <f>VLOOKUP(A902,'Remote work mental helath'!$A$2:$T$1001,6,)</f>
        <v>5</v>
      </c>
      <c r="E902">
        <f>VLOOKUP(A902,'Remote work mental helath'!$A$2:$T$1001,8,)</f>
        <v>51</v>
      </c>
      <c r="F902">
        <f>VLOOKUP(A902,'Remote work mental helath'!$A$2:$T$1001,9,)</f>
        <v>0</v>
      </c>
    </row>
    <row r="903" spans="1:6" x14ac:dyDescent="0.3">
      <c r="A903" t="s">
        <v>952</v>
      </c>
      <c r="B903" t="str">
        <f>VLOOKUP(A903,'Remote work mental helath'!$A$2:$T$1001,5,)</f>
        <v>Finance</v>
      </c>
      <c r="C903" t="str">
        <f>VLOOKUP(A903,'Remote work mental helath'!$A$2:$T$1001,7,)</f>
        <v>Onsite</v>
      </c>
      <c r="D903">
        <f>VLOOKUP(A903,'Remote work mental helath'!$A$2:$T$1001,6,)</f>
        <v>8</v>
      </c>
      <c r="E903">
        <f>VLOOKUP(A903,'Remote work mental helath'!$A$2:$T$1001,8,)</f>
        <v>22</v>
      </c>
      <c r="F903">
        <f>VLOOKUP(A903,'Remote work mental helath'!$A$2:$T$1001,9,)</f>
        <v>14</v>
      </c>
    </row>
    <row r="904" spans="1:6" x14ac:dyDescent="0.3">
      <c r="A904" t="s">
        <v>953</v>
      </c>
      <c r="B904" t="str">
        <f>VLOOKUP(A904,'Remote work mental helath'!$A$2:$T$1001,5,)</f>
        <v>Manufacturing</v>
      </c>
      <c r="C904" t="str">
        <f>VLOOKUP(A904,'Remote work mental helath'!$A$2:$T$1001,7,)</f>
        <v>Onsite</v>
      </c>
      <c r="D904">
        <f>VLOOKUP(A904,'Remote work mental helath'!$A$2:$T$1001,6,)</f>
        <v>22</v>
      </c>
      <c r="E904">
        <f>VLOOKUP(A904,'Remote work mental helath'!$A$2:$T$1001,8,)</f>
        <v>26</v>
      </c>
      <c r="F904">
        <f>VLOOKUP(A904,'Remote work mental helath'!$A$2:$T$1001,9,)</f>
        <v>7</v>
      </c>
    </row>
    <row r="905" spans="1:6" x14ac:dyDescent="0.3">
      <c r="A905" t="s">
        <v>954</v>
      </c>
      <c r="B905" t="str">
        <f>VLOOKUP(A905,'Remote work mental helath'!$A$2:$T$1001,5,)</f>
        <v>Healthcare</v>
      </c>
      <c r="C905" t="str">
        <f>VLOOKUP(A905,'Remote work mental helath'!$A$2:$T$1001,7,)</f>
        <v>Remote</v>
      </c>
      <c r="D905">
        <f>VLOOKUP(A905,'Remote work mental helath'!$A$2:$T$1001,6,)</f>
        <v>20</v>
      </c>
      <c r="E905">
        <f>VLOOKUP(A905,'Remote work mental helath'!$A$2:$T$1001,8,)</f>
        <v>25</v>
      </c>
      <c r="F905">
        <f>VLOOKUP(A905,'Remote work mental helath'!$A$2:$T$1001,9,)</f>
        <v>11</v>
      </c>
    </row>
    <row r="906" spans="1:6" x14ac:dyDescent="0.3">
      <c r="A906" t="s">
        <v>955</v>
      </c>
      <c r="B906" t="str">
        <f>VLOOKUP(A906,'Remote work mental helath'!$A$2:$T$1001,5,)</f>
        <v>Consulting</v>
      </c>
      <c r="C906" t="str">
        <f>VLOOKUP(A906,'Remote work mental helath'!$A$2:$T$1001,7,)</f>
        <v>Hybrid</v>
      </c>
      <c r="D906">
        <f>VLOOKUP(A906,'Remote work mental helath'!$A$2:$T$1001,6,)</f>
        <v>32</v>
      </c>
      <c r="E906">
        <f>VLOOKUP(A906,'Remote work mental helath'!$A$2:$T$1001,8,)</f>
        <v>28</v>
      </c>
      <c r="F906">
        <f>VLOOKUP(A906,'Remote work mental helath'!$A$2:$T$1001,9,)</f>
        <v>1</v>
      </c>
    </row>
    <row r="907" spans="1:6" x14ac:dyDescent="0.3">
      <c r="A907" t="s">
        <v>956</v>
      </c>
      <c r="B907" t="str">
        <f>VLOOKUP(A907,'Remote work mental helath'!$A$2:$T$1001,5,)</f>
        <v>IT</v>
      </c>
      <c r="C907" t="str">
        <f>VLOOKUP(A907,'Remote work mental helath'!$A$2:$T$1001,7,)</f>
        <v>Remote</v>
      </c>
      <c r="D907">
        <f>VLOOKUP(A907,'Remote work mental helath'!$A$2:$T$1001,6,)</f>
        <v>30</v>
      </c>
      <c r="E907">
        <f>VLOOKUP(A907,'Remote work mental helath'!$A$2:$T$1001,8,)</f>
        <v>54</v>
      </c>
      <c r="F907">
        <f>VLOOKUP(A907,'Remote work mental helath'!$A$2:$T$1001,9,)</f>
        <v>3</v>
      </c>
    </row>
    <row r="908" spans="1:6" x14ac:dyDescent="0.3">
      <c r="A908" t="s">
        <v>957</v>
      </c>
      <c r="B908" t="str">
        <f>VLOOKUP(A908,'Remote work mental helath'!$A$2:$T$1001,5,)</f>
        <v>Consulting</v>
      </c>
      <c r="C908" t="str">
        <f>VLOOKUP(A908,'Remote work mental helath'!$A$2:$T$1001,7,)</f>
        <v>Remote</v>
      </c>
      <c r="D908">
        <f>VLOOKUP(A908,'Remote work mental helath'!$A$2:$T$1001,6,)</f>
        <v>3</v>
      </c>
      <c r="E908">
        <f>VLOOKUP(A908,'Remote work mental helath'!$A$2:$T$1001,8,)</f>
        <v>34</v>
      </c>
      <c r="F908">
        <f>VLOOKUP(A908,'Remote work mental helath'!$A$2:$T$1001,9,)</f>
        <v>13</v>
      </c>
    </row>
    <row r="909" spans="1:6" x14ac:dyDescent="0.3">
      <c r="A909" t="s">
        <v>958</v>
      </c>
      <c r="B909" t="str">
        <f>VLOOKUP(A909,'Remote work mental helath'!$A$2:$T$1001,5,)</f>
        <v>Retail</v>
      </c>
      <c r="C909" t="str">
        <f>VLOOKUP(A909,'Remote work mental helath'!$A$2:$T$1001,7,)</f>
        <v>Hybrid</v>
      </c>
      <c r="D909">
        <f>VLOOKUP(A909,'Remote work mental helath'!$A$2:$T$1001,6,)</f>
        <v>9</v>
      </c>
      <c r="E909">
        <f>VLOOKUP(A909,'Remote work mental helath'!$A$2:$T$1001,8,)</f>
        <v>28</v>
      </c>
      <c r="F909">
        <f>VLOOKUP(A909,'Remote work mental helath'!$A$2:$T$1001,9,)</f>
        <v>12</v>
      </c>
    </row>
    <row r="910" spans="1:6" x14ac:dyDescent="0.3">
      <c r="A910" t="s">
        <v>959</v>
      </c>
      <c r="B910" t="str">
        <f>VLOOKUP(A910,'Remote work mental helath'!$A$2:$T$1001,5,)</f>
        <v>Retail</v>
      </c>
      <c r="C910" t="str">
        <f>VLOOKUP(A910,'Remote work mental helath'!$A$2:$T$1001,7,)</f>
        <v>Onsite</v>
      </c>
      <c r="D910">
        <f>VLOOKUP(A910,'Remote work mental helath'!$A$2:$T$1001,6,)</f>
        <v>15</v>
      </c>
      <c r="E910">
        <f>VLOOKUP(A910,'Remote work mental helath'!$A$2:$T$1001,8,)</f>
        <v>37</v>
      </c>
      <c r="F910">
        <f>VLOOKUP(A910,'Remote work mental helath'!$A$2:$T$1001,9,)</f>
        <v>12</v>
      </c>
    </row>
    <row r="911" spans="1:6" x14ac:dyDescent="0.3">
      <c r="A911" t="s">
        <v>960</v>
      </c>
      <c r="B911" t="str">
        <f>VLOOKUP(A911,'Remote work mental helath'!$A$2:$T$1001,5,)</f>
        <v>IT</v>
      </c>
      <c r="C911" t="str">
        <f>VLOOKUP(A911,'Remote work mental helath'!$A$2:$T$1001,7,)</f>
        <v>Remote</v>
      </c>
      <c r="D911">
        <f>VLOOKUP(A911,'Remote work mental helath'!$A$2:$T$1001,6,)</f>
        <v>5</v>
      </c>
      <c r="E911">
        <f>VLOOKUP(A911,'Remote work mental helath'!$A$2:$T$1001,8,)</f>
        <v>50</v>
      </c>
      <c r="F911">
        <f>VLOOKUP(A911,'Remote work mental helath'!$A$2:$T$1001,9,)</f>
        <v>8</v>
      </c>
    </row>
    <row r="912" spans="1:6" x14ac:dyDescent="0.3">
      <c r="A912" t="s">
        <v>961</v>
      </c>
      <c r="B912" t="str">
        <f>VLOOKUP(A912,'Remote work mental helath'!$A$2:$T$1001,5,)</f>
        <v>IT</v>
      </c>
      <c r="C912" t="str">
        <f>VLOOKUP(A912,'Remote work mental helath'!$A$2:$T$1001,7,)</f>
        <v>Hybrid</v>
      </c>
      <c r="D912">
        <f>VLOOKUP(A912,'Remote work mental helath'!$A$2:$T$1001,6,)</f>
        <v>29</v>
      </c>
      <c r="E912">
        <f>VLOOKUP(A912,'Remote work mental helath'!$A$2:$T$1001,8,)</f>
        <v>21</v>
      </c>
      <c r="F912">
        <f>VLOOKUP(A912,'Remote work mental helath'!$A$2:$T$1001,9,)</f>
        <v>5</v>
      </c>
    </row>
    <row r="913" spans="1:6" x14ac:dyDescent="0.3">
      <c r="A913" t="s">
        <v>962</v>
      </c>
      <c r="B913" t="str">
        <f>VLOOKUP(A913,'Remote work mental helath'!$A$2:$T$1001,5,)</f>
        <v>Retail</v>
      </c>
      <c r="C913" t="str">
        <f>VLOOKUP(A913,'Remote work mental helath'!$A$2:$T$1001,7,)</f>
        <v>Remote</v>
      </c>
      <c r="D913">
        <f>VLOOKUP(A913,'Remote work mental helath'!$A$2:$T$1001,6,)</f>
        <v>3</v>
      </c>
      <c r="E913">
        <f>VLOOKUP(A913,'Remote work mental helath'!$A$2:$T$1001,8,)</f>
        <v>32</v>
      </c>
      <c r="F913">
        <f>VLOOKUP(A913,'Remote work mental helath'!$A$2:$T$1001,9,)</f>
        <v>0</v>
      </c>
    </row>
    <row r="914" spans="1:6" x14ac:dyDescent="0.3">
      <c r="A914" t="s">
        <v>963</v>
      </c>
      <c r="B914" t="str">
        <f>VLOOKUP(A914,'Remote work mental helath'!$A$2:$T$1001,5,)</f>
        <v>Retail</v>
      </c>
      <c r="C914" t="str">
        <f>VLOOKUP(A914,'Remote work mental helath'!$A$2:$T$1001,7,)</f>
        <v>Hybrid</v>
      </c>
      <c r="D914">
        <f>VLOOKUP(A914,'Remote work mental helath'!$A$2:$T$1001,6,)</f>
        <v>28</v>
      </c>
      <c r="E914">
        <f>VLOOKUP(A914,'Remote work mental helath'!$A$2:$T$1001,8,)</f>
        <v>56</v>
      </c>
      <c r="F914">
        <f>VLOOKUP(A914,'Remote work mental helath'!$A$2:$T$1001,9,)</f>
        <v>10</v>
      </c>
    </row>
    <row r="915" spans="1:6" x14ac:dyDescent="0.3">
      <c r="A915" t="s">
        <v>964</v>
      </c>
      <c r="B915" t="str">
        <f>VLOOKUP(A915,'Remote work mental helath'!$A$2:$T$1001,5,)</f>
        <v>IT</v>
      </c>
      <c r="C915" t="str">
        <f>VLOOKUP(A915,'Remote work mental helath'!$A$2:$T$1001,7,)</f>
        <v>Onsite</v>
      </c>
      <c r="D915">
        <f>VLOOKUP(A915,'Remote work mental helath'!$A$2:$T$1001,6,)</f>
        <v>34</v>
      </c>
      <c r="E915">
        <f>VLOOKUP(A915,'Remote work mental helath'!$A$2:$T$1001,8,)</f>
        <v>42</v>
      </c>
      <c r="F915">
        <f>VLOOKUP(A915,'Remote work mental helath'!$A$2:$T$1001,9,)</f>
        <v>7</v>
      </c>
    </row>
    <row r="916" spans="1:6" x14ac:dyDescent="0.3">
      <c r="A916" t="s">
        <v>965</v>
      </c>
      <c r="B916" t="str">
        <f>VLOOKUP(A916,'Remote work mental helath'!$A$2:$T$1001,5,)</f>
        <v>Consulting</v>
      </c>
      <c r="C916" t="str">
        <f>VLOOKUP(A916,'Remote work mental helath'!$A$2:$T$1001,7,)</f>
        <v>Hybrid</v>
      </c>
      <c r="D916">
        <f>VLOOKUP(A916,'Remote work mental helath'!$A$2:$T$1001,6,)</f>
        <v>33</v>
      </c>
      <c r="E916">
        <f>VLOOKUP(A916,'Remote work mental helath'!$A$2:$T$1001,8,)</f>
        <v>22</v>
      </c>
      <c r="F916">
        <f>VLOOKUP(A916,'Remote work mental helath'!$A$2:$T$1001,9,)</f>
        <v>1</v>
      </c>
    </row>
    <row r="917" spans="1:6" x14ac:dyDescent="0.3">
      <c r="A917" t="s">
        <v>966</v>
      </c>
      <c r="B917" t="str">
        <f>VLOOKUP(A917,'Remote work mental helath'!$A$2:$T$1001,5,)</f>
        <v>Education</v>
      </c>
      <c r="C917" t="str">
        <f>VLOOKUP(A917,'Remote work mental helath'!$A$2:$T$1001,7,)</f>
        <v>Remote</v>
      </c>
      <c r="D917">
        <f>VLOOKUP(A917,'Remote work mental helath'!$A$2:$T$1001,6,)</f>
        <v>23</v>
      </c>
      <c r="E917">
        <f>VLOOKUP(A917,'Remote work mental helath'!$A$2:$T$1001,8,)</f>
        <v>28</v>
      </c>
      <c r="F917">
        <f>VLOOKUP(A917,'Remote work mental helath'!$A$2:$T$1001,9,)</f>
        <v>10</v>
      </c>
    </row>
    <row r="918" spans="1:6" x14ac:dyDescent="0.3">
      <c r="A918" t="s">
        <v>967</v>
      </c>
      <c r="B918" t="str">
        <f>VLOOKUP(A918,'Remote work mental helath'!$A$2:$T$1001,5,)</f>
        <v>Manufacturing</v>
      </c>
      <c r="C918" t="str">
        <f>VLOOKUP(A918,'Remote work mental helath'!$A$2:$T$1001,7,)</f>
        <v>Hybrid</v>
      </c>
      <c r="D918">
        <f>VLOOKUP(A918,'Remote work mental helath'!$A$2:$T$1001,6,)</f>
        <v>9</v>
      </c>
      <c r="E918">
        <f>VLOOKUP(A918,'Remote work mental helath'!$A$2:$T$1001,8,)</f>
        <v>31</v>
      </c>
      <c r="F918">
        <f>VLOOKUP(A918,'Remote work mental helath'!$A$2:$T$1001,9,)</f>
        <v>8</v>
      </c>
    </row>
    <row r="919" spans="1:6" x14ac:dyDescent="0.3">
      <c r="A919" t="s">
        <v>968</v>
      </c>
      <c r="B919" t="str">
        <f>VLOOKUP(A919,'Remote work mental helath'!$A$2:$T$1001,5,)</f>
        <v>Finance</v>
      </c>
      <c r="C919" t="str">
        <f>VLOOKUP(A919,'Remote work mental helath'!$A$2:$T$1001,7,)</f>
        <v>Hybrid</v>
      </c>
      <c r="D919">
        <f>VLOOKUP(A919,'Remote work mental helath'!$A$2:$T$1001,6,)</f>
        <v>34</v>
      </c>
      <c r="E919">
        <f>VLOOKUP(A919,'Remote work mental helath'!$A$2:$T$1001,8,)</f>
        <v>59</v>
      </c>
      <c r="F919">
        <f>VLOOKUP(A919,'Remote work mental helath'!$A$2:$T$1001,9,)</f>
        <v>0</v>
      </c>
    </row>
    <row r="920" spans="1:6" x14ac:dyDescent="0.3">
      <c r="A920" t="s">
        <v>969</v>
      </c>
      <c r="B920" t="str">
        <f>VLOOKUP(A920,'Remote work mental helath'!$A$2:$T$1001,5,)</f>
        <v>Education</v>
      </c>
      <c r="C920" t="str">
        <f>VLOOKUP(A920,'Remote work mental helath'!$A$2:$T$1001,7,)</f>
        <v>Remote</v>
      </c>
      <c r="D920">
        <f>VLOOKUP(A920,'Remote work mental helath'!$A$2:$T$1001,6,)</f>
        <v>30</v>
      </c>
      <c r="E920">
        <f>VLOOKUP(A920,'Remote work mental helath'!$A$2:$T$1001,8,)</f>
        <v>22</v>
      </c>
      <c r="F920">
        <f>VLOOKUP(A920,'Remote work mental helath'!$A$2:$T$1001,9,)</f>
        <v>13</v>
      </c>
    </row>
    <row r="921" spans="1:6" x14ac:dyDescent="0.3">
      <c r="A921" t="s">
        <v>970</v>
      </c>
      <c r="B921" t="str">
        <f>VLOOKUP(A921,'Remote work mental helath'!$A$2:$T$1001,5,)</f>
        <v>Consulting</v>
      </c>
      <c r="C921" t="str">
        <f>VLOOKUP(A921,'Remote work mental helath'!$A$2:$T$1001,7,)</f>
        <v>Hybrid</v>
      </c>
      <c r="D921">
        <f>VLOOKUP(A921,'Remote work mental helath'!$A$2:$T$1001,6,)</f>
        <v>4</v>
      </c>
      <c r="E921">
        <f>VLOOKUP(A921,'Remote work mental helath'!$A$2:$T$1001,8,)</f>
        <v>21</v>
      </c>
      <c r="F921">
        <f>VLOOKUP(A921,'Remote work mental helath'!$A$2:$T$1001,9,)</f>
        <v>3</v>
      </c>
    </row>
    <row r="922" spans="1:6" x14ac:dyDescent="0.3">
      <c r="A922" t="s">
        <v>971</v>
      </c>
      <c r="B922" t="str">
        <f>VLOOKUP(A922,'Remote work mental helath'!$A$2:$T$1001,5,)</f>
        <v>Healthcare</v>
      </c>
      <c r="C922" t="str">
        <f>VLOOKUP(A922,'Remote work mental helath'!$A$2:$T$1001,7,)</f>
        <v>Remote</v>
      </c>
      <c r="D922">
        <f>VLOOKUP(A922,'Remote work mental helath'!$A$2:$T$1001,6,)</f>
        <v>25</v>
      </c>
      <c r="E922">
        <f>VLOOKUP(A922,'Remote work mental helath'!$A$2:$T$1001,8,)</f>
        <v>54</v>
      </c>
      <c r="F922">
        <f>VLOOKUP(A922,'Remote work mental helath'!$A$2:$T$1001,9,)</f>
        <v>8</v>
      </c>
    </row>
    <row r="923" spans="1:6" x14ac:dyDescent="0.3">
      <c r="A923" t="s">
        <v>972</v>
      </c>
      <c r="B923" t="str">
        <f>VLOOKUP(A923,'Remote work mental helath'!$A$2:$T$1001,5,)</f>
        <v>Healthcare</v>
      </c>
      <c r="C923" t="str">
        <f>VLOOKUP(A923,'Remote work mental helath'!$A$2:$T$1001,7,)</f>
        <v>Hybrid</v>
      </c>
      <c r="D923">
        <f>VLOOKUP(A923,'Remote work mental helath'!$A$2:$T$1001,6,)</f>
        <v>20</v>
      </c>
      <c r="E923">
        <f>VLOOKUP(A923,'Remote work mental helath'!$A$2:$T$1001,8,)</f>
        <v>46</v>
      </c>
      <c r="F923">
        <f>VLOOKUP(A923,'Remote work mental helath'!$A$2:$T$1001,9,)</f>
        <v>7</v>
      </c>
    </row>
    <row r="924" spans="1:6" x14ac:dyDescent="0.3">
      <c r="A924" t="s">
        <v>973</v>
      </c>
      <c r="B924" t="str">
        <f>VLOOKUP(A924,'Remote work mental helath'!$A$2:$T$1001,5,)</f>
        <v>Retail</v>
      </c>
      <c r="C924" t="str">
        <f>VLOOKUP(A924,'Remote work mental helath'!$A$2:$T$1001,7,)</f>
        <v>Remote</v>
      </c>
      <c r="D924">
        <f>VLOOKUP(A924,'Remote work mental helath'!$A$2:$T$1001,6,)</f>
        <v>14</v>
      </c>
      <c r="E924">
        <f>VLOOKUP(A924,'Remote work mental helath'!$A$2:$T$1001,8,)</f>
        <v>56</v>
      </c>
      <c r="F924">
        <f>VLOOKUP(A924,'Remote work mental helath'!$A$2:$T$1001,9,)</f>
        <v>2</v>
      </c>
    </row>
    <row r="925" spans="1:6" x14ac:dyDescent="0.3">
      <c r="A925" t="s">
        <v>974</v>
      </c>
      <c r="B925" t="str">
        <f>VLOOKUP(A925,'Remote work mental helath'!$A$2:$T$1001,5,)</f>
        <v>Finance</v>
      </c>
      <c r="C925" t="str">
        <f>VLOOKUP(A925,'Remote work mental helath'!$A$2:$T$1001,7,)</f>
        <v>Hybrid</v>
      </c>
      <c r="D925">
        <f>VLOOKUP(A925,'Remote work mental helath'!$A$2:$T$1001,6,)</f>
        <v>9</v>
      </c>
      <c r="E925">
        <f>VLOOKUP(A925,'Remote work mental helath'!$A$2:$T$1001,8,)</f>
        <v>48</v>
      </c>
      <c r="F925">
        <f>VLOOKUP(A925,'Remote work mental helath'!$A$2:$T$1001,9,)</f>
        <v>3</v>
      </c>
    </row>
    <row r="926" spans="1:6" x14ac:dyDescent="0.3">
      <c r="A926" t="s">
        <v>975</v>
      </c>
      <c r="B926" t="str">
        <f>VLOOKUP(A926,'Remote work mental helath'!$A$2:$T$1001,5,)</f>
        <v>Education</v>
      </c>
      <c r="C926" t="str">
        <f>VLOOKUP(A926,'Remote work mental helath'!$A$2:$T$1001,7,)</f>
        <v>Hybrid</v>
      </c>
      <c r="D926">
        <f>VLOOKUP(A926,'Remote work mental helath'!$A$2:$T$1001,6,)</f>
        <v>7</v>
      </c>
      <c r="E926">
        <f>VLOOKUP(A926,'Remote work mental helath'!$A$2:$T$1001,8,)</f>
        <v>29</v>
      </c>
      <c r="F926">
        <f>VLOOKUP(A926,'Remote work mental helath'!$A$2:$T$1001,9,)</f>
        <v>8</v>
      </c>
    </row>
    <row r="927" spans="1:6" x14ac:dyDescent="0.3">
      <c r="A927" t="s">
        <v>976</v>
      </c>
      <c r="B927" t="str">
        <f>VLOOKUP(A927,'Remote work mental helath'!$A$2:$T$1001,5,)</f>
        <v>Manufacturing</v>
      </c>
      <c r="C927" t="str">
        <f>VLOOKUP(A927,'Remote work mental helath'!$A$2:$T$1001,7,)</f>
        <v>Onsite</v>
      </c>
      <c r="D927">
        <f>VLOOKUP(A927,'Remote work mental helath'!$A$2:$T$1001,6,)</f>
        <v>24</v>
      </c>
      <c r="E927">
        <f>VLOOKUP(A927,'Remote work mental helath'!$A$2:$T$1001,8,)</f>
        <v>59</v>
      </c>
      <c r="F927">
        <f>VLOOKUP(A927,'Remote work mental helath'!$A$2:$T$1001,9,)</f>
        <v>9</v>
      </c>
    </row>
    <row r="928" spans="1:6" x14ac:dyDescent="0.3">
      <c r="A928" t="s">
        <v>977</v>
      </c>
      <c r="B928" t="str">
        <f>VLOOKUP(A928,'Remote work mental helath'!$A$2:$T$1001,5,)</f>
        <v>Healthcare</v>
      </c>
      <c r="C928" t="str">
        <f>VLOOKUP(A928,'Remote work mental helath'!$A$2:$T$1001,7,)</f>
        <v>Remote</v>
      </c>
      <c r="D928">
        <f>VLOOKUP(A928,'Remote work mental helath'!$A$2:$T$1001,6,)</f>
        <v>10</v>
      </c>
      <c r="E928">
        <f>VLOOKUP(A928,'Remote work mental helath'!$A$2:$T$1001,8,)</f>
        <v>46</v>
      </c>
      <c r="F928">
        <f>VLOOKUP(A928,'Remote work mental helath'!$A$2:$T$1001,9,)</f>
        <v>15</v>
      </c>
    </row>
    <row r="929" spans="1:6" x14ac:dyDescent="0.3">
      <c r="A929" t="s">
        <v>978</v>
      </c>
      <c r="B929" t="str">
        <f>VLOOKUP(A929,'Remote work mental helath'!$A$2:$T$1001,5,)</f>
        <v>IT</v>
      </c>
      <c r="C929" t="str">
        <f>VLOOKUP(A929,'Remote work mental helath'!$A$2:$T$1001,7,)</f>
        <v>Onsite</v>
      </c>
      <c r="D929">
        <f>VLOOKUP(A929,'Remote work mental helath'!$A$2:$T$1001,6,)</f>
        <v>27</v>
      </c>
      <c r="E929">
        <f>VLOOKUP(A929,'Remote work mental helath'!$A$2:$T$1001,8,)</f>
        <v>27</v>
      </c>
      <c r="F929">
        <f>VLOOKUP(A929,'Remote work mental helath'!$A$2:$T$1001,9,)</f>
        <v>7</v>
      </c>
    </row>
    <row r="930" spans="1:6" x14ac:dyDescent="0.3">
      <c r="A930" t="s">
        <v>979</v>
      </c>
      <c r="B930" t="str">
        <f>VLOOKUP(A930,'Remote work mental helath'!$A$2:$T$1001,5,)</f>
        <v>Education</v>
      </c>
      <c r="C930" t="str">
        <f>VLOOKUP(A930,'Remote work mental helath'!$A$2:$T$1001,7,)</f>
        <v>Hybrid</v>
      </c>
      <c r="D930">
        <f>VLOOKUP(A930,'Remote work mental helath'!$A$2:$T$1001,6,)</f>
        <v>22</v>
      </c>
      <c r="E930">
        <f>VLOOKUP(A930,'Remote work mental helath'!$A$2:$T$1001,8,)</f>
        <v>42</v>
      </c>
      <c r="F930">
        <f>VLOOKUP(A930,'Remote work mental helath'!$A$2:$T$1001,9,)</f>
        <v>6</v>
      </c>
    </row>
    <row r="931" spans="1:6" x14ac:dyDescent="0.3">
      <c r="A931" t="s">
        <v>980</v>
      </c>
      <c r="B931" t="str">
        <f>VLOOKUP(A931,'Remote work mental helath'!$A$2:$T$1001,5,)</f>
        <v>Finance</v>
      </c>
      <c r="C931" t="str">
        <f>VLOOKUP(A931,'Remote work mental helath'!$A$2:$T$1001,7,)</f>
        <v>Remote</v>
      </c>
      <c r="D931">
        <f>VLOOKUP(A931,'Remote work mental helath'!$A$2:$T$1001,6,)</f>
        <v>15</v>
      </c>
      <c r="E931">
        <f>VLOOKUP(A931,'Remote work mental helath'!$A$2:$T$1001,8,)</f>
        <v>39</v>
      </c>
      <c r="F931">
        <f>VLOOKUP(A931,'Remote work mental helath'!$A$2:$T$1001,9,)</f>
        <v>10</v>
      </c>
    </row>
    <row r="932" spans="1:6" x14ac:dyDescent="0.3">
      <c r="A932" t="s">
        <v>981</v>
      </c>
      <c r="B932" t="str">
        <f>VLOOKUP(A932,'Remote work mental helath'!$A$2:$T$1001,5,)</f>
        <v>Education</v>
      </c>
      <c r="C932" t="str">
        <f>VLOOKUP(A932,'Remote work mental helath'!$A$2:$T$1001,7,)</f>
        <v>Remote</v>
      </c>
      <c r="D932">
        <f>VLOOKUP(A932,'Remote work mental helath'!$A$2:$T$1001,6,)</f>
        <v>23</v>
      </c>
      <c r="E932">
        <f>VLOOKUP(A932,'Remote work mental helath'!$A$2:$T$1001,8,)</f>
        <v>34</v>
      </c>
      <c r="F932">
        <f>VLOOKUP(A932,'Remote work mental helath'!$A$2:$T$1001,9,)</f>
        <v>8</v>
      </c>
    </row>
    <row r="933" spans="1:6" x14ac:dyDescent="0.3">
      <c r="A933" t="s">
        <v>982</v>
      </c>
      <c r="B933" t="str">
        <f>VLOOKUP(A933,'Remote work mental helath'!$A$2:$T$1001,5,)</f>
        <v>Retail</v>
      </c>
      <c r="C933" t="str">
        <f>VLOOKUP(A933,'Remote work mental helath'!$A$2:$T$1001,7,)</f>
        <v>Remote</v>
      </c>
      <c r="D933">
        <f>VLOOKUP(A933,'Remote work mental helath'!$A$2:$T$1001,6,)</f>
        <v>28</v>
      </c>
      <c r="E933">
        <f>VLOOKUP(A933,'Remote work mental helath'!$A$2:$T$1001,8,)</f>
        <v>58</v>
      </c>
      <c r="F933">
        <f>VLOOKUP(A933,'Remote work mental helath'!$A$2:$T$1001,9,)</f>
        <v>15</v>
      </c>
    </row>
    <row r="934" spans="1:6" x14ac:dyDescent="0.3">
      <c r="A934" t="s">
        <v>983</v>
      </c>
      <c r="B934" t="str">
        <f>VLOOKUP(A934,'Remote work mental helath'!$A$2:$T$1001,5,)</f>
        <v>Retail</v>
      </c>
      <c r="C934" t="str">
        <f>VLOOKUP(A934,'Remote work mental helath'!$A$2:$T$1001,7,)</f>
        <v>Remote</v>
      </c>
      <c r="D934">
        <f>VLOOKUP(A934,'Remote work mental helath'!$A$2:$T$1001,6,)</f>
        <v>23</v>
      </c>
      <c r="E934">
        <f>VLOOKUP(A934,'Remote work mental helath'!$A$2:$T$1001,8,)</f>
        <v>36</v>
      </c>
      <c r="F934">
        <f>VLOOKUP(A934,'Remote work mental helath'!$A$2:$T$1001,9,)</f>
        <v>3</v>
      </c>
    </row>
    <row r="935" spans="1:6" x14ac:dyDescent="0.3">
      <c r="A935" t="s">
        <v>984</v>
      </c>
      <c r="B935" t="str">
        <f>VLOOKUP(A935,'Remote work mental helath'!$A$2:$T$1001,5,)</f>
        <v>Manufacturing</v>
      </c>
      <c r="C935" t="str">
        <f>VLOOKUP(A935,'Remote work mental helath'!$A$2:$T$1001,7,)</f>
        <v>Remote</v>
      </c>
      <c r="D935">
        <f>VLOOKUP(A935,'Remote work mental helath'!$A$2:$T$1001,6,)</f>
        <v>15</v>
      </c>
      <c r="E935">
        <f>VLOOKUP(A935,'Remote work mental helath'!$A$2:$T$1001,8,)</f>
        <v>52</v>
      </c>
      <c r="F935">
        <f>VLOOKUP(A935,'Remote work mental helath'!$A$2:$T$1001,9,)</f>
        <v>15</v>
      </c>
    </row>
    <row r="936" spans="1:6" x14ac:dyDescent="0.3">
      <c r="A936" t="s">
        <v>985</v>
      </c>
      <c r="B936" t="str">
        <f>VLOOKUP(A936,'Remote work mental helath'!$A$2:$T$1001,5,)</f>
        <v>Manufacturing</v>
      </c>
      <c r="C936" t="str">
        <f>VLOOKUP(A936,'Remote work mental helath'!$A$2:$T$1001,7,)</f>
        <v>Remote</v>
      </c>
      <c r="D936">
        <f>VLOOKUP(A936,'Remote work mental helath'!$A$2:$T$1001,6,)</f>
        <v>8</v>
      </c>
      <c r="E936">
        <f>VLOOKUP(A936,'Remote work mental helath'!$A$2:$T$1001,8,)</f>
        <v>51</v>
      </c>
      <c r="F936">
        <f>VLOOKUP(A936,'Remote work mental helath'!$A$2:$T$1001,9,)</f>
        <v>5</v>
      </c>
    </row>
    <row r="937" spans="1:6" x14ac:dyDescent="0.3">
      <c r="A937" t="s">
        <v>986</v>
      </c>
      <c r="B937" t="str">
        <f>VLOOKUP(A937,'Remote work mental helath'!$A$2:$T$1001,5,)</f>
        <v>Manufacturing</v>
      </c>
      <c r="C937" t="str">
        <f>VLOOKUP(A937,'Remote work mental helath'!$A$2:$T$1001,7,)</f>
        <v>Onsite</v>
      </c>
      <c r="D937">
        <f>VLOOKUP(A937,'Remote work mental helath'!$A$2:$T$1001,6,)</f>
        <v>25</v>
      </c>
      <c r="E937">
        <f>VLOOKUP(A937,'Remote work mental helath'!$A$2:$T$1001,8,)</f>
        <v>31</v>
      </c>
      <c r="F937">
        <f>VLOOKUP(A937,'Remote work mental helath'!$A$2:$T$1001,9,)</f>
        <v>10</v>
      </c>
    </row>
    <row r="938" spans="1:6" x14ac:dyDescent="0.3">
      <c r="A938" t="s">
        <v>987</v>
      </c>
      <c r="B938" t="str">
        <f>VLOOKUP(A938,'Remote work mental helath'!$A$2:$T$1001,5,)</f>
        <v>Retail</v>
      </c>
      <c r="C938" t="str">
        <f>VLOOKUP(A938,'Remote work mental helath'!$A$2:$T$1001,7,)</f>
        <v>Hybrid</v>
      </c>
      <c r="D938">
        <f>VLOOKUP(A938,'Remote work mental helath'!$A$2:$T$1001,6,)</f>
        <v>10</v>
      </c>
      <c r="E938">
        <f>VLOOKUP(A938,'Remote work mental helath'!$A$2:$T$1001,8,)</f>
        <v>47</v>
      </c>
      <c r="F938">
        <f>VLOOKUP(A938,'Remote work mental helath'!$A$2:$T$1001,9,)</f>
        <v>5</v>
      </c>
    </row>
    <row r="939" spans="1:6" x14ac:dyDescent="0.3">
      <c r="A939" t="s">
        <v>988</v>
      </c>
      <c r="B939" t="str">
        <f>VLOOKUP(A939,'Remote work mental helath'!$A$2:$T$1001,5,)</f>
        <v>IT</v>
      </c>
      <c r="C939" t="str">
        <f>VLOOKUP(A939,'Remote work mental helath'!$A$2:$T$1001,7,)</f>
        <v>Onsite</v>
      </c>
      <c r="D939">
        <f>VLOOKUP(A939,'Remote work mental helath'!$A$2:$T$1001,6,)</f>
        <v>2</v>
      </c>
      <c r="E939">
        <f>VLOOKUP(A939,'Remote work mental helath'!$A$2:$T$1001,8,)</f>
        <v>55</v>
      </c>
      <c r="F939">
        <f>VLOOKUP(A939,'Remote work mental helath'!$A$2:$T$1001,9,)</f>
        <v>9</v>
      </c>
    </row>
    <row r="940" spans="1:6" x14ac:dyDescent="0.3">
      <c r="A940" t="s">
        <v>989</v>
      </c>
      <c r="B940" t="str">
        <f>VLOOKUP(A940,'Remote work mental helath'!$A$2:$T$1001,5,)</f>
        <v>Healthcare</v>
      </c>
      <c r="C940" t="str">
        <f>VLOOKUP(A940,'Remote work mental helath'!$A$2:$T$1001,7,)</f>
        <v>Remote</v>
      </c>
      <c r="D940">
        <f>VLOOKUP(A940,'Remote work mental helath'!$A$2:$T$1001,6,)</f>
        <v>13</v>
      </c>
      <c r="E940">
        <f>VLOOKUP(A940,'Remote work mental helath'!$A$2:$T$1001,8,)</f>
        <v>53</v>
      </c>
      <c r="F940">
        <f>VLOOKUP(A940,'Remote work mental helath'!$A$2:$T$1001,9,)</f>
        <v>3</v>
      </c>
    </row>
    <row r="941" spans="1:6" x14ac:dyDescent="0.3">
      <c r="A941" t="s">
        <v>990</v>
      </c>
      <c r="B941" t="str">
        <f>VLOOKUP(A941,'Remote work mental helath'!$A$2:$T$1001,5,)</f>
        <v>Healthcare</v>
      </c>
      <c r="C941" t="str">
        <f>VLOOKUP(A941,'Remote work mental helath'!$A$2:$T$1001,7,)</f>
        <v>Remote</v>
      </c>
      <c r="D941">
        <f>VLOOKUP(A941,'Remote work mental helath'!$A$2:$T$1001,6,)</f>
        <v>24</v>
      </c>
      <c r="E941">
        <f>VLOOKUP(A941,'Remote work mental helath'!$A$2:$T$1001,8,)</f>
        <v>40</v>
      </c>
      <c r="F941">
        <f>VLOOKUP(A941,'Remote work mental helath'!$A$2:$T$1001,9,)</f>
        <v>13</v>
      </c>
    </row>
    <row r="942" spans="1:6" x14ac:dyDescent="0.3">
      <c r="A942" t="s">
        <v>991</v>
      </c>
      <c r="B942" t="str">
        <f>VLOOKUP(A942,'Remote work mental helath'!$A$2:$T$1001,5,)</f>
        <v>Manufacturing</v>
      </c>
      <c r="C942" t="str">
        <f>VLOOKUP(A942,'Remote work mental helath'!$A$2:$T$1001,7,)</f>
        <v>Onsite</v>
      </c>
      <c r="D942">
        <f>VLOOKUP(A942,'Remote work mental helath'!$A$2:$T$1001,6,)</f>
        <v>29</v>
      </c>
      <c r="E942">
        <f>VLOOKUP(A942,'Remote work mental helath'!$A$2:$T$1001,8,)</f>
        <v>46</v>
      </c>
      <c r="F942">
        <f>VLOOKUP(A942,'Remote work mental helath'!$A$2:$T$1001,9,)</f>
        <v>9</v>
      </c>
    </row>
    <row r="943" spans="1:6" x14ac:dyDescent="0.3">
      <c r="A943" t="s">
        <v>992</v>
      </c>
      <c r="B943" t="str">
        <f>VLOOKUP(A943,'Remote work mental helath'!$A$2:$T$1001,5,)</f>
        <v>Retail</v>
      </c>
      <c r="C943" t="str">
        <f>VLOOKUP(A943,'Remote work mental helath'!$A$2:$T$1001,7,)</f>
        <v>Onsite</v>
      </c>
      <c r="D943">
        <f>VLOOKUP(A943,'Remote work mental helath'!$A$2:$T$1001,6,)</f>
        <v>5</v>
      </c>
      <c r="E943">
        <f>VLOOKUP(A943,'Remote work mental helath'!$A$2:$T$1001,8,)</f>
        <v>37</v>
      </c>
      <c r="F943">
        <f>VLOOKUP(A943,'Remote work mental helath'!$A$2:$T$1001,9,)</f>
        <v>0</v>
      </c>
    </row>
    <row r="944" spans="1:6" x14ac:dyDescent="0.3">
      <c r="A944" t="s">
        <v>993</v>
      </c>
      <c r="B944" t="str">
        <f>VLOOKUP(A944,'Remote work mental helath'!$A$2:$T$1001,5,)</f>
        <v>Consulting</v>
      </c>
      <c r="C944" t="str">
        <f>VLOOKUP(A944,'Remote work mental helath'!$A$2:$T$1001,7,)</f>
        <v>Onsite</v>
      </c>
      <c r="D944">
        <f>VLOOKUP(A944,'Remote work mental helath'!$A$2:$T$1001,6,)</f>
        <v>9</v>
      </c>
      <c r="E944">
        <f>VLOOKUP(A944,'Remote work mental helath'!$A$2:$T$1001,8,)</f>
        <v>32</v>
      </c>
      <c r="F944">
        <f>VLOOKUP(A944,'Remote work mental helath'!$A$2:$T$1001,9,)</f>
        <v>11</v>
      </c>
    </row>
    <row r="945" spans="1:6" x14ac:dyDescent="0.3">
      <c r="A945" t="s">
        <v>994</v>
      </c>
      <c r="B945" t="str">
        <f>VLOOKUP(A945,'Remote work mental helath'!$A$2:$T$1001,5,)</f>
        <v>Retail</v>
      </c>
      <c r="C945" t="str">
        <f>VLOOKUP(A945,'Remote work mental helath'!$A$2:$T$1001,7,)</f>
        <v>Hybrid</v>
      </c>
      <c r="D945">
        <f>VLOOKUP(A945,'Remote work mental helath'!$A$2:$T$1001,6,)</f>
        <v>34</v>
      </c>
      <c r="E945">
        <f>VLOOKUP(A945,'Remote work mental helath'!$A$2:$T$1001,8,)</f>
        <v>20</v>
      </c>
      <c r="F945">
        <f>VLOOKUP(A945,'Remote work mental helath'!$A$2:$T$1001,9,)</f>
        <v>12</v>
      </c>
    </row>
    <row r="946" spans="1:6" x14ac:dyDescent="0.3">
      <c r="A946" t="s">
        <v>995</v>
      </c>
      <c r="B946" t="str">
        <f>VLOOKUP(A946,'Remote work mental helath'!$A$2:$T$1001,5,)</f>
        <v>IT</v>
      </c>
      <c r="C946" t="str">
        <f>VLOOKUP(A946,'Remote work mental helath'!$A$2:$T$1001,7,)</f>
        <v>Onsite</v>
      </c>
      <c r="D946">
        <f>VLOOKUP(A946,'Remote work mental helath'!$A$2:$T$1001,6,)</f>
        <v>33</v>
      </c>
      <c r="E946">
        <f>VLOOKUP(A946,'Remote work mental helath'!$A$2:$T$1001,8,)</f>
        <v>55</v>
      </c>
      <c r="F946">
        <f>VLOOKUP(A946,'Remote work mental helath'!$A$2:$T$1001,9,)</f>
        <v>10</v>
      </c>
    </row>
    <row r="947" spans="1:6" x14ac:dyDescent="0.3">
      <c r="A947" t="s">
        <v>996</v>
      </c>
      <c r="B947" t="str">
        <f>VLOOKUP(A947,'Remote work mental helath'!$A$2:$T$1001,5,)</f>
        <v>Manufacturing</v>
      </c>
      <c r="C947" t="str">
        <f>VLOOKUP(A947,'Remote work mental helath'!$A$2:$T$1001,7,)</f>
        <v>Remote</v>
      </c>
      <c r="D947">
        <f>VLOOKUP(A947,'Remote work mental helath'!$A$2:$T$1001,6,)</f>
        <v>31</v>
      </c>
      <c r="E947">
        <f>VLOOKUP(A947,'Remote work mental helath'!$A$2:$T$1001,8,)</f>
        <v>36</v>
      </c>
      <c r="F947">
        <f>VLOOKUP(A947,'Remote work mental helath'!$A$2:$T$1001,9,)</f>
        <v>6</v>
      </c>
    </row>
    <row r="948" spans="1:6" x14ac:dyDescent="0.3">
      <c r="A948" t="s">
        <v>997</v>
      </c>
      <c r="B948" t="str">
        <f>VLOOKUP(A948,'Remote work mental helath'!$A$2:$T$1001,5,)</f>
        <v>Healthcare</v>
      </c>
      <c r="C948" t="str">
        <f>VLOOKUP(A948,'Remote work mental helath'!$A$2:$T$1001,7,)</f>
        <v>Hybrid</v>
      </c>
      <c r="D948">
        <f>VLOOKUP(A948,'Remote work mental helath'!$A$2:$T$1001,6,)</f>
        <v>30</v>
      </c>
      <c r="E948">
        <f>VLOOKUP(A948,'Remote work mental helath'!$A$2:$T$1001,8,)</f>
        <v>48</v>
      </c>
      <c r="F948">
        <f>VLOOKUP(A948,'Remote work mental helath'!$A$2:$T$1001,9,)</f>
        <v>2</v>
      </c>
    </row>
    <row r="949" spans="1:6" x14ac:dyDescent="0.3">
      <c r="A949" t="s">
        <v>998</v>
      </c>
      <c r="B949" t="str">
        <f>VLOOKUP(A949,'Remote work mental helath'!$A$2:$T$1001,5,)</f>
        <v>Finance</v>
      </c>
      <c r="C949" t="str">
        <f>VLOOKUP(A949,'Remote work mental helath'!$A$2:$T$1001,7,)</f>
        <v>Hybrid</v>
      </c>
      <c r="D949">
        <f>VLOOKUP(A949,'Remote work mental helath'!$A$2:$T$1001,6,)</f>
        <v>9</v>
      </c>
      <c r="E949">
        <f>VLOOKUP(A949,'Remote work mental helath'!$A$2:$T$1001,8,)</f>
        <v>42</v>
      </c>
      <c r="F949">
        <f>VLOOKUP(A949,'Remote work mental helath'!$A$2:$T$1001,9,)</f>
        <v>5</v>
      </c>
    </row>
    <row r="950" spans="1:6" x14ac:dyDescent="0.3">
      <c r="A950" t="s">
        <v>999</v>
      </c>
      <c r="B950" t="str">
        <f>VLOOKUP(A950,'Remote work mental helath'!$A$2:$T$1001,5,)</f>
        <v>Healthcare</v>
      </c>
      <c r="C950" t="str">
        <f>VLOOKUP(A950,'Remote work mental helath'!$A$2:$T$1001,7,)</f>
        <v>Remote</v>
      </c>
      <c r="D950">
        <f>VLOOKUP(A950,'Remote work mental helath'!$A$2:$T$1001,6,)</f>
        <v>5</v>
      </c>
      <c r="E950">
        <f>VLOOKUP(A950,'Remote work mental helath'!$A$2:$T$1001,8,)</f>
        <v>33</v>
      </c>
      <c r="F950">
        <f>VLOOKUP(A950,'Remote work mental helath'!$A$2:$T$1001,9,)</f>
        <v>12</v>
      </c>
    </row>
    <row r="951" spans="1:6" x14ac:dyDescent="0.3">
      <c r="A951" t="s">
        <v>1000</v>
      </c>
      <c r="B951" t="str">
        <f>VLOOKUP(A951,'Remote work mental helath'!$A$2:$T$1001,5,)</f>
        <v>Consulting</v>
      </c>
      <c r="C951" t="str">
        <f>VLOOKUP(A951,'Remote work mental helath'!$A$2:$T$1001,7,)</f>
        <v>Remote</v>
      </c>
      <c r="D951">
        <f>VLOOKUP(A951,'Remote work mental helath'!$A$2:$T$1001,6,)</f>
        <v>30</v>
      </c>
      <c r="E951">
        <f>VLOOKUP(A951,'Remote work mental helath'!$A$2:$T$1001,8,)</f>
        <v>45</v>
      </c>
      <c r="F951">
        <f>VLOOKUP(A951,'Remote work mental helath'!$A$2:$T$1001,9,)</f>
        <v>12</v>
      </c>
    </row>
    <row r="952" spans="1:6" x14ac:dyDescent="0.3">
      <c r="A952" t="s">
        <v>1001</v>
      </c>
      <c r="B952" t="str">
        <f>VLOOKUP(A952,'Remote work mental helath'!$A$2:$T$1001,5,)</f>
        <v>Finance</v>
      </c>
      <c r="C952" t="str">
        <f>VLOOKUP(A952,'Remote work mental helath'!$A$2:$T$1001,7,)</f>
        <v>Remote</v>
      </c>
      <c r="D952">
        <f>VLOOKUP(A952,'Remote work mental helath'!$A$2:$T$1001,6,)</f>
        <v>2</v>
      </c>
      <c r="E952">
        <f>VLOOKUP(A952,'Remote work mental helath'!$A$2:$T$1001,8,)</f>
        <v>43</v>
      </c>
      <c r="F952">
        <f>VLOOKUP(A952,'Remote work mental helath'!$A$2:$T$1001,9,)</f>
        <v>14</v>
      </c>
    </row>
    <row r="953" spans="1:6" x14ac:dyDescent="0.3">
      <c r="A953" t="s">
        <v>1002</v>
      </c>
      <c r="B953" t="str">
        <f>VLOOKUP(A953,'Remote work mental helath'!$A$2:$T$1001,5,)</f>
        <v>Finance</v>
      </c>
      <c r="C953" t="str">
        <f>VLOOKUP(A953,'Remote work mental helath'!$A$2:$T$1001,7,)</f>
        <v>Remote</v>
      </c>
      <c r="D953">
        <f>VLOOKUP(A953,'Remote work mental helath'!$A$2:$T$1001,6,)</f>
        <v>5</v>
      </c>
      <c r="E953">
        <f>VLOOKUP(A953,'Remote work mental helath'!$A$2:$T$1001,8,)</f>
        <v>59</v>
      </c>
      <c r="F953">
        <f>VLOOKUP(A953,'Remote work mental helath'!$A$2:$T$1001,9,)</f>
        <v>3</v>
      </c>
    </row>
    <row r="954" spans="1:6" x14ac:dyDescent="0.3">
      <c r="A954" t="s">
        <v>1003</v>
      </c>
      <c r="B954" t="str">
        <f>VLOOKUP(A954,'Remote work mental helath'!$A$2:$T$1001,5,)</f>
        <v>Healthcare</v>
      </c>
      <c r="C954" t="str">
        <f>VLOOKUP(A954,'Remote work mental helath'!$A$2:$T$1001,7,)</f>
        <v>Onsite</v>
      </c>
      <c r="D954">
        <f>VLOOKUP(A954,'Remote work mental helath'!$A$2:$T$1001,6,)</f>
        <v>32</v>
      </c>
      <c r="E954">
        <f>VLOOKUP(A954,'Remote work mental helath'!$A$2:$T$1001,8,)</f>
        <v>26</v>
      </c>
      <c r="F954">
        <f>VLOOKUP(A954,'Remote work mental helath'!$A$2:$T$1001,9,)</f>
        <v>12</v>
      </c>
    </row>
    <row r="955" spans="1:6" x14ac:dyDescent="0.3">
      <c r="A955" t="s">
        <v>1004</v>
      </c>
      <c r="B955" t="str">
        <f>VLOOKUP(A955,'Remote work mental helath'!$A$2:$T$1001,5,)</f>
        <v>Finance</v>
      </c>
      <c r="C955" t="str">
        <f>VLOOKUP(A955,'Remote work mental helath'!$A$2:$T$1001,7,)</f>
        <v>Hybrid</v>
      </c>
      <c r="D955">
        <f>VLOOKUP(A955,'Remote work mental helath'!$A$2:$T$1001,6,)</f>
        <v>32</v>
      </c>
      <c r="E955">
        <f>VLOOKUP(A955,'Remote work mental helath'!$A$2:$T$1001,8,)</f>
        <v>47</v>
      </c>
      <c r="F955">
        <f>VLOOKUP(A955,'Remote work mental helath'!$A$2:$T$1001,9,)</f>
        <v>7</v>
      </c>
    </row>
    <row r="956" spans="1:6" x14ac:dyDescent="0.3">
      <c r="A956" t="s">
        <v>1005</v>
      </c>
      <c r="B956" t="str">
        <f>VLOOKUP(A956,'Remote work mental helath'!$A$2:$T$1001,5,)</f>
        <v>Finance</v>
      </c>
      <c r="C956" t="str">
        <f>VLOOKUP(A956,'Remote work mental helath'!$A$2:$T$1001,7,)</f>
        <v>Remote</v>
      </c>
      <c r="D956">
        <f>VLOOKUP(A956,'Remote work mental helath'!$A$2:$T$1001,6,)</f>
        <v>3</v>
      </c>
      <c r="E956">
        <f>VLOOKUP(A956,'Remote work mental helath'!$A$2:$T$1001,8,)</f>
        <v>27</v>
      </c>
      <c r="F956">
        <f>VLOOKUP(A956,'Remote work mental helath'!$A$2:$T$1001,9,)</f>
        <v>1</v>
      </c>
    </row>
    <row r="957" spans="1:6" x14ac:dyDescent="0.3">
      <c r="A957" t="s">
        <v>1006</v>
      </c>
      <c r="B957" t="str">
        <f>VLOOKUP(A957,'Remote work mental helath'!$A$2:$T$1001,5,)</f>
        <v>Finance</v>
      </c>
      <c r="C957" t="str">
        <f>VLOOKUP(A957,'Remote work mental helath'!$A$2:$T$1001,7,)</f>
        <v>Hybrid</v>
      </c>
      <c r="D957">
        <f>VLOOKUP(A957,'Remote work mental helath'!$A$2:$T$1001,6,)</f>
        <v>22</v>
      </c>
      <c r="E957">
        <f>VLOOKUP(A957,'Remote work mental helath'!$A$2:$T$1001,8,)</f>
        <v>50</v>
      </c>
      <c r="F957">
        <f>VLOOKUP(A957,'Remote work mental helath'!$A$2:$T$1001,9,)</f>
        <v>2</v>
      </c>
    </row>
    <row r="958" spans="1:6" x14ac:dyDescent="0.3">
      <c r="A958" t="s">
        <v>1007</v>
      </c>
      <c r="B958" t="str">
        <f>VLOOKUP(A958,'Remote work mental helath'!$A$2:$T$1001,5,)</f>
        <v>Retail</v>
      </c>
      <c r="C958" t="str">
        <f>VLOOKUP(A958,'Remote work mental helath'!$A$2:$T$1001,7,)</f>
        <v>Remote</v>
      </c>
      <c r="D958">
        <f>VLOOKUP(A958,'Remote work mental helath'!$A$2:$T$1001,6,)</f>
        <v>11</v>
      </c>
      <c r="E958">
        <f>VLOOKUP(A958,'Remote work mental helath'!$A$2:$T$1001,8,)</f>
        <v>29</v>
      </c>
      <c r="F958">
        <f>VLOOKUP(A958,'Remote work mental helath'!$A$2:$T$1001,9,)</f>
        <v>4</v>
      </c>
    </row>
    <row r="959" spans="1:6" x14ac:dyDescent="0.3">
      <c r="A959" t="s">
        <v>1008</v>
      </c>
      <c r="B959" t="str">
        <f>VLOOKUP(A959,'Remote work mental helath'!$A$2:$T$1001,5,)</f>
        <v>Healthcare</v>
      </c>
      <c r="C959" t="str">
        <f>VLOOKUP(A959,'Remote work mental helath'!$A$2:$T$1001,7,)</f>
        <v>Hybrid</v>
      </c>
      <c r="D959">
        <f>VLOOKUP(A959,'Remote work mental helath'!$A$2:$T$1001,6,)</f>
        <v>3</v>
      </c>
      <c r="E959">
        <f>VLOOKUP(A959,'Remote work mental helath'!$A$2:$T$1001,8,)</f>
        <v>53</v>
      </c>
      <c r="F959">
        <f>VLOOKUP(A959,'Remote work mental helath'!$A$2:$T$1001,9,)</f>
        <v>6</v>
      </c>
    </row>
    <row r="960" spans="1:6" x14ac:dyDescent="0.3">
      <c r="A960" t="s">
        <v>1009</v>
      </c>
      <c r="B960" t="str">
        <f>VLOOKUP(A960,'Remote work mental helath'!$A$2:$T$1001,5,)</f>
        <v>Finance</v>
      </c>
      <c r="C960" t="str">
        <f>VLOOKUP(A960,'Remote work mental helath'!$A$2:$T$1001,7,)</f>
        <v>Hybrid</v>
      </c>
      <c r="D960">
        <f>VLOOKUP(A960,'Remote work mental helath'!$A$2:$T$1001,6,)</f>
        <v>26</v>
      </c>
      <c r="E960">
        <f>VLOOKUP(A960,'Remote work mental helath'!$A$2:$T$1001,8,)</f>
        <v>22</v>
      </c>
      <c r="F960">
        <f>VLOOKUP(A960,'Remote work mental helath'!$A$2:$T$1001,9,)</f>
        <v>13</v>
      </c>
    </row>
    <row r="961" spans="1:6" x14ac:dyDescent="0.3">
      <c r="A961" t="s">
        <v>1010</v>
      </c>
      <c r="B961" t="str">
        <f>VLOOKUP(A961,'Remote work mental helath'!$A$2:$T$1001,5,)</f>
        <v>Education</v>
      </c>
      <c r="C961" t="str">
        <f>VLOOKUP(A961,'Remote work mental helath'!$A$2:$T$1001,7,)</f>
        <v>Onsite</v>
      </c>
      <c r="D961">
        <f>VLOOKUP(A961,'Remote work mental helath'!$A$2:$T$1001,6,)</f>
        <v>14</v>
      </c>
      <c r="E961">
        <f>VLOOKUP(A961,'Remote work mental helath'!$A$2:$T$1001,8,)</f>
        <v>42</v>
      </c>
      <c r="F961">
        <f>VLOOKUP(A961,'Remote work mental helath'!$A$2:$T$1001,9,)</f>
        <v>2</v>
      </c>
    </row>
    <row r="962" spans="1:6" x14ac:dyDescent="0.3">
      <c r="A962" t="s">
        <v>1011</v>
      </c>
      <c r="B962" t="str">
        <f>VLOOKUP(A962,'Remote work mental helath'!$A$2:$T$1001,5,)</f>
        <v>Retail</v>
      </c>
      <c r="C962" t="str">
        <f>VLOOKUP(A962,'Remote work mental helath'!$A$2:$T$1001,7,)</f>
        <v>Remote</v>
      </c>
      <c r="D962">
        <f>VLOOKUP(A962,'Remote work mental helath'!$A$2:$T$1001,6,)</f>
        <v>17</v>
      </c>
      <c r="E962">
        <f>VLOOKUP(A962,'Remote work mental helath'!$A$2:$T$1001,8,)</f>
        <v>20</v>
      </c>
      <c r="F962">
        <f>VLOOKUP(A962,'Remote work mental helath'!$A$2:$T$1001,9,)</f>
        <v>13</v>
      </c>
    </row>
    <row r="963" spans="1:6" x14ac:dyDescent="0.3">
      <c r="A963" t="s">
        <v>1012</v>
      </c>
      <c r="B963" t="str">
        <f>VLOOKUP(A963,'Remote work mental helath'!$A$2:$T$1001,5,)</f>
        <v>Manufacturing</v>
      </c>
      <c r="C963" t="str">
        <f>VLOOKUP(A963,'Remote work mental helath'!$A$2:$T$1001,7,)</f>
        <v>Hybrid</v>
      </c>
      <c r="D963">
        <f>VLOOKUP(A963,'Remote work mental helath'!$A$2:$T$1001,6,)</f>
        <v>35</v>
      </c>
      <c r="E963">
        <f>VLOOKUP(A963,'Remote work mental helath'!$A$2:$T$1001,8,)</f>
        <v>20</v>
      </c>
      <c r="F963">
        <f>VLOOKUP(A963,'Remote work mental helath'!$A$2:$T$1001,9,)</f>
        <v>11</v>
      </c>
    </row>
    <row r="964" spans="1:6" x14ac:dyDescent="0.3">
      <c r="A964" t="s">
        <v>1013</v>
      </c>
      <c r="B964" t="str">
        <f>VLOOKUP(A964,'Remote work mental helath'!$A$2:$T$1001,5,)</f>
        <v>IT</v>
      </c>
      <c r="C964" t="str">
        <f>VLOOKUP(A964,'Remote work mental helath'!$A$2:$T$1001,7,)</f>
        <v>Hybrid</v>
      </c>
      <c r="D964">
        <f>VLOOKUP(A964,'Remote work mental helath'!$A$2:$T$1001,6,)</f>
        <v>22</v>
      </c>
      <c r="E964">
        <f>VLOOKUP(A964,'Remote work mental helath'!$A$2:$T$1001,8,)</f>
        <v>32</v>
      </c>
      <c r="F964">
        <f>VLOOKUP(A964,'Remote work mental helath'!$A$2:$T$1001,9,)</f>
        <v>5</v>
      </c>
    </row>
    <row r="965" spans="1:6" x14ac:dyDescent="0.3">
      <c r="A965" t="s">
        <v>1014</v>
      </c>
      <c r="B965" t="str">
        <f>VLOOKUP(A965,'Remote work mental helath'!$A$2:$T$1001,5,)</f>
        <v>Education</v>
      </c>
      <c r="C965" t="str">
        <f>VLOOKUP(A965,'Remote work mental helath'!$A$2:$T$1001,7,)</f>
        <v>Remote</v>
      </c>
      <c r="D965">
        <f>VLOOKUP(A965,'Remote work mental helath'!$A$2:$T$1001,6,)</f>
        <v>14</v>
      </c>
      <c r="E965">
        <f>VLOOKUP(A965,'Remote work mental helath'!$A$2:$T$1001,8,)</f>
        <v>44</v>
      </c>
      <c r="F965">
        <f>VLOOKUP(A965,'Remote work mental helath'!$A$2:$T$1001,9,)</f>
        <v>7</v>
      </c>
    </row>
    <row r="966" spans="1:6" x14ac:dyDescent="0.3">
      <c r="A966" t="s">
        <v>1015</v>
      </c>
      <c r="B966" t="str">
        <f>VLOOKUP(A966,'Remote work mental helath'!$A$2:$T$1001,5,)</f>
        <v>Education</v>
      </c>
      <c r="C966" t="str">
        <f>VLOOKUP(A966,'Remote work mental helath'!$A$2:$T$1001,7,)</f>
        <v>Onsite</v>
      </c>
      <c r="D966">
        <f>VLOOKUP(A966,'Remote work mental helath'!$A$2:$T$1001,6,)</f>
        <v>20</v>
      </c>
      <c r="E966">
        <f>VLOOKUP(A966,'Remote work mental helath'!$A$2:$T$1001,8,)</f>
        <v>38</v>
      </c>
      <c r="F966">
        <f>VLOOKUP(A966,'Remote work mental helath'!$A$2:$T$1001,9,)</f>
        <v>1</v>
      </c>
    </row>
    <row r="967" spans="1:6" x14ac:dyDescent="0.3">
      <c r="A967" t="s">
        <v>1016</v>
      </c>
      <c r="B967" t="str">
        <f>VLOOKUP(A967,'Remote work mental helath'!$A$2:$T$1001,5,)</f>
        <v>Consulting</v>
      </c>
      <c r="C967" t="str">
        <f>VLOOKUP(A967,'Remote work mental helath'!$A$2:$T$1001,7,)</f>
        <v>Hybrid</v>
      </c>
      <c r="D967">
        <f>VLOOKUP(A967,'Remote work mental helath'!$A$2:$T$1001,6,)</f>
        <v>4</v>
      </c>
      <c r="E967">
        <f>VLOOKUP(A967,'Remote work mental helath'!$A$2:$T$1001,8,)</f>
        <v>44</v>
      </c>
      <c r="F967">
        <f>VLOOKUP(A967,'Remote work mental helath'!$A$2:$T$1001,9,)</f>
        <v>2</v>
      </c>
    </row>
    <row r="968" spans="1:6" x14ac:dyDescent="0.3">
      <c r="A968" t="s">
        <v>1017</v>
      </c>
      <c r="B968" t="str">
        <f>VLOOKUP(A968,'Remote work mental helath'!$A$2:$T$1001,5,)</f>
        <v>Consulting</v>
      </c>
      <c r="C968" t="str">
        <f>VLOOKUP(A968,'Remote work mental helath'!$A$2:$T$1001,7,)</f>
        <v>Remote</v>
      </c>
      <c r="D968">
        <f>VLOOKUP(A968,'Remote work mental helath'!$A$2:$T$1001,6,)</f>
        <v>11</v>
      </c>
      <c r="E968">
        <f>VLOOKUP(A968,'Remote work mental helath'!$A$2:$T$1001,8,)</f>
        <v>43</v>
      </c>
      <c r="F968">
        <f>VLOOKUP(A968,'Remote work mental helath'!$A$2:$T$1001,9,)</f>
        <v>10</v>
      </c>
    </row>
    <row r="969" spans="1:6" x14ac:dyDescent="0.3">
      <c r="A969" t="s">
        <v>1018</v>
      </c>
      <c r="B969" t="str">
        <f>VLOOKUP(A969,'Remote work mental helath'!$A$2:$T$1001,5,)</f>
        <v>Education</v>
      </c>
      <c r="C969" t="str">
        <f>VLOOKUP(A969,'Remote work mental helath'!$A$2:$T$1001,7,)</f>
        <v>Hybrid</v>
      </c>
      <c r="D969">
        <f>VLOOKUP(A969,'Remote work mental helath'!$A$2:$T$1001,6,)</f>
        <v>5</v>
      </c>
      <c r="E969">
        <f>VLOOKUP(A969,'Remote work mental helath'!$A$2:$T$1001,8,)</f>
        <v>45</v>
      </c>
      <c r="F969">
        <f>VLOOKUP(A969,'Remote work mental helath'!$A$2:$T$1001,9,)</f>
        <v>3</v>
      </c>
    </row>
    <row r="970" spans="1:6" x14ac:dyDescent="0.3">
      <c r="A970" t="s">
        <v>1019</v>
      </c>
      <c r="B970" t="str">
        <f>VLOOKUP(A970,'Remote work mental helath'!$A$2:$T$1001,5,)</f>
        <v>Education</v>
      </c>
      <c r="C970" t="str">
        <f>VLOOKUP(A970,'Remote work mental helath'!$A$2:$T$1001,7,)</f>
        <v>Hybrid</v>
      </c>
      <c r="D970">
        <f>VLOOKUP(A970,'Remote work mental helath'!$A$2:$T$1001,6,)</f>
        <v>3</v>
      </c>
      <c r="E970">
        <f>VLOOKUP(A970,'Remote work mental helath'!$A$2:$T$1001,8,)</f>
        <v>24</v>
      </c>
      <c r="F970">
        <f>VLOOKUP(A970,'Remote work mental helath'!$A$2:$T$1001,9,)</f>
        <v>5</v>
      </c>
    </row>
    <row r="971" spans="1:6" x14ac:dyDescent="0.3">
      <c r="A971" t="s">
        <v>1020</v>
      </c>
      <c r="B971" t="str">
        <f>VLOOKUP(A971,'Remote work mental helath'!$A$2:$T$1001,5,)</f>
        <v>Healthcare</v>
      </c>
      <c r="C971" t="str">
        <f>VLOOKUP(A971,'Remote work mental helath'!$A$2:$T$1001,7,)</f>
        <v>Hybrid</v>
      </c>
      <c r="D971">
        <f>VLOOKUP(A971,'Remote work mental helath'!$A$2:$T$1001,6,)</f>
        <v>31</v>
      </c>
      <c r="E971">
        <f>VLOOKUP(A971,'Remote work mental helath'!$A$2:$T$1001,8,)</f>
        <v>37</v>
      </c>
      <c r="F971">
        <f>VLOOKUP(A971,'Remote work mental helath'!$A$2:$T$1001,9,)</f>
        <v>7</v>
      </c>
    </row>
    <row r="972" spans="1:6" x14ac:dyDescent="0.3">
      <c r="A972" t="s">
        <v>1021</v>
      </c>
      <c r="B972" t="str">
        <f>VLOOKUP(A972,'Remote work mental helath'!$A$2:$T$1001,5,)</f>
        <v>Finance</v>
      </c>
      <c r="C972" t="str">
        <f>VLOOKUP(A972,'Remote work mental helath'!$A$2:$T$1001,7,)</f>
        <v>Remote</v>
      </c>
      <c r="D972">
        <f>VLOOKUP(A972,'Remote work mental helath'!$A$2:$T$1001,6,)</f>
        <v>22</v>
      </c>
      <c r="E972">
        <f>VLOOKUP(A972,'Remote work mental helath'!$A$2:$T$1001,8,)</f>
        <v>48</v>
      </c>
      <c r="F972">
        <f>VLOOKUP(A972,'Remote work mental helath'!$A$2:$T$1001,9,)</f>
        <v>5</v>
      </c>
    </row>
    <row r="973" spans="1:6" x14ac:dyDescent="0.3">
      <c r="A973" t="s">
        <v>1022</v>
      </c>
      <c r="B973" t="str">
        <f>VLOOKUP(A973,'Remote work mental helath'!$A$2:$T$1001,5,)</f>
        <v>IT</v>
      </c>
      <c r="C973" t="str">
        <f>VLOOKUP(A973,'Remote work mental helath'!$A$2:$T$1001,7,)</f>
        <v>Onsite</v>
      </c>
      <c r="D973">
        <f>VLOOKUP(A973,'Remote work mental helath'!$A$2:$T$1001,6,)</f>
        <v>9</v>
      </c>
      <c r="E973">
        <f>VLOOKUP(A973,'Remote work mental helath'!$A$2:$T$1001,8,)</f>
        <v>29</v>
      </c>
      <c r="F973">
        <f>VLOOKUP(A973,'Remote work mental helath'!$A$2:$T$1001,9,)</f>
        <v>11</v>
      </c>
    </row>
    <row r="974" spans="1:6" x14ac:dyDescent="0.3">
      <c r="A974" t="s">
        <v>1023</v>
      </c>
      <c r="B974" t="str">
        <f>VLOOKUP(A974,'Remote work mental helath'!$A$2:$T$1001,5,)</f>
        <v>Finance</v>
      </c>
      <c r="C974" t="str">
        <f>VLOOKUP(A974,'Remote work mental helath'!$A$2:$T$1001,7,)</f>
        <v>Remote</v>
      </c>
      <c r="D974">
        <f>VLOOKUP(A974,'Remote work mental helath'!$A$2:$T$1001,6,)</f>
        <v>30</v>
      </c>
      <c r="E974">
        <f>VLOOKUP(A974,'Remote work mental helath'!$A$2:$T$1001,8,)</f>
        <v>26</v>
      </c>
      <c r="F974">
        <f>VLOOKUP(A974,'Remote work mental helath'!$A$2:$T$1001,9,)</f>
        <v>9</v>
      </c>
    </row>
    <row r="975" spans="1:6" x14ac:dyDescent="0.3">
      <c r="A975" t="s">
        <v>1024</v>
      </c>
      <c r="B975" t="str">
        <f>VLOOKUP(A975,'Remote work mental helath'!$A$2:$T$1001,5,)</f>
        <v>Manufacturing</v>
      </c>
      <c r="C975" t="str">
        <f>VLOOKUP(A975,'Remote work mental helath'!$A$2:$T$1001,7,)</f>
        <v>Remote</v>
      </c>
      <c r="D975">
        <f>VLOOKUP(A975,'Remote work mental helath'!$A$2:$T$1001,6,)</f>
        <v>9</v>
      </c>
      <c r="E975">
        <f>VLOOKUP(A975,'Remote work mental helath'!$A$2:$T$1001,8,)</f>
        <v>60</v>
      </c>
      <c r="F975">
        <f>VLOOKUP(A975,'Remote work mental helath'!$A$2:$T$1001,9,)</f>
        <v>2</v>
      </c>
    </row>
    <row r="976" spans="1:6" x14ac:dyDescent="0.3">
      <c r="A976" t="s">
        <v>1025</v>
      </c>
      <c r="B976" t="str">
        <f>VLOOKUP(A976,'Remote work mental helath'!$A$2:$T$1001,5,)</f>
        <v>Consulting</v>
      </c>
      <c r="C976" t="str">
        <f>VLOOKUP(A976,'Remote work mental helath'!$A$2:$T$1001,7,)</f>
        <v>Remote</v>
      </c>
      <c r="D976">
        <f>VLOOKUP(A976,'Remote work mental helath'!$A$2:$T$1001,6,)</f>
        <v>24</v>
      </c>
      <c r="E976">
        <f>VLOOKUP(A976,'Remote work mental helath'!$A$2:$T$1001,8,)</f>
        <v>22</v>
      </c>
      <c r="F976">
        <f>VLOOKUP(A976,'Remote work mental helath'!$A$2:$T$1001,9,)</f>
        <v>3</v>
      </c>
    </row>
    <row r="977" spans="1:6" x14ac:dyDescent="0.3">
      <c r="A977" t="s">
        <v>1026</v>
      </c>
      <c r="B977" t="str">
        <f>VLOOKUP(A977,'Remote work mental helath'!$A$2:$T$1001,5,)</f>
        <v>Finance</v>
      </c>
      <c r="C977" t="str">
        <f>VLOOKUP(A977,'Remote work mental helath'!$A$2:$T$1001,7,)</f>
        <v>Remote</v>
      </c>
      <c r="D977">
        <f>VLOOKUP(A977,'Remote work mental helath'!$A$2:$T$1001,6,)</f>
        <v>26</v>
      </c>
      <c r="E977">
        <f>VLOOKUP(A977,'Remote work mental helath'!$A$2:$T$1001,8,)</f>
        <v>21</v>
      </c>
      <c r="F977">
        <f>VLOOKUP(A977,'Remote work mental helath'!$A$2:$T$1001,9,)</f>
        <v>0</v>
      </c>
    </row>
    <row r="978" spans="1:6" x14ac:dyDescent="0.3">
      <c r="A978" t="s">
        <v>1027</v>
      </c>
      <c r="B978" t="str">
        <f>VLOOKUP(A978,'Remote work mental helath'!$A$2:$T$1001,5,)</f>
        <v>IT</v>
      </c>
      <c r="C978" t="str">
        <f>VLOOKUP(A978,'Remote work mental helath'!$A$2:$T$1001,7,)</f>
        <v>Onsite</v>
      </c>
      <c r="D978">
        <f>VLOOKUP(A978,'Remote work mental helath'!$A$2:$T$1001,6,)</f>
        <v>23</v>
      </c>
      <c r="E978">
        <f>VLOOKUP(A978,'Remote work mental helath'!$A$2:$T$1001,8,)</f>
        <v>49</v>
      </c>
      <c r="F978">
        <f>VLOOKUP(A978,'Remote work mental helath'!$A$2:$T$1001,9,)</f>
        <v>2</v>
      </c>
    </row>
    <row r="979" spans="1:6" x14ac:dyDescent="0.3">
      <c r="A979" t="s">
        <v>1028</v>
      </c>
      <c r="B979" t="str">
        <f>VLOOKUP(A979,'Remote work mental helath'!$A$2:$T$1001,5,)</f>
        <v>Manufacturing</v>
      </c>
      <c r="C979" t="str">
        <f>VLOOKUP(A979,'Remote work mental helath'!$A$2:$T$1001,7,)</f>
        <v>Remote</v>
      </c>
      <c r="D979">
        <f>VLOOKUP(A979,'Remote work mental helath'!$A$2:$T$1001,6,)</f>
        <v>3</v>
      </c>
      <c r="E979">
        <f>VLOOKUP(A979,'Remote work mental helath'!$A$2:$T$1001,8,)</f>
        <v>38</v>
      </c>
      <c r="F979">
        <f>VLOOKUP(A979,'Remote work mental helath'!$A$2:$T$1001,9,)</f>
        <v>7</v>
      </c>
    </row>
    <row r="980" spans="1:6" x14ac:dyDescent="0.3">
      <c r="A980" t="s">
        <v>1029</v>
      </c>
      <c r="B980" t="str">
        <f>VLOOKUP(A980,'Remote work mental helath'!$A$2:$T$1001,5,)</f>
        <v>Education</v>
      </c>
      <c r="C980" t="str">
        <f>VLOOKUP(A980,'Remote work mental helath'!$A$2:$T$1001,7,)</f>
        <v>Hybrid</v>
      </c>
      <c r="D980">
        <f>VLOOKUP(A980,'Remote work mental helath'!$A$2:$T$1001,6,)</f>
        <v>12</v>
      </c>
      <c r="E980">
        <f>VLOOKUP(A980,'Remote work mental helath'!$A$2:$T$1001,8,)</f>
        <v>26</v>
      </c>
      <c r="F980">
        <f>VLOOKUP(A980,'Remote work mental helath'!$A$2:$T$1001,9,)</f>
        <v>1</v>
      </c>
    </row>
    <row r="981" spans="1:6" x14ac:dyDescent="0.3">
      <c r="A981" t="s">
        <v>1030</v>
      </c>
      <c r="B981" t="str">
        <f>VLOOKUP(A981,'Remote work mental helath'!$A$2:$T$1001,5,)</f>
        <v>IT</v>
      </c>
      <c r="C981" t="str">
        <f>VLOOKUP(A981,'Remote work mental helath'!$A$2:$T$1001,7,)</f>
        <v>Remote</v>
      </c>
      <c r="D981">
        <f>VLOOKUP(A981,'Remote work mental helath'!$A$2:$T$1001,6,)</f>
        <v>19</v>
      </c>
      <c r="E981">
        <f>VLOOKUP(A981,'Remote work mental helath'!$A$2:$T$1001,8,)</f>
        <v>50</v>
      </c>
      <c r="F981">
        <f>VLOOKUP(A981,'Remote work mental helath'!$A$2:$T$1001,9,)</f>
        <v>13</v>
      </c>
    </row>
    <row r="982" spans="1:6" x14ac:dyDescent="0.3">
      <c r="A982" t="s">
        <v>1031</v>
      </c>
      <c r="B982" t="str">
        <f>VLOOKUP(A982,'Remote work mental helath'!$A$2:$T$1001,5,)</f>
        <v>Healthcare</v>
      </c>
      <c r="C982" t="str">
        <f>VLOOKUP(A982,'Remote work mental helath'!$A$2:$T$1001,7,)</f>
        <v>Onsite</v>
      </c>
      <c r="D982">
        <f>VLOOKUP(A982,'Remote work mental helath'!$A$2:$T$1001,6,)</f>
        <v>5</v>
      </c>
      <c r="E982">
        <f>VLOOKUP(A982,'Remote work mental helath'!$A$2:$T$1001,8,)</f>
        <v>26</v>
      </c>
      <c r="F982">
        <f>VLOOKUP(A982,'Remote work mental helath'!$A$2:$T$1001,9,)</f>
        <v>10</v>
      </c>
    </row>
    <row r="983" spans="1:6" x14ac:dyDescent="0.3">
      <c r="A983" t="s">
        <v>1032</v>
      </c>
      <c r="B983" t="str">
        <f>VLOOKUP(A983,'Remote work mental helath'!$A$2:$T$1001,5,)</f>
        <v>IT</v>
      </c>
      <c r="C983" t="str">
        <f>VLOOKUP(A983,'Remote work mental helath'!$A$2:$T$1001,7,)</f>
        <v>Hybrid</v>
      </c>
      <c r="D983">
        <f>VLOOKUP(A983,'Remote work mental helath'!$A$2:$T$1001,6,)</f>
        <v>32</v>
      </c>
      <c r="E983">
        <f>VLOOKUP(A983,'Remote work mental helath'!$A$2:$T$1001,8,)</f>
        <v>26</v>
      </c>
      <c r="F983">
        <f>VLOOKUP(A983,'Remote work mental helath'!$A$2:$T$1001,9,)</f>
        <v>5</v>
      </c>
    </row>
    <row r="984" spans="1:6" x14ac:dyDescent="0.3">
      <c r="A984" t="s">
        <v>1033</v>
      </c>
      <c r="B984" t="str">
        <f>VLOOKUP(A984,'Remote work mental helath'!$A$2:$T$1001,5,)</f>
        <v>Education</v>
      </c>
      <c r="C984" t="str">
        <f>VLOOKUP(A984,'Remote work mental helath'!$A$2:$T$1001,7,)</f>
        <v>Onsite</v>
      </c>
      <c r="D984">
        <f>VLOOKUP(A984,'Remote work mental helath'!$A$2:$T$1001,6,)</f>
        <v>14</v>
      </c>
      <c r="E984">
        <f>VLOOKUP(A984,'Remote work mental helath'!$A$2:$T$1001,8,)</f>
        <v>30</v>
      </c>
      <c r="F984">
        <f>VLOOKUP(A984,'Remote work mental helath'!$A$2:$T$1001,9,)</f>
        <v>9</v>
      </c>
    </row>
    <row r="985" spans="1:6" x14ac:dyDescent="0.3">
      <c r="A985" t="s">
        <v>1034</v>
      </c>
      <c r="B985" t="str">
        <f>VLOOKUP(A985,'Remote work mental helath'!$A$2:$T$1001,5,)</f>
        <v>Consulting</v>
      </c>
      <c r="C985" t="str">
        <f>VLOOKUP(A985,'Remote work mental helath'!$A$2:$T$1001,7,)</f>
        <v>Onsite</v>
      </c>
      <c r="D985">
        <f>VLOOKUP(A985,'Remote work mental helath'!$A$2:$T$1001,6,)</f>
        <v>33</v>
      </c>
      <c r="E985">
        <f>VLOOKUP(A985,'Remote work mental helath'!$A$2:$T$1001,8,)</f>
        <v>50</v>
      </c>
      <c r="F985">
        <f>VLOOKUP(A985,'Remote work mental helath'!$A$2:$T$1001,9,)</f>
        <v>7</v>
      </c>
    </row>
    <row r="986" spans="1:6" x14ac:dyDescent="0.3">
      <c r="A986" t="s">
        <v>1035</v>
      </c>
      <c r="B986" t="str">
        <f>VLOOKUP(A986,'Remote work mental helath'!$A$2:$T$1001,5,)</f>
        <v>IT</v>
      </c>
      <c r="C986" t="str">
        <f>VLOOKUP(A986,'Remote work mental helath'!$A$2:$T$1001,7,)</f>
        <v>Hybrid</v>
      </c>
      <c r="D986">
        <f>VLOOKUP(A986,'Remote work mental helath'!$A$2:$T$1001,6,)</f>
        <v>24</v>
      </c>
      <c r="E986">
        <f>VLOOKUP(A986,'Remote work mental helath'!$A$2:$T$1001,8,)</f>
        <v>60</v>
      </c>
      <c r="F986">
        <f>VLOOKUP(A986,'Remote work mental helath'!$A$2:$T$1001,9,)</f>
        <v>10</v>
      </c>
    </row>
    <row r="987" spans="1:6" x14ac:dyDescent="0.3">
      <c r="A987" t="s">
        <v>1036</v>
      </c>
      <c r="B987" t="str">
        <f>VLOOKUP(A987,'Remote work mental helath'!$A$2:$T$1001,5,)</f>
        <v>Finance</v>
      </c>
      <c r="C987" t="str">
        <f>VLOOKUP(A987,'Remote work mental helath'!$A$2:$T$1001,7,)</f>
        <v>Onsite</v>
      </c>
      <c r="D987">
        <f>VLOOKUP(A987,'Remote work mental helath'!$A$2:$T$1001,6,)</f>
        <v>17</v>
      </c>
      <c r="E987">
        <f>VLOOKUP(A987,'Remote work mental helath'!$A$2:$T$1001,8,)</f>
        <v>49</v>
      </c>
      <c r="F987">
        <f>VLOOKUP(A987,'Remote work mental helath'!$A$2:$T$1001,9,)</f>
        <v>6</v>
      </c>
    </row>
    <row r="988" spans="1:6" x14ac:dyDescent="0.3">
      <c r="A988" t="s">
        <v>1037</v>
      </c>
      <c r="B988" t="str">
        <f>VLOOKUP(A988,'Remote work mental helath'!$A$2:$T$1001,5,)</f>
        <v>Healthcare</v>
      </c>
      <c r="C988" t="str">
        <f>VLOOKUP(A988,'Remote work mental helath'!$A$2:$T$1001,7,)</f>
        <v>Remote</v>
      </c>
      <c r="D988">
        <f>VLOOKUP(A988,'Remote work mental helath'!$A$2:$T$1001,6,)</f>
        <v>2</v>
      </c>
      <c r="E988">
        <f>VLOOKUP(A988,'Remote work mental helath'!$A$2:$T$1001,8,)</f>
        <v>48</v>
      </c>
      <c r="F988">
        <f>VLOOKUP(A988,'Remote work mental helath'!$A$2:$T$1001,9,)</f>
        <v>9</v>
      </c>
    </row>
    <row r="989" spans="1:6" x14ac:dyDescent="0.3">
      <c r="A989" t="s">
        <v>1038</v>
      </c>
      <c r="B989" t="str">
        <f>VLOOKUP(A989,'Remote work mental helath'!$A$2:$T$1001,5,)</f>
        <v>IT</v>
      </c>
      <c r="C989" t="str">
        <f>VLOOKUP(A989,'Remote work mental helath'!$A$2:$T$1001,7,)</f>
        <v>Remote</v>
      </c>
      <c r="D989">
        <f>VLOOKUP(A989,'Remote work mental helath'!$A$2:$T$1001,6,)</f>
        <v>9</v>
      </c>
      <c r="E989">
        <f>VLOOKUP(A989,'Remote work mental helath'!$A$2:$T$1001,8,)</f>
        <v>39</v>
      </c>
      <c r="F989">
        <f>VLOOKUP(A989,'Remote work mental helath'!$A$2:$T$1001,9,)</f>
        <v>4</v>
      </c>
    </row>
    <row r="990" spans="1:6" x14ac:dyDescent="0.3">
      <c r="A990" t="s">
        <v>1039</v>
      </c>
      <c r="B990" t="str">
        <f>VLOOKUP(A990,'Remote work mental helath'!$A$2:$T$1001,5,)</f>
        <v>IT</v>
      </c>
      <c r="C990" t="str">
        <f>VLOOKUP(A990,'Remote work mental helath'!$A$2:$T$1001,7,)</f>
        <v>Hybrid</v>
      </c>
      <c r="D990">
        <f>VLOOKUP(A990,'Remote work mental helath'!$A$2:$T$1001,6,)</f>
        <v>8</v>
      </c>
      <c r="E990">
        <f>VLOOKUP(A990,'Remote work mental helath'!$A$2:$T$1001,8,)</f>
        <v>52</v>
      </c>
      <c r="F990">
        <f>VLOOKUP(A990,'Remote work mental helath'!$A$2:$T$1001,9,)</f>
        <v>15</v>
      </c>
    </row>
    <row r="991" spans="1:6" x14ac:dyDescent="0.3">
      <c r="A991" t="s">
        <v>1040</v>
      </c>
      <c r="B991" t="str">
        <f>VLOOKUP(A991,'Remote work mental helath'!$A$2:$T$1001,5,)</f>
        <v>Healthcare</v>
      </c>
      <c r="C991" t="str">
        <f>VLOOKUP(A991,'Remote work mental helath'!$A$2:$T$1001,7,)</f>
        <v>Remote</v>
      </c>
      <c r="D991">
        <f>VLOOKUP(A991,'Remote work mental helath'!$A$2:$T$1001,6,)</f>
        <v>8</v>
      </c>
      <c r="E991">
        <f>VLOOKUP(A991,'Remote work mental helath'!$A$2:$T$1001,8,)</f>
        <v>23</v>
      </c>
      <c r="F991">
        <f>VLOOKUP(A991,'Remote work mental helath'!$A$2:$T$1001,9,)</f>
        <v>5</v>
      </c>
    </row>
    <row r="992" spans="1:6" x14ac:dyDescent="0.3">
      <c r="A992" t="s">
        <v>1041</v>
      </c>
      <c r="B992" t="str">
        <f>VLOOKUP(A992,'Remote work mental helath'!$A$2:$T$1001,5,)</f>
        <v>IT</v>
      </c>
      <c r="C992" t="str">
        <f>VLOOKUP(A992,'Remote work mental helath'!$A$2:$T$1001,7,)</f>
        <v>Hybrid</v>
      </c>
      <c r="D992">
        <f>VLOOKUP(A992,'Remote work mental helath'!$A$2:$T$1001,6,)</f>
        <v>1</v>
      </c>
      <c r="E992">
        <f>VLOOKUP(A992,'Remote work mental helath'!$A$2:$T$1001,8,)</f>
        <v>51</v>
      </c>
      <c r="F992">
        <f>VLOOKUP(A992,'Remote work mental helath'!$A$2:$T$1001,9,)</f>
        <v>8</v>
      </c>
    </row>
    <row r="993" spans="1:6" x14ac:dyDescent="0.3">
      <c r="A993" t="s">
        <v>1042</v>
      </c>
      <c r="B993" t="str">
        <f>VLOOKUP(A993,'Remote work mental helath'!$A$2:$T$1001,5,)</f>
        <v>Manufacturing</v>
      </c>
      <c r="C993" t="str">
        <f>VLOOKUP(A993,'Remote work mental helath'!$A$2:$T$1001,7,)</f>
        <v>Onsite</v>
      </c>
      <c r="D993">
        <f>VLOOKUP(A993,'Remote work mental helath'!$A$2:$T$1001,6,)</f>
        <v>32</v>
      </c>
      <c r="E993">
        <f>VLOOKUP(A993,'Remote work mental helath'!$A$2:$T$1001,8,)</f>
        <v>28</v>
      </c>
      <c r="F993">
        <f>VLOOKUP(A993,'Remote work mental helath'!$A$2:$T$1001,9,)</f>
        <v>14</v>
      </c>
    </row>
    <row r="994" spans="1:6" x14ac:dyDescent="0.3">
      <c r="A994" t="s">
        <v>1043</v>
      </c>
      <c r="B994" t="str">
        <f>VLOOKUP(A994,'Remote work mental helath'!$A$2:$T$1001,5,)</f>
        <v>Finance</v>
      </c>
      <c r="C994" t="str">
        <f>VLOOKUP(A994,'Remote work mental helath'!$A$2:$T$1001,7,)</f>
        <v>Onsite</v>
      </c>
      <c r="D994">
        <f>VLOOKUP(A994,'Remote work mental helath'!$A$2:$T$1001,6,)</f>
        <v>21</v>
      </c>
      <c r="E994">
        <f>VLOOKUP(A994,'Remote work mental helath'!$A$2:$T$1001,8,)</f>
        <v>22</v>
      </c>
      <c r="F994">
        <f>VLOOKUP(A994,'Remote work mental helath'!$A$2:$T$1001,9,)</f>
        <v>15</v>
      </c>
    </row>
    <row r="995" spans="1:6" x14ac:dyDescent="0.3">
      <c r="A995" t="s">
        <v>1044</v>
      </c>
      <c r="B995" t="str">
        <f>VLOOKUP(A995,'Remote work mental helath'!$A$2:$T$1001,5,)</f>
        <v>Education</v>
      </c>
      <c r="C995" t="str">
        <f>VLOOKUP(A995,'Remote work mental helath'!$A$2:$T$1001,7,)</f>
        <v>Remote</v>
      </c>
      <c r="D995">
        <f>VLOOKUP(A995,'Remote work mental helath'!$A$2:$T$1001,6,)</f>
        <v>13</v>
      </c>
      <c r="E995">
        <f>VLOOKUP(A995,'Remote work mental helath'!$A$2:$T$1001,8,)</f>
        <v>50</v>
      </c>
      <c r="F995">
        <f>VLOOKUP(A995,'Remote work mental helath'!$A$2:$T$1001,9,)</f>
        <v>1</v>
      </c>
    </row>
    <row r="996" spans="1:6" x14ac:dyDescent="0.3">
      <c r="A996" t="s">
        <v>1045</v>
      </c>
      <c r="B996" t="str">
        <f>VLOOKUP(A996,'Remote work mental helath'!$A$2:$T$1001,5,)</f>
        <v>Retail</v>
      </c>
      <c r="C996" t="str">
        <f>VLOOKUP(A996,'Remote work mental helath'!$A$2:$T$1001,7,)</f>
        <v>Remote</v>
      </c>
      <c r="D996">
        <f>VLOOKUP(A996,'Remote work mental helath'!$A$2:$T$1001,6,)</f>
        <v>24</v>
      </c>
      <c r="E996">
        <f>VLOOKUP(A996,'Remote work mental helath'!$A$2:$T$1001,8,)</f>
        <v>21</v>
      </c>
      <c r="F996">
        <f>VLOOKUP(A996,'Remote work mental helath'!$A$2:$T$1001,9,)</f>
        <v>13</v>
      </c>
    </row>
    <row r="997" spans="1:6" x14ac:dyDescent="0.3">
      <c r="A997" t="s">
        <v>1046</v>
      </c>
      <c r="B997" t="str">
        <f>VLOOKUP(A997,'Remote work mental helath'!$A$2:$T$1001,5,)</f>
        <v>IT</v>
      </c>
      <c r="C997" t="str">
        <f>VLOOKUP(A997,'Remote work mental helath'!$A$2:$T$1001,7,)</f>
        <v>Remote</v>
      </c>
      <c r="D997">
        <f>VLOOKUP(A997,'Remote work mental helath'!$A$2:$T$1001,6,)</f>
        <v>5</v>
      </c>
      <c r="E997">
        <f>VLOOKUP(A997,'Remote work mental helath'!$A$2:$T$1001,8,)</f>
        <v>28</v>
      </c>
      <c r="F997">
        <f>VLOOKUP(A997,'Remote work mental helath'!$A$2:$T$1001,9,)</f>
        <v>14</v>
      </c>
    </row>
    <row r="998" spans="1:6" x14ac:dyDescent="0.3">
      <c r="A998" t="s">
        <v>1047</v>
      </c>
      <c r="B998" t="str">
        <f>VLOOKUP(A998,'Remote work mental helath'!$A$2:$T$1001,5,)</f>
        <v>Healthcare</v>
      </c>
      <c r="C998" t="str">
        <f>VLOOKUP(A998,'Remote work mental helath'!$A$2:$T$1001,7,)</f>
        <v>Onsite</v>
      </c>
      <c r="D998">
        <f>VLOOKUP(A998,'Remote work mental helath'!$A$2:$T$1001,6,)</f>
        <v>12</v>
      </c>
      <c r="E998">
        <f>VLOOKUP(A998,'Remote work mental helath'!$A$2:$T$1001,8,)</f>
        <v>21</v>
      </c>
      <c r="F998">
        <f>VLOOKUP(A998,'Remote work mental helath'!$A$2:$T$1001,9,)</f>
        <v>14</v>
      </c>
    </row>
    <row r="999" spans="1:6" x14ac:dyDescent="0.3">
      <c r="A999" t="s">
        <v>1048</v>
      </c>
      <c r="B999" t="str">
        <f>VLOOKUP(A999,'Remote work mental helath'!$A$2:$T$1001,5,)</f>
        <v>Manufacturing</v>
      </c>
      <c r="C999" t="str">
        <f>VLOOKUP(A999,'Remote work mental helath'!$A$2:$T$1001,7,)</f>
        <v>Hybrid</v>
      </c>
      <c r="D999">
        <f>VLOOKUP(A999,'Remote work mental helath'!$A$2:$T$1001,6,)</f>
        <v>8</v>
      </c>
      <c r="E999">
        <f>VLOOKUP(A999,'Remote work mental helath'!$A$2:$T$1001,8,)</f>
        <v>58</v>
      </c>
      <c r="F999">
        <f>VLOOKUP(A999,'Remote work mental helath'!$A$2:$T$1001,9,)</f>
        <v>15</v>
      </c>
    </row>
    <row r="1000" spans="1:6" x14ac:dyDescent="0.3">
      <c r="A1000" t="s">
        <v>1049</v>
      </c>
      <c r="B1000" t="str">
        <f>VLOOKUP(A1000,'Remote work mental helath'!$A$2:$T$1001,5,)</f>
        <v>Retail</v>
      </c>
      <c r="C1000" t="str">
        <f>VLOOKUP(A1000,'Remote work mental helath'!$A$2:$T$1001,7,)</f>
        <v>Onsite</v>
      </c>
      <c r="D1000">
        <f>VLOOKUP(A1000,'Remote work mental helath'!$A$2:$T$1001,6,)</f>
        <v>10</v>
      </c>
      <c r="E1000">
        <f>VLOOKUP(A1000,'Remote work mental helath'!$A$2:$T$1001,8,)</f>
        <v>28</v>
      </c>
      <c r="F1000">
        <f>VLOOKUP(A1000,'Remote work mental helath'!$A$2:$T$1001,9,)</f>
        <v>5</v>
      </c>
    </row>
    <row r="1001" spans="1:6" x14ac:dyDescent="0.3">
      <c r="A1001" t="s">
        <v>1050</v>
      </c>
      <c r="B1001" t="str">
        <f>VLOOKUP(A1001,'Remote work mental helath'!$A$2:$T$1001,5,)</f>
        <v>Retail</v>
      </c>
      <c r="C1001" t="str">
        <f>VLOOKUP(A1001,'Remote work mental helath'!$A$2:$T$1001,7,)</f>
        <v>Remote</v>
      </c>
      <c r="D1001">
        <f>VLOOKUP(A1001,'Remote work mental helath'!$A$2:$T$1001,6,)</f>
        <v>10</v>
      </c>
      <c r="E1001">
        <f>VLOOKUP(A1001,'Remote work mental helath'!$A$2:$T$1001,8,)</f>
        <v>41</v>
      </c>
      <c r="F1001">
        <f>VLOOKUP(A1001,'Remote work mental helath'!$A$2:$T$1001,9,)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54F1-F804-4FC9-B3B6-9220CF4E90C7}">
  <dimension ref="A1:K1001"/>
  <sheetViews>
    <sheetView workbookViewId="0">
      <selection activeCell="G12" sqref="G12"/>
    </sheetView>
  </sheetViews>
  <sheetFormatPr defaultRowHeight="14.4" x14ac:dyDescent="0.3"/>
  <cols>
    <col min="1" max="1" width="12.6640625" bestFit="1" customWidth="1"/>
    <col min="2" max="2" width="24.5546875" bestFit="1" customWidth="1"/>
    <col min="3" max="3" width="11.6640625" bestFit="1" customWidth="1"/>
    <col min="4" max="4" width="24.44140625" bestFit="1" customWidth="1"/>
    <col min="5" max="5" width="13.44140625" bestFit="1" customWidth="1"/>
    <col min="6" max="6" width="16" customWidth="1"/>
    <col min="7" max="7" width="21.77734375" bestFit="1" customWidth="1"/>
    <col min="8" max="8" width="19.88671875" bestFit="1" customWidth="1"/>
    <col min="9" max="9" width="30.5546875" bestFit="1" customWidth="1"/>
    <col min="10" max="10" width="34.109375" bestFit="1" customWidth="1"/>
    <col min="11" max="11" width="35.109375" bestFit="1" customWidth="1"/>
  </cols>
  <sheetData>
    <row r="1" spans="1:11" s="3" customFormat="1" ht="15.6" x14ac:dyDescent="0.3">
      <c r="A1" s="18" t="s">
        <v>1065</v>
      </c>
      <c r="B1" s="18" t="s">
        <v>1052</v>
      </c>
      <c r="C1" s="18" t="s">
        <v>1053</v>
      </c>
      <c r="D1" s="19" t="s">
        <v>1054</v>
      </c>
      <c r="E1" s="18" t="s">
        <v>1055</v>
      </c>
      <c r="F1" s="18" t="s">
        <v>1056</v>
      </c>
      <c r="G1" s="19" t="s">
        <v>1057</v>
      </c>
      <c r="H1" s="18" t="s">
        <v>1058</v>
      </c>
      <c r="I1" s="18" t="s">
        <v>1059</v>
      </c>
      <c r="J1" s="18" t="s">
        <v>1060</v>
      </c>
      <c r="K1" s="19" t="s">
        <v>1061</v>
      </c>
    </row>
    <row r="2" spans="1:11" x14ac:dyDescent="0.3">
      <c r="A2" t="s">
        <v>4</v>
      </c>
      <c r="B2" t="str">
        <f>VLOOKUP(A2,'Remote work mental helath'!$A$2:$T$1001,12,)</f>
        <v>Depression</v>
      </c>
      <c r="C2" t="str">
        <f>VLOOKUP(A2,'Remote work mental helath'!$A$2:$T$1001,11,)</f>
        <v>Medium</v>
      </c>
      <c r="D2">
        <f>VLOOKUP('Mental Helath'!A2,'Remote work mental helath'!$A$2:$T$1001,10,)</f>
        <v>2</v>
      </c>
      <c r="E2" t="str">
        <f>VLOOKUP(A2,'Remote work mental helath'!A2:T1001,19,FALSE)</f>
        <v>Good</v>
      </c>
      <c r="F2" t="str">
        <f>VLOOKUP(A2,'Remote work mental helath'!$A$2:$T$1001,18,)</f>
        <v>Weekly</v>
      </c>
      <c r="G2">
        <f>VLOOKUP(A2,'Remote work mental helath'!$A$2:$T$1001,15,FALSE)</f>
        <v>1</v>
      </c>
      <c r="H2" t="str">
        <f>VLOOKUP(A2,'Remote work mental helath'!$A$2:$T$1001,14,)</f>
        <v>Decrease</v>
      </c>
      <c r="I2" t="str">
        <f>VLOOKUP(A2,'Remote work mental helath'!$A$2:$T$1001,16,)</f>
        <v>Unsatisfied</v>
      </c>
      <c r="J2" t="str">
        <f>VLOOKUP(A2,'Remote work mental helath'!$A$2:$T$1001,13,)</f>
        <v>No</v>
      </c>
      <c r="K2">
        <f>VLOOKUP(A2,'Remote work mental helath'!$A$2:$T$1001,17,FALSE)</f>
        <v>1</v>
      </c>
    </row>
    <row r="3" spans="1:11" x14ac:dyDescent="0.3">
      <c r="A3" t="s">
        <v>17</v>
      </c>
      <c r="B3" t="str">
        <f>VLOOKUP(A3,'Remote work mental helath'!$A$2:$T$1001,12,)</f>
        <v>Anxiety</v>
      </c>
      <c r="C3" t="str">
        <f>VLOOKUP(A3,'Remote work mental helath'!$A$2:$T$1001,11,)</f>
        <v>Medium</v>
      </c>
      <c r="D3">
        <f>VLOOKUP('Mental Helath'!A3,'Remote work mental helath'!$A$2:$T$1001,10,)</f>
        <v>1</v>
      </c>
      <c r="E3" t="str">
        <f>VLOOKUP(A3,'Remote work mental helath'!A3:T1002,19,FALSE)</f>
        <v>Good</v>
      </c>
      <c r="F3" t="str">
        <f>VLOOKUP(A3,'Remote work mental helath'!$A$2:$T$1001,18,)</f>
        <v>Weekly</v>
      </c>
      <c r="G3">
        <f>VLOOKUP(A3,'Remote work mental helath'!$A$2:$T$1001,15,FALSE)</f>
        <v>3</v>
      </c>
      <c r="H3" t="str">
        <f>VLOOKUP(A3,'Remote work mental helath'!$A$2:$T$1001,14,)</f>
        <v>Increase</v>
      </c>
      <c r="I3" t="str">
        <f>VLOOKUP(A3,'Remote work mental helath'!$A$2:$T$1001,16,)</f>
        <v>Satisfied</v>
      </c>
      <c r="J3" t="str">
        <f>VLOOKUP(A3,'Remote work mental helath'!$A$2:$T$1001,13,)</f>
        <v>No</v>
      </c>
      <c r="K3">
        <f>VLOOKUP(A3,'Remote work mental helath'!$A$2:$T$1001,17,FALSE)</f>
        <v>2</v>
      </c>
    </row>
    <row r="4" spans="1:11" x14ac:dyDescent="0.3">
      <c r="A4" t="s">
        <v>26</v>
      </c>
      <c r="B4" t="str">
        <f>VLOOKUP(A4,'Remote work mental helath'!$A$2:$T$1001,12,)</f>
        <v>Anxiety</v>
      </c>
      <c r="C4" t="str">
        <f>VLOOKUP(A4,'Remote work mental helath'!$A$2:$T$1001,11,)</f>
        <v>Medium</v>
      </c>
      <c r="D4">
        <f>VLOOKUP('Mental Helath'!A4,'Remote work mental helath'!$A$2:$T$1001,10,)</f>
        <v>5</v>
      </c>
      <c r="E4" t="str">
        <f>VLOOKUP(A4,'Remote work mental helath'!A4:T1003,19,FALSE)</f>
        <v>Poor</v>
      </c>
      <c r="F4" t="str">
        <f>VLOOKUP(A4,'Remote work mental helath'!$A$2:$T$1001,18,)</f>
        <v>None</v>
      </c>
      <c r="G4">
        <f>VLOOKUP(A4,'Remote work mental helath'!$A$2:$T$1001,15,FALSE)</f>
        <v>4</v>
      </c>
      <c r="H4" t="str">
        <f>VLOOKUP(A4,'Remote work mental helath'!$A$2:$T$1001,14,)</f>
        <v>No Change</v>
      </c>
      <c r="I4" t="str">
        <f>VLOOKUP(A4,'Remote work mental helath'!$A$2:$T$1001,16,)</f>
        <v>Unsatisfied</v>
      </c>
      <c r="J4" t="str">
        <f>VLOOKUP(A4,'Remote work mental helath'!$A$2:$T$1001,13,)</f>
        <v>No</v>
      </c>
      <c r="K4">
        <f>VLOOKUP(A4,'Remote work mental helath'!$A$2:$T$1001,17,FALSE)</f>
        <v>5</v>
      </c>
    </row>
    <row r="5" spans="1:11" x14ac:dyDescent="0.3">
      <c r="A5" t="s">
        <v>33</v>
      </c>
      <c r="B5" t="str">
        <f>VLOOKUP(A5,'Remote work mental helath'!$A$2:$T$1001,12,)</f>
        <v>Depression</v>
      </c>
      <c r="C5" t="str">
        <f>VLOOKUP(A5,'Remote work mental helath'!$A$2:$T$1001,11,)</f>
        <v>High</v>
      </c>
      <c r="D5">
        <f>VLOOKUP('Mental Helath'!A5,'Remote work mental helath'!$A$2:$T$1001,10,)</f>
        <v>4</v>
      </c>
      <c r="E5" t="str">
        <f>VLOOKUP(A5,'Remote work mental helath'!A5:T1004,19,FALSE)</f>
        <v>Poor</v>
      </c>
      <c r="F5" t="str">
        <f>VLOOKUP(A5,'Remote work mental helath'!$A$2:$T$1001,18,)</f>
        <v>None</v>
      </c>
      <c r="G5">
        <f>VLOOKUP(A5,'Remote work mental helath'!$A$2:$T$1001,15,FALSE)</f>
        <v>3</v>
      </c>
      <c r="H5" t="str">
        <f>VLOOKUP(A5,'Remote work mental helath'!$A$2:$T$1001,14,)</f>
        <v>Increase</v>
      </c>
      <c r="I5" t="str">
        <f>VLOOKUP(A5,'Remote work mental helath'!$A$2:$T$1001,16,)</f>
        <v>Unsatisfied</v>
      </c>
      <c r="J5" t="str">
        <f>VLOOKUP(A5,'Remote work mental helath'!$A$2:$T$1001,13,)</f>
        <v>Yes</v>
      </c>
      <c r="K5">
        <f>VLOOKUP(A5,'Remote work mental helath'!$A$2:$T$1001,17,FALSE)</f>
        <v>3</v>
      </c>
    </row>
    <row r="6" spans="1:11" x14ac:dyDescent="0.3">
      <c r="A6" t="s">
        <v>39</v>
      </c>
      <c r="B6" t="str">
        <f>VLOOKUP(A6,'Remote work mental helath'!$A$2:$T$1001,12,)</f>
        <v>None</v>
      </c>
      <c r="C6" t="str">
        <f>VLOOKUP(A6,'Remote work mental helath'!$A$2:$T$1001,11,)</f>
        <v>High</v>
      </c>
      <c r="D6">
        <f>VLOOKUP('Mental Helath'!A6,'Remote work mental helath'!$A$2:$T$1001,10,)</f>
        <v>2</v>
      </c>
      <c r="E6" t="str">
        <f>VLOOKUP(A6,'Remote work mental helath'!A6:T1005,19,FALSE)</f>
        <v>Average</v>
      </c>
      <c r="F6" t="str">
        <f>VLOOKUP(A6,'Remote work mental helath'!$A$2:$T$1001,18,)</f>
        <v>Weekly</v>
      </c>
      <c r="G6">
        <f>VLOOKUP(A6,'Remote work mental helath'!$A$2:$T$1001,15,FALSE)</f>
        <v>3</v>
      </c>
      <c r="H6" t="str">
        <f>VLOOKUP(A6,'Remote work mental helath'!$A$2:$T$1001,14,)</f>
        <v>Decrease</v>
      </c>
      <c r="I6" t="str">
        <f>VLOOKUP(A6,'Remote work mental helath'!$A$2:$T$1001,16,)</f>
        <v>Unsatisfied</v>
      </c>
      <c r="J6" t="str">
        <f>VLOOKUP(A6,'Remote work mental helath'!$A$2:$T$1001,13,)</f>
        <v>Yes</v>
      </c>
      <c r="K6">
        <f>VLOOKUP(A6,'Remote work mental helath'!$A$2:$T$1001,17,FALSE)</f>
        <v>3</v>
      </c>
    </row>
    <row r="7" spans="1:11" x14ac:dyDescent="0.3">
      <c r="A7" t="s">
        <v>43</v>
      </c>
      <c r="B7" t="str">
        <f>VLOOKUP(A7,'Remote work mental helath'!$A$2:$T$1001,12,)</f>
        <v>None</v>
      </c>
      <c r="C7" t="str">
        <f>VLOOKUP(A7,'Remote work mental helath'!$A$2:$T$1001,11,)</f>
        <v>High</v>
      </c>
      <c r="D7">
        <f>VLOOKUP('Mental Helath'!A7,'Remote work mental helath'!$A$2:$T$1001,10,)</f>
        <v>4</v>
      </c>
      <c r="E7" t="str">
        <f>VLOOKUP(A7,'Remote work mental helath'!A7:T1006,19,FALSE)</f>
        <v>Average</v>
      </c>
      <c r="F7" t="str">
        <f>VLOOKUP(A7,'Remote work mental helath'!$A$2:$T$1001,18,)</f>
        <v>None</v>
      </c>
      <c r="G7">
        <f>VLOOKUP(A7,'Remote work mental helath'!$A$2:$T$1001,15,FALSE)</f>
        <v>5</v>
      </c>
      <c r="H7" t="str">
        <f>VLOOKUP(A7,'Remote work mental helath'!$A$2:$T$1001,14,)</f>
        <v>Increase</v>
      </c>
      <c r="I7" t="str">
        <f>VLOOKUP(A7,'Remote work mental helath'!$A$2:$T$1001,16,)</f>
        <v>Unsatisfied</v>
      </c>
      <c r="J7" t="str">
        <f>VLOOKUP(A7,'Remote work mental helath'!$A$2:$T$1001,13,)</f>
        <v>No</v>
      </c>
      <c r="K7">
        <f>VLOOKUP(A7,'Remote work mental helath'!$A$2:$T$1001,17,FALSE)</f>
        <v>1</v>
      </c>
    </row>
    <row r="8" spans="1:11" x14ac:dyDescent="0.3">
      <c r="A8" t="s">
        <v>45</v>
      </c>
      <c r="B8" t="str">
        <f>VLOOKUP(A8,'Remote work mental helath'!$A$2:$T$1001,12,)</f>
        <v>Anxiety</v>
      </c>
      <c r="C8" t="str">
        <f>VLOOKUP(A8,'Remote work mental helath'!$A$2:$T$1001,11,)</f>
        <v>Low</v>
      </c>
      <c r="D8">
        <f>VLOOKUP('Mental Helath'!A8,'Remote work mental helath'!$A$2:$T$1001,10,)</f>
        <v>3</v>
      </c>
      <c r="E8" t="str">
        <f>VLOOKUP(A8,'Remote work mental helath'!A8:T1007,19,FALSE)</f>
        <v>Poor</v>
      </c>
      <c r="F8" t="str">
        <f>VLOOKUP(A8,'Remote work mental helath'!$A$2:$T$1001,18,)</f>
        <v>Daily</v>
      </c>
      <c r="G8">
        <f>VLOOKUP(A8,'Remote work mental helath'!$A$2:$T$1001,15,FALSE)</f>
        <v>5</v>
      </c>
      <c r="H8" t="str">
        <f>VLOOKUP(A8,'Remote work mental helath'!$A$2:$T$1001,14,)</f>
        <v>Decrease</v>
      </c>
      <c r="I8" t="str">
        <f>VLOOKUP(A8,'Remote work mental helath'!$A$2:$T$1001,16,)</f>
        <v>Neutral</v>
      </c>
      <c r="J8" t="str">
        <f>VLOOKUP(A8,'Remote work mental helath'!$A$2:$T$1001,13,)</f>
        <v>Yes</v>
      </c>
      <c r="K8">
        <f>VLOOKUP(A8,'Remote work mental helath'!$A$2:$T$1001,17,FALSE)</f>
        <v>3</v>
      </c>
    </row>
    <row r="9" spans="1:11" x14ac:dyDescent="0.3">
      <c r="A9" t="s">
        <v>50</v>
      </c>
      <c r="B9" t="str">
        <f>VLOOKUP(A9,'Remote work mental helath'!$A$2:$T$1001,12,)</f>
        <v>Depression</v>
      </c>
      <c r="C9" t="str">
        <f>VLOOKUP(A9,'Remote work mental helath'!$A$2:$T$1001,11,)</f>
        <v>Medium</v>
      </c>
      <c r="D9">
        <f>VLOOKUP('Mental Helath'!A9,'Remote work mental helath'!$A$2:$T$1001,10,)</f>
        <v>3</v>
      </c>
      <c r="E9" t="str">
        <f>VLOOKUP(A9,'Remote work mental helath'!A9:T1008,19,FALSE)</f>
        <v>Average</v>
      </c>
      <c r="F9" t="str">
        <f>VLOOKUP(A9,'Remote work mental helath'!$A$2:$T$1001,18,)</f>
        <v>None</v>
      </c>
      <c r="G9">
        <f>VLOOKUP(A9,'Remote work mental helath'!$A$2:$T$1001,15,FALSE)</f>
        <v>5</v>
      </c>
      <c r="H9" t="str">
        <f>VLOOKUP(A9,'Remote work mental helath'!$A$2:$T$1001,14,)</f>
        <v>Decrease</v>
      </c>
      <c r="I9" t="str">
        <f>VLOOKUP(A9,'Remote work mental helath'!$A$2:$T$1001,16,)</f>
        <v>Satisfied</v>
      </c>
      <c r="J9" t="str">
        <f>VLOOKUP(A9,'Remote work mental helath'!$A$2:$T$1001,13,)</f>
        <v>No</v>
      </c>
      <c r="K9">
        <f>VLOOKUP(A9,'Remote work mental helath'!$A$2:$T$1001,17,FALSE)</f>
        <v>4</v>
      </c>
    </row>
    <row r="10" spans="1:11" x14ac:dyDescent="0.3">
      <c r="A10" t="s">
        <v>52</v>
      </c>
      <c r="B10" t="str">
        <f>VLOOKUP(A10,'Remote work mental helath'!$A$2:$T$1001,12,)</f>
        <v>None</v>
      </c>
      <c r="C10" t="str">
        <f>VLOOKUP(A10,'Remote work mental helath'!$A$2:$T$1001,11,)</f>
        <v>High</v>
      </c>
      <c r="D10">
        <f>VLOOKUP('Mental Helath'!A10,'Remote work mental helath'!$A$2:$T$1001,10,)</f>
        <v>2</v>
      </c>
      <c r="E10" t="str">
        <f>VLOOKUP(A10,'Remote work mental helath'!A10:T1009,19,FALSE)</f>
        <v>Poor</v>
      </c>
      <c r="F10" t="str">
        <f>VLOOKUP(A10,'Remote work mental helath'!$A$2:$T$1001,18,)</f>
        <v>Daily</v>
      </c>
      <c r="G10">
        <f>VLOOKUP(A10,'Remote work mental helath'!$A$2:$T$1001,15,FALSE)</f>
        <v>2</v>
      </c>
      <c r="H10" t="str">
        <f>VLOOKUP(A10,'Remote work mental helath'!$A$2:$T$1001,14,)</f>
        <v>Decrease</v>
      </c>
      <c r="I10" t="str">
        <f>VLOOKUP(A10,'Remote work mental helath'!$A$2:$T$1001,16,)</f>
        <v>Unsatisfied</v>
      </c>
      <c r="J10" t="str">
        <f>VLOOKUP(A10,'Remote work mental helath'!$A$2:$T$1001,13,)</f>
        <v>Yes</v>
      </c>
      <c r="K10">
        <f>VLOOKUP(A10,'Remote work mental helath'!$A$2:$T$1001,17,FALSE)</f>
        <v>4</v>
      </c>
    </row>
    <row r="11" spans="1:11" x14ac:dyDescent="0.3">
      <c r="A11" t="s">
        <v>53</v>
      </c>
      <c r="B11" t="str">
        <f>VLOOKUP(A11,'Remote work mental helath'!$A$2:$T$1001,12,)</f>
        <v>Depression</v>
      </c>
      <c r="C11" t="str">
        <f>VLOOKUP(A11,'Remote work mental helath'!$A$2:$T$1001,11,)</f>
        <v>Low</v>
      </c>
      <c r="D11">
        <f>VLOOKUP('Mental Helath'!A11,'Remote work mental helath'!$A$2:$T$1001,10,)</f>
        <v>1</v>
      </c>
      <c r="E11" t="str">
        <f>VLOOKUP(A11,'Remote work mental helath'!A11:T1010,19,FALSE)</f>
        <v>Poor</v>
      </c>
      <c r="F11" t="str">
        <f>VLOOKUP(A11,'Remote work mental helath'!$A$2:$T$1001,18,)</f>
        <v>Weekly</v>
      </c>
      <c r="G11">
        <f>VLOOKUP(A11,'Remote work mental helath'!$A$2:$T$1001,15,FALSE)</f>
        <v>2</v>
      </c>
      <c r="H11" t="str">
        <f>VLOOKUP(A11,'Remote work mental helath'!$A$2:$T$1001,14,)</f>
        <v>Decrease</v>
      </c>
      <c r="I11" t="str">
        <f>VLOOKUP(A11,'Remote work mental helath'!$A$2:$T$1001,16,)</f>
        <v>Neutral</v>
      </c>
      <c r="J11" t="str">
        <f>VLOOKUP(A11,'Remote work mental helath'!$A$2:$T$1001,13,)</f>
        <v>Yes</v>
      </c>
      <c r="K11">
        <f>VLOOKUP(A11,'Remote work mental helath'!$A$2:$T$1001,17,FALSE)</f>
        <v>1</v>
      </c>
    </row>
    <row r="12" spans="1:11" x14ac:dyDescent="0.3">
      <c r="A12" t="s">
        <v>54</v>
      </c>
      <c r="B12" t="str">
        <f>VLOOKUP(A12,'Remote work mental helath'!$A$2:$T$1001,12,)</f>
        <v>None</v>
      </c>
      <c r="C12" t="str">
        <f>VLOOKUP(A12,'Remote work mental helath'!$A$2:$T$1001,11,)</f>
        <v>High</v>
      </c>
      <c r="D12">
        <f>VLOOKUP('Mental Helath'!A12,'Remote work mental helath'!$A$2:$T$1001,10,)</f>
        <v>3</v>
      </c>
      <c r="E12" t="str">
        <f>VLOOKUP(A12,'Remote work mental helath'!A12:T1011,19,FALSE)</f>
        <v>Average</v>
      </c>
      <c r="F12" t="str">
        <f>VLOOKUP(A12,'Remote work mental helath'!$A$2:$T$1001,18,)</f>
        <v>Weekly</v>
      </c>
      <c r="G12">
        <f>VLOOKUP(A12,'Remote work mental helath'!$A$2:$T$1001,15,FALSE)</f>
        <v>4</v>
      </c>
      <c r="H12" t="str">
        <f>VLOOKUP(A12,'Remote work mental helath'!$A$2:$T$1001,14,)</f>
        <v>Decrease</v>
      </c>
      <c r="I12" t="str">
        <f>VLOOKUP(A12,'Remote work mental helath'!$A$2:$T$1001,16,)</f>
        <v>Satisfied</v>
      </c>
      <c r="J12" t="str">
        <f>VLOOKUP(A12,'Remote work mental helath'!$A$2:$T$1001,13,)</f>
        <v>Yes</v>
      </c>
      <c r="K12">
        <f>VLOOKUP(A12,'Remote work mental helath'!$A$2:$T$1001,17,FALSE)</f>
        <v>2</v>
      </c>
    </row>
    <row r="13" spans="1:11" x14ac:dyDescent="0.3">
      <c r="A13" t="s">
        <v>56</v>
      </c>
      <c r="B13" t="str">
        <f>VLOOKUP(A13,'Remote work mental helath'!$A$2:$T$1001,12,)</f>
        <v>None</v>
      </c>
      <c r="C13" t="str">
        <f>VLOOKUP(A13,'Remote work mental helath'!$A$2:$T$1001,11,)</f>
        <v>Medium</v>
      </c>
      <c r="D13">
        <f>VLOOKUP('Mental Helath'!A13,'Remote work mental helath'!$A$2:$T$1001,10,)</f>
        <v>4</v>
      </c>
      <c r="E13" t="str">
        <f>VLOOKUP(A13,'Remote work mental helath'!A13:T1012,19,FALSE)</f>
        <v>Poor</v>
      </c>
      <c r="F13" t="str">
        <f>VLOOKUP(A13,'Remote work mental helath'!$A$2:$T$1001,18,)</f>
        <v>Weekly</v>
      </c>
      <c r="G13">
        <f>VLOOKUP(A13,'Remote work mental helath'!$A$2:$T$1001,15,FALSE)</f>
        <v>4</v>
      </c>
      <c r="H13" t="str">
        <f>VLOOKUP(A13,'Remote work mental helath'!$A$2:$T$1001,14,)</f>
        <v>No Change</v>
      </c>
      <c r="I13" t="str">
        <f>VLOOKUP(A13,'Remote work mental helath'!$A$2:$T$1001,16,)</f>
        <v>Neutral</v>
      </c>
      <c r="J13" t="str">
        <f>VLOOKUP(A13,'Remote work mental helath'!$A$2:$T$1001,13,)</f>
        <v>Yes</v>
      </c>
      <c r="K13">
        <f>VLOOKUP(A13,'Remote work mental helath'!$A$2:$T$1001,17,FALSE)</f>
        <v>3</v>
      </c>
    </row>
    <row r="14" spans="1:11" x14ac:dyDescent="0.3">
      <c r="A14" t="s">
        <v>59</v>
      </c>
      <c r="B14" t="str">
        <f>VLOOKUP(A14,'Remote work mental helath'!$A$2:$T$1001,12,)</f>
        <v>Depression</v>
      </c>
      <c r="C14" t="str">
        <f>VLOOKUP(A14,'Remote work mental helath'!$A$2:$T$1001,11,)</f>
        <v>High</v>
      </c>
      <c r="D14">
        <f>VLOOKUP('Mental Helath'!A14,'Remote work mental helath'!$A$2:$T$1001,10,)</f>
        <v>2</v>
      </c>
      <c r="E14" t="str">
        <f>VLOOKUP(A14,'Remote work mental helath'!A14:T1013,19,FALSE)</f>
        <v>Good</v>
      </c>
      <c r="F14" t="str">
        <f>VLOOKUP(A14,'Remote work mental helath'!$A$2:$T$1001,18,)</f>
        <v>Weekly</v>
      </c>
      <c r="G14">
        <f>VLOOKUP(A14,'Remote work mental helath'!$A$2:$T$1001,15,FALSE)</f>
        <v>2</v>
      </c>
      <c r="H14" t="str">
        <f>VLOOKUP(A14,'Remote work mental helath'!$A$2:$T$1001,14,)</f>
        <v>Decrease</v>
      </c>
      <c r="I14" t="str">
        <f>VLOOKUP(A14,'Remote work mental helath'!$A$2:$T$1001,16,)</f>
        <v>Neutral</v>
      </c>
      <c r="J14" t="str">
        <f>VLOOKUP(A14,'Remote work mental helath'!$A$2:$T$1001,13,)</f>
        <v>Yes</v>
      </c>
      <c r="K14">
        <f>VLOOKUP(A14,'Remote work mental helath'!$A$2:$T$1001,17,FALSE)</f>
        <v>1</v>
      </c>
    </row>
    <row r="15" spans="1:11" x14ac:dyDescent="0.3">
      <c r="A15" t="s">
        <v>60</v>
      </c>
      <c r="B15" t="str">
        <f>VLOOKUP(A15,'Remote work mental helath'!$A$2:$T$1001,12,)</f>
        <v>Anxiety</v>
      </c>
      <c r="C15" t="str">
        <f>VLOOKUP(A15,'Remote work mental helath'!$A$2:$T$1001,11,)</f>
        <v>Low</v>
      </c>
      <c r="D15">
        <f>VLOOKUP('Mental Helath'!A15,'Remote work mental helath'!$A$2:$T$1001,10,)</f>
        <v>1</v>
      </c>
      <c r="E15" t="str">
        <f>VLOOKUP(A15,'Remote work mental helath'!A15:T1014,19,FALSE)</f>
        <v>Poor</v>
      </c>
      <c r="F15" t="str">
        <f>VLOOKUP(A15,'Remote work mental helath'!$A$2:$T$1001,18,)</f>
        <v>Weekly</v>
      </c>
      <c r="G15">
        <f>VLOOKUP(A15,'Remote work mental helath'!$A$2:$T$1001,15,FALSE)</f>
        <v>2</v>
      </c>
      <c r="H15" t="str">
        <f>VLOOKUP(A15,'Remote work mental helath'!$A$2:$T$1001,14,)</f>
        <v>Decrease</v>
      </c>
      <c r="I15" t="str">
        <f>VLOOKUP(A15,'Remote work mental helath'!$A$2:$T$1001,16,)</f>
        <v>Satisfied</v>
      </c>
      <c r="J15" t="str">
        <f>VLOOKUP(A15,'Remote work mental helath'!$A$2:$T$1001,13,)</f>
        <v>No</v>
      </c>
      <c r="K15">
        <f>VLOOKUP(A15,'Remote work mental helath'!$A$2:$T$1001,17,FALSE)</f>
        <v>5</v>
      </c>
    </row>
    <row r="16" spans="1:11" x14ac:dyDescent="0.3">
      <c r="A16" t="s">
        <v>62</v>
      </c>
      <c r="B16" t="str">
        <f>VLOOKUP(A16,'Remote work mental helath'!$A$2:$T$1001,12,)</f>
        <v>Anxiety</v>
      </c>
      <c r="C16" t="str">
        <f>VLOOKUP(A16,'Remote work mental helath'!$A$2:$T$1001,11,)</f>
        <v>High</v>
      </c>
      <c r="D16">
        <f>VLOOKUP('Mental Helath'!A16,'Remote work mental helath'!$A$2:$T$1001,10,)</f>
        <v>3</v>
      </c>
      <c r="E16" t="str">
        <f>VLOOKUP(A16,'Remote work mental helath'!A16:T1015,19,FALSE)</f>
        <v>Average</v>
      </c>
      <c r="F16" t="str">
        <f>VLOOKUP(A16,'Remote work mental helath'!$A$2:$T$1001,18,)</f>
        <v>Weekly</v>
      </c>
      <c r="G16">
        <f>VLOOKUP(A16,'Remote work mental helath'!$A$2:$T$1001,15,FALSE)</f>
        <v>5</v>
      </c>
      <c r="H16" t="str">
        <f>VLOOKUP(A16,'Remote work mental helath'!$A$2:$T$1001,14,)</f>
        <v>Decrease</v>
      </c>
      <c r="I16" t="str">
        <f>VLOOKUP(A16,'Remote work mental helath'!$A$2:$T$1001,16,)</f>
        <v>Neutral</v>
      </c>
      <c r="J16" t="str">
        <f>VLOOKUP(A16,'Remote work mental helath'!$A$2:$T$1001,13,)</f>
        <v>Yes</v>
      </c>
      <c r="K16">
        <f>VLOOKUP(A16,'Remote work mental helath'!$A$2:$T$1001,17,FALSE)</f>
        <v>3</v>
      </c>
    </row>
    <row r="17" spans="1:11" x14ac:dyDescent="0.3">
      <c r="A17" t="s">
        <v>65</v>
      </c>
      <c r="B17" t="str">
        <f>VLOOKUP(A17,'Remote work mental helath'!$A$2:$T$1001,12,)</f>
        <v>Anxiety</v>
      </c>
      <c r="C17" t="str">
        <f>VLOOKUP(A17,'Remote work mental helath'!$A$2:$T$1001,11,)</f>
        <v>Low</v>
      </c>
      <c r="D17">
        <f>VLOOKUP('Mental Helath'!A17,'Remote work mental helath'!$A$2:$T$1001,10,)</f>
        <v>4</v>
      </c>
      <c r="E17" t="str">
        <f>VLOOKUP(A17,'Remote work mental helath'!A17:T1016,19,FALSE)</f>
        <v>Average</v>
      </c>
      <c r="F17" t="str">
        <f>VLOOKUP(A17,'Remote work mental helath'!$A$2:$T$1001,18,)</f>
        <v>Weekly</v>
      </c>
      <c r="G17">
        <f>VLOOKUP(A17,'Remote work mental helath'!$A$2:$T$1001,15,FALSE)</f>
        <v>5</v>
      </c>
      <c r="H17" t="str">
        <f>VLOOKUP(A17,'Remote work mental helath'!$A$2:$T$1001,14,)</f>
        <v>No Change</v>
      </c>
      <c r="I17" t="str">
        <f>VLOOKUP(A17,'Remote work mental helath'!$A$2:$T$1001,16,)</f>
        <v>Satisfied</v>
      </c>
      <c r="J17" t="str">
        <f>VLOOKUP(A17,'Remote work mental helath'!$A$2:$T$1001,13,)</f>
        <v>No</v>
      </c>
      <c r="K17">
        <f>VLOOKUP(A17,'Remote work mental helath'!$A$2:$T$1001,17,FALSE)</f>
        <v>4</v>
      </c>
    </row>
    <row r="18" spans="1:11" x14ac:dyDescent="0.3">
      <c r="A18" t="s">
        <v>66</v>
      </c>
      <c r="B18" t="str">
        <f>VLOOKUP(A18,'Remote work mental helath'!$A$2:$T$1001,12,)</f>
        <v>None</v>
      </c>
      <c r="C18" t="str">
        <f>VLOOKUP(A18,'Remote work mental helath'!$A$2:$T$1001,11,)</f>
        <v>Medium</v>
      </c>
      <c r="D18">
        <f>VLOOKUP('Mental Helath'!A18,'Remote work mental helath'!$A$2:$T$1001,10,)</f>
        <v>2</v>
      </c>
      <c r="E18" t="str">
        <f>VLOOKUP(A18,'Remote work mental helath'!A18:T1017,19,FALSE)</f>
        <v>Good</v>
      </c>
      <c r="F18" t="str">
        <f>VLOOKUP(A18,'Remote work mental helath'!$A$2:$T$1001,18,)</f>
        <v>Weekly</v>
      </c>
      <c r="G18">
        <f>VLOOKUP(A18,'Remote work mental helath'!$A$2:$T$1001,15,FALSE)</f>
        <v>1</v>
      </c>
      <c r="H18" t="str">
        <f>VLOOKUP(A18,'Remote work mental helath'!$A$2:$T$1001,14,)</f>
        <v>No Change</v>
      </c>
      <c r="I18" t="str">
        <f>VLOOKUP(A18,'Remote work mental helath'!$A$2:$T$1001,16,)</f>
        <v>Satisfied</v>
      </c>
      <c r="J18" t="str">
        <f>VLOOKUP(A18,'Remote work mental helath'!$A$2:$T$1001,13,)</f>
        <v>No</v>
      </c>
      <c r="K18">
        <f>VLOOKUP(A18,'Remote work mental helath'!$A$2:$T$1001,17,FALSE)</f>
        <v>1</v>
      </c>
    </row>
    <row r="19" spans="1:11" x14ac:dyDescent="0.3">
      <c r="A19" t="s">
        <v>67</v>
      </c>
      <c r="B19" t="str">
        <f>VLOOKUP(A19,'Remote work mental helath'!$A$2:$T$1001,12,)</f>
        <v>Burnout</v>
      </c>
      <c r="C19" t="str">
        <f>VLOOKUP(A19,'Remote work mental helath'!$A$2:$T$1001,11,)</f>
        <v>Low</v>
      </c>
      <c r="D19">
        <f>VLOOKUP('Mental Helath'!A19,'Remote work mental helath'!$A$2:$T$1001,10,)</f>
        <v>3</v>
      </c>
      <c r="E19" t="str">
        <f>VLOOKUP(A19,'Remote work mental helath'!A19:T1018,19,FALSE)</f>
        <v>Good</v>
      </c>
      <c r="F19" t="str">
        <f>VLOOKUP(A19,'Remote work mental helath'!$A$2:$T$1001,18,)</f>
        <v>Weekly</v>
      </c>
      <c r="G19">
        <f>VLOOKUP(A19,'Remote work mental helath'!$A$2:$T$1001,15,FALSE)</f>
        <v>5</v>
      </c>
      <c r="H19" t="str">
        <f>VLOOKUP(A19,'Remote work mental helath'!$A$2:$T$1001,14,)</f>
        <v>Decrease</v>
      </c>
      <c r="I19" t="str">
        <f>VLOOKUP(A19,'Remote work mental helath'!$A$2:$T$1001,16,)</f>
        <v>Neutral</v>
      </c>
      <c r="J19" t="str">
        <f>VLOOKUP(A19,'Remote work mental helath'!$A$2:$T$1001,13,)</f>
        <v>Yes</v>
      </c>
      <c r="K19">
        <f>VLOOKUP(A19,'Remote work mental helath'!$A$2:$T$1001,17,FALSE)</f>
        <v>5</v>
      </c>
    </row>
    <row r="20" spans="1:11" x14ac:dyDescent="0.3">
      <c r="A20" t="s">
        <v>69</v>
      </c>
      <c r="B20" t="str">
        <f>VLOOKUP(A20,'Remote work mental helath'!$A$2:$T$1001,12,)</f>
        <v>Anxiety</v>
      </c>
      <c r="C20" t="str">
        <f>VLOOKUP(A20,'Remote work mental helath'!$A$2:$T$1001,11,)</f>
        <v>High</v>
      </c>
      <c r="D20">
        <f>VLOOKUP('Mental Helath'!A20,'Remote work mental helath'!$A$2:$T$1001,10,)</f>
        <v>1</v>
      </c>
      <c r="E20" t="str">
        <f>VLOOKUP(A20,'Remote work mental helath'!A20:T1019,19,FALSE)</f>
        <v>Good</v>
      </c>
      <c r="F20" t="str">
        <f>VLOOKUP(A20,'Remote work mental helath'!$A$2:$T$1001,18,)</f>
        <v>Weekly</v>
      </c>
      <c r="G20">
        <f>VLOOKUP(A20,'Remote work mental helath'!$A$2:$T$1001,15,FALSE)</f>
        <v>3</v>
      </c>
      <c r="H20" t="str">
        <f>VLOOKUP(A20,'Remote work mental helath'!$A$2:$T$1001,14,)</f>
        <v>No Change</v>
      </c>
      <c r="I20" t="str">
        <f>VLOOKUP(A20,'Remote work mental helath'!$A$2:$T$1001,16,)</f>
        <v>Satisfied</v>
      </c>
      <c r="J20" t="str">
        <f>VLOOKUP(A20,'Remote work mental helath'!$A$2:$T$1001,13,)</f>
        <v>No</v>
      </c>
      <c r="K20">
        <f>VLOOKUP(A20,'Remote work mental helath'!$A$2:$T$1001,17,FALSE)</f>
        <v>2</v>
      </c>
    </row>
    <row r="21" spans="1:11" x14ac:dyDescent="0.3">
      <c r="A21" t="s">
        <v>70</v>
      </c>
      <c r="B21" t="str">
        <f>VLOOKUP(A21,'Remote work mental helath'!$A$2:$T$1001,12,)</f>
        <v>Anxiety</v>
      </c>
      <c r="C21" t="str">
        <f>VLOOKUP(A21,'Remote work mental helath'!$A$2:$T$1001,11,)</f>
        <v>Medium</v>
      </c>
      <c r="D21">
        <f>VLOOKUP('Mental Helath'!A21,'Remote work mental helath'!$A$2:$T$1001,10,)</f>
        <v>3</v>
      </c>
      <c r="E21" t="str">
        <f>VLOOKUP(A21,'Remote work mental helath'!A21:T1020,19,FALSE)</f>
        <v>Average</v>
      </c>
      <c r="F21" t="str">
        <f>VLOOKUP(A21,'Remote work mental helath'!$A$2:$T$1001,18,)</f>
        <v>Daily</v>
      </c>
      <c r="G21">
        <f>VLOOKUP(A21,'Remote work mental helath'!$A$2:$T$1001,15,FALSE)</f>
        <v>4</v>
      </c>
      <c r="H21" t="str">
        <f>VLOOKUP(A21,'Remote work mental helath'!$A$2:$T$1001,14,)</f>
        <v>Decrease</v>
      </c>
      <c r="I21" t="str">
        <f>VLOOKUP(A21,'Remote work mental helath'!$A$2:$T$1001,16,)</f>
        <v>Neutral</v>
      </c>
      <c r="J21" t="str">
        <f>VLOOKUP(A21,'Remote work mental helath'!$A$2:$T$1001,13,)</f>
        <v>No</v>
      </c>
      <c r="K21">
        <f>VLOOKUP(A21,'Remote work mental helath'!$A$2:$T$1001,17,FALSE)</f>
        <v>1</v>
      </c>
    </row>
    <row r="22" spans="1:11" x14ac:dyDescent="0.3">
      <c r="A22" t="s">
        <v>71</v>
      </c>
      <c r="B22" t="str">
        <f>VLOOKUP(A22,'Remote work mental helath'!$A$2:$T$1001,12,)</f>
        <v>Burnout</v>
      </c>
      <c r="C22" t="str">
        <f>VLOOKUP(A22,'Remote work mental helath'!$A$2:$T$1001,11,)</f>
        <v>Low</v>
      </c>
      <c r="D22">
        <f>VLOOKUP('Mental Helath'!A22,'Remote work mental helath'!$A$2:$T$1001,10,)</f>
        <v>2</v>
      </c>
      <c r="E22" t="str">
        <f>VLOOKUP(A22,'Remote work mental helath'!A22:T1021,19,FALSE)</f>
        <v>Poor</v>
      </c>
      <c r="F22" t="str">
        <f>VLOOKUP(A22,'Remote work mental helath'!$A$2:$T$1001,18,)</f>
        <v>Weekly</v>
      </c>
      <c r="G22">
        <f>VLOOKUP(A22,'Remote work mental helath'!$A$2:$T$1001,15,FALSE)</f>
        <v>2</v>
      </c>
      <c r="H22" t="str">
        <f>VLOOKUP(A22,'Remote work mental helath'!$A$2:$T$1001,14,)</f>
        <v>Increase</v>
      </c>
      <c r="I22" t="str">
        <f>VLOOKUP(A22,'Remote work mental helath'!$A$2:$T$1001,16,)</f>
        <v>Satisfied</v>
      </c>
      <c r="J22" t="str">
        <f>VLOOKUP(A22,'Remote work mental helath'!$A$2:$T$1001,13,)</f>
        <v>No</v>
      </c>
      <c r="K22">
        <f>VLOOKUP(A22,'Remote work mental helath'!$A$2:$T$1001,17,FALSE)</f>
        <v>1</v>
      </c>
    </row>
    <row r="23" spans="1:11" x14ac:dyDescent="0.3">
      <c r="A23" t="s">
        <v>72</v>
      </c>
      <c r="B23" t="str">
        <f>VLOOKUP(A23,'Remote work mental helath'!$A$2:$T$1001,12,)</f>
        <v>Depression</v>
      </c>
      <c r="C23" t="str">
        <f>VLOOKUP(A23,'Remote work mental helath'!$A$2:$T$1001,11,)</f>
        <v>Medium</v>
      </c>
      <c r="D23">
        <f>VLOOKUP('Mental Helath'!A23,'Remote work mental helath'!$A$2:$T$1001,10,)</f>
        <v>3</v>
      </c>
      <c r="E23" t="str">
        <f>VLOOKUP(A23,'Remote work mental helath'!A23:T1022,19,FALSE)</f>
        <v>Poor</v>
      </c>
      <c r="F23" t="str">
        <f>VLOOKUP(A23,'Remote work mental helath'!$A$2:$T$1001,18,)</f>
        <v>Daily</v>
      </c>
      <c r="G23">
        <f>VLOOKUP(A23,'Remote work mental helath'!$A$2:$T$1001,15,FALSE)</f>
        <v>3</v>
      </c>
      <c r="H23" t="str">
        <f>VLOOKUP(A23,'Remote work mental helath'!$A$2:$T$1001,14,)</f>
        <v>Decrease</v>
      </c>
      <c r="I23" t="str">
        <f>VLOOKUP(A23,'Remote work mental helath'!$A$2:$T$1001,16,)</f>
        <v>Unsatisfied</v>
      </c>
      <c r="J23" t="str">
        <f>VLOOKUP(A23,'Remote work mental helath'!$A$2:$T$1001,13,)</f>
        <v>No</v>
      </c>
      <c r="K23">
        <f>VLOOKUP(A23,'Remote work mental helath'!$A$2:$T$1001,17,FALSE)</f>
        <v>4</v>
      </c>
    </row>
    <row r="24" spans="1:11" x14ac:dyDescent="0.3">
      <c r="A24" t="s">
        <v>73</v>
      </c>
      <c r="B24" t="str">
        <f>VLOOKUP(A24,'Remote work mental helath'!$A$2:$T$1001,12,)</f>
        <v>Depression</v>
      </c>
      <c r="C24" t="str">
        <f>VLOOKUP(A24,'Remote work mental helath'!$A$2:$T$1001,11,)</f>
        <v>Low</v>
      </c>
      <c r="D24">
        <f>VLOOKUP('Mental Helath'!A24,'Remote work mental helath'!$A$2:$T$1001,10,)</f>
        <v>3</v>
      </c>
      <c r="E24" t="str">
        <f>VLOOKUP(A24,'Remote work mental helath'!A24:T1023,19,FALSE)</f>
        <v>Average</v>
      </c>
      <c r="F24" t="str">
        <f>VLOOKUP(A24,'Remote work mental helath'!$A$2:$T$1001,18,)</f>
        <v>Daily</v>
      </c>
      <c r="G24">
        <f>VLOOKUP(A24,'Remote work mental helath'!$A$2:$T$1001,15,FALSE)</f>
        <v>3</v>
      </c>
      <c r="H24" t="str">
        <f>VLOOKUP(A24,'Remote work mental helath'!$A$2:$T$1001,14,)</f>
        <v>Increase</v>
      </c>
      <c r="I24" t="str">
        <f>VLOOKUP(A24,'Remote work mental helath'!$A$2:$T$1001,16,)</f>
        <v>Satisfied</v>
      </c>
      <c r="J24" t="str">
        <f>VLOOKUP(A24,'Remote work mental helath'!$A$2:$T$1001,13,)</f>
        <v>Yes</v>
      </c>
      <c r="K24">
        <f>VLOOKUP(A24,'Remote work mental helath'!$A$2:$T$1001,17,FALSE)</f>
        <v>4</v>
      </c>
    </row>
    <row r="25" spans="1:11" x14ac:dyDescent="0.3">
      <c r="A25" t="s">
        <v>74</v>
      </c>
      <c r="B25" t="str">
        <f>VLOOKUP(A25,'Remote work mental helath'!$A$2:$T$1001,12,)</f>
        <v>Depression</v>
      </c>
      <c r="C25" t="str">
        <f>VLOOKUP(A25,'Remote work mental helath'!$A$2:$T$1001,11,)</f>
        <v>Low</v>
      </c>
      <c r="D25">
        <f>VLOOKUP('Mental Helath'!A25,'Remote work mental helath'!$A$2:$T$1001,10,)</f>
        <v>5</v>
      </c>
      <c r="E25" t="str">
        <f>VLOOKUP(A25,'Remote work mental helath'!A25:T1024,19,FALSE)</f>
        <v>Poor</v>
      </c>
      <c r="F25" t="str">
        <f>VLOOKUP(A25,'Remote work mental helath'!$A$2:$T$1001,18,)</f>
        <v>Weekly</v>
      </c>
      <c r="G25">
        <f>VLOOKUP(A25,'Remote work mental helath'!$A$2:$T$1001,15,FALSE)</f>
        <v>2</v>
      </c>
      <c r="H25" t="str">
        <f>VLOOKUP(A25,'Remote work mental helath'!$A$2:$T$1001,14,)</f>
        <v>No Change</v>
      </c>
      <c r="I25" t="str">
        <f>VLOOKUP(A25,'Remote work mental helath'!$A$2:$T$1001,16,)</f>
        <v>Neutral</v>
      </c>
      <c r="J25" t="str">
        <f>VLOOKUP(A25,'Remote work mental helath'!$A$2:$T$1001,13,)</f>
        <v>No</v>
      </c>
      <c r="K25">
        <f>VLOOKUP(A25,'Remote work mental helath'!$A$2:$T$1001,17,FALSE)</f>
        <v>3</v>
      </c>
    </row>
    <row r="26" spans="1:11" x14ac:dyDescent="0.3">
      <c r="A26" t="s">
        <v>75</v>
      </c>
      <c r="B26" t="str">
        <f>VLOOKUP(A26,'Remote work mental helath'!$A$2:$T$1001,12,)</f>
        <v>Burnout</v>
      </c>
      <c r="C26" t="str">
        <f>VLOOKUP(A26,'Remote work mental helath'!$A$2:$T$1001,11,)</f>
        <v>Low</v>
      </c>
      <c r="D26">
        <f>VLOOKUP('Mental Helath'!A26,'Remote work mental helath'!$A$2:$T$1001,10,)</f>
        <v>3</v>
      </c>
      <c r="E26" t="str">
        <f>VLOOKUP(A26,'Remote work mental helath'!A26:T1025,19,FALSE)</f>
        <v>Average</v>
      </c>
      <c r="F26" t="str">
        <f>VLOOKUP(A26,'Remote work mental helath'!$A$2:$T$1001,18,)</f>
        <v>Daily</v>
      </c>
      <c r="G26">
        <f>VLOOKUP(A26,'Remote work mental helath'!$A$2:$T$1001,15,FALSE)</f>
        <v>2</v>
      </c>
      <c r="H26" t="str">
        <f>VLOOKUP(A26,'Remote work mental helath'!$A$2:$T$1001,14,)</f>
        <v>Increase</v>
      </c>
      <c r="I26" t="str">
        <f>VLOOKUP(A26,'Remote work mental helath'!$A$2:$T$1001,16,)</f>
        <v>Neutral</v>
      </c>
      <c r="J26" t="str">
        <f>VLOOKUP(A26,'Remote work mental helath'!$A$2:$T$1001,13,)</f>
        <v>No</v>
      </c>
      <c r="K26">
        <f>VLOOKUP(A26,'Remote work mental helath'!$A$2:$T$1001,17,FALSE)</f>
        <v>4</v>
      </c>
    </row>
    <row r="27" spans="1:11" x14ac:dyDescent="0.3">
      <c r="A27" t="s">
        <v>76</v>
      </c>
      <c r="B27" t="str">
        <f>VLOOKUP(A27,'Remote work mental helath'!$A$2:$T$1001,12,)</f>
        <v>Burnout</v>
      </c>
      <c r="C27" t="str">
        <f>VLOOKUP(A27,'Remote work mental helath'!$A$2:$T$1001,11,)</f>
        <v>High</v>
      </c>
      <c r="D27">
        <f>VLOOKUP('Mental Helath'!A27,'Remote work mental helath'!$A$2:$T$1001,10,)</f>
        <v>4</v>
      </c>
      <c r="E27" t="str">
        <f>VLOOKUP(A27,'Remote work mental helath'!A27:T1026,19,FALSE)</f>
        <v>Good</v>
      </c>
      <c r="F27" t="str">
        <f>VLOOKUP(A27,'Remote work mental helath'!$A$2:$T$1001,18,)</f>
        <v>None</v>
      </c>
      <c r="G27">
        <f>VLOOKUP(A27,'Remote work mental helath'!$A$2:$T$1001,15,FALSE)</f>
        <v>4</v>
      </c>
      <c r="H27" t="str">
        <f>VLOOKUP(A27,'Remote work mental helath'!$A$2:$T$1001,14,)</f>
        <v>No Change</v>
      </c>
      <c r="I27" t="str">
        <f>VLOOKUP(A27,'Remote work mental helath'!$A$2:$T$1001,16,)</f>
        <v>Neutral</v>
      </c>
      <c r="J27" t="str">
        <f>VLOOKUP(A27,'Remote work mental helath'!$A$2:$T$1001,13,)</f>
        <v>No</v>
      </c>
      <c r="K27">
        <f>VLOOKUP(A27,'Remote work mental helath'!$A$2:$T$1001,17,FALSE)</f>
        <v>3</v>
      </c>
    </row>
    <row r="28" spans="1:11" x14ac:dyDescent="0.3">
      <c r="A28" t="s">
        <v>77</v>
      </c>
      <c r="B28" t="str">
        <f>VLOOKUP(A28,'Remote work mental helath'!$A$2:$T$1001,12,)</f>
        <v>None</v>
      </c>
      <c r="C28" t="str">
        <f>VLOOKUP(A28,'Remote work mental helath'!$A$2:$T$1001,11,)</f>
        <v>High</v>
      </c>
      <c r="D28">
        <f>VLOOKUP('Mental Helath'!A28,'Remote work mental helath'!$A$2:$T$1001,10,)</f>
        <v>3</v>
      </c>
      <c r="E28" t="str">
        <f>VLOOKUP(A28,'Remote work mental helath'!A28:T1027,19,FALSE)</f>
        <v>Poor</v>
      </c>
      <c r="F28" t="str">
        <f>VLOOKUP(A28,'Remote work mental helath'!$A$2:$T$1001,18,)</f>
        <v>None</v>
      </c>
      <c r="G28">
        <f>VLOOKUP(A28,'Remote work mental helath'!$A$2:$T$1001,15,FALSE)</f>
        <v>4</v>
      </c>
      <c r="H28" t="str">
        <f>VLOOKUP(A28,'Remote work mental helath'!$A$2:$T$1001,14,)</f>
        <v>Decrease</v>
      </c>
      <c r="I28" t="str">
        <f>VLOOKUP(A28,'Remote work mental helath'!$A$2:$T$1001,16,)</f>
        <v>Unsatisfied</v>
      </c>
      <c r="J28" t="str">
        <f>VLOOKUP(A28,'Remote work mental helath'!$A$2:$T$1001,13,)</f>
        <v>No</v>
      </c>
      <c r="K28">
        <f>VLOOKUP(A28,'Remote work mental helath'!$A$2:$T$1001,17,FALSE)</f>
        <v>4</v>
      </c>
    </row>
    <row r="29" spans="1:11" x14ac:dyDescent="0.3">
      <c r="A29" t="s">
        <v>78</v>
      </c>
      <c r="B29" t="str">
        <f>VLOOKUP(A29,'Remote work mental helath'!$A$2:$T$1001,12,)</f>
        <v>Depression</v>
      </c>
      <c r="C29" t="str">
        <f>VLOOKUP(A29,'Remote work mental helath'!$A$2:$T$1001,11,)</f>
        <v>Low</v>
      </c>
      <c r="D29">
        <f>VLOOKUP('Mental Helath'!A29,'Remote work mental helath'!$A$2:$T$1001,10,)</f>
        <v>4</v>
      </c>
      <c r="E29" t="str">
        <f>VLOOKUP(A29,'Remote work mental helath'!A29:T1028,19,FALSE)</f>
        <v>Poor</v>
      </c>
      <c r="F29" t="str">
        <f>VLOOKUP(A29,'Remote work mental helath'!$A$2:$T$1001,18,)</f>
        <v>None</v>
      </c>
      <c r="G29">
        <f>VLOOKUP(A29,'Remote work mental helath'!$A$2:$T$1001,15,FALSE)</f>
        <v>4</v>
      </c>
      <c r="H29" t="str">
        <f>VLOOKUP(A29,'Remote work mental helath'!$A$2:$T$1001,14,)</f>
        <v>No Change</v>
      </c>
      <c r="I29" t="str">
        <f>VLOOKUP(A29,'Remote work mental helath'!$A$2:$T$1001,16,)</f>
        <v>Unsatisfied</v>
      </c>
      <c r="J29" t="str">
        <f>VLOOKUP(A29,'Remote work mental helath'!$A$2:$T$1001,13,)</f>
        <v>No</v>
      </c>
      <c r="K29">
        <f>VLOOKUP(A29,'Remote work mental helath'!$A$2:$T$1001,17,FALSE)</f>
        <v>4</v>
      </c>
    </row>
    <row r="30" spans="1:11" x14ac:dyDescent="0.3">
      <c r="A30" t="s">
        <v>79</v>
      </c>
      <c r="B30" t="str">
        <f>VLOOKUP(A30,'Remote work mental helath'!$A$2:$T$1001,12,)</f>
        <v>Depression</v>
      </c>
      <c r="C30" t="str">
        <f>VLOOKUP(A30,'Remote work mental helath'!$A$2:$T$1001,11,)</f>
        <v>High</v>
      </c>
      <c r="D30">
        <f>VLOOKUP('Mental Helath'!A30,'Remote work mental helath'!$A$2:$T$1001,10,)</f>
        <v>3</v>
      </c>
      <c r="E30" t="str">
        <f>VLOOKUP(A30,'Remote work mental helath'!A30:T1029,19,FALSE)</f>
        <v>Poor</v>
      </c>
      <c r="F30" t="str">
        <f>VLOOKUP(A30,'Remote work mental helath'!$A$2:$T$1001,18,)</f>
        <v>Daily</v>
      </c>
      <c r="G30">
        <f>VLOOKUP(A30,'Remote work mental helath'!$A$2:$T$1001,15,FALSE)</f>
        <v>4</v>
      </c>
      <c r="H30" t="str">
        <f>VLOOKUP(A30,'Remote work mental helath'!$A$2:$T$1001,14,)</f>
        <v>Decrease</v>
      </c>
      <c r="I30" t="str">
        <f>VLOOKUP(A30,'Remote work mental helath'!$A$2:$T$1001,16,)</f>
        <v>Satisfied</v>
      </c>
      <c r="J30" t="str">
        <f>VLOOKUP(A30,'Remote work mental helath'!$A$2:$T$1001,13,)</f>
        <v>Yes</v>
      </c>
      <c r="K30">
        <f>VLOOKUP(A30,'Remote work mental helath'!$A$2:$T$1001,17,FALSE)</f>
        <v>1</v>
      </c>
    </row>
    <row r="31" spans="1:11" x14ac:dyDescent="0.3">
      <c r="A31" t="s">
        <v>80</v>
      </c>
      <c r="B31" t="str">
        <f>VLOOKUP(A31,'Remote work mental helath'!$A$2:$T$1001,12,)</f>
        <v>Depression</v>
      </c>
      <c r="C31" t="str">
        <f>VLOOKUP(A31,'Remote work mental helath'!$A$2:$T$1001,11,)</f>
        <v>High</v>
      </c>
      <c r="D31">
        <f>VLOOKUP('Mental Helath'!A31,'Remote work mental helath'!$A$2:$T$1001,10,)</f>
        <v>2</v>
      </c>
      <c r="E31" t="str">
        <f>VLOOKUP(A31,'Remote work mental helath'!A31:T1030,19,FALSE)</f>
        <v>Poor</v>
      </c>
      <c r="F31" t="str">
        <f>VLOOKUP(A31,'Remote work mental helath'!$A$2:$T$1001,18,)</f>
        <v>Weekly</v>
      </c>
      <c r="G31">
        <f>VLOOKUP(A31,'Remote work mental helath'!$A$2:$T$1001,15,FALSE)</f>
        <v>3</v>
      </c>
      <c r="H31" t="str">
        <f>VLOOKUP(A31,'Remote work mental helath'!$A$2:$T$1001,14,)</f>
        <v>No Change</v>
      </c>
      <c r="I31" t="str">
        <f>VLOOKUP(A31,'Remote work mental helath'!$A$2:$T$1001,16,)</f>
        <v>Satisfied</v>
      </c>
      <c r="J31" t="str">
        <f>VLOOKUP(A31,'Remote work mental helath'!$A$2:$T$1001,13,)</f>
        <v>Yes</v>
      </c>
      <c r="K31">
        <f>VLOOKUP(A31,'Remote work mental helath'!$A$2:$T$1001,17,FALSE)</f>
        <v>1</v>
      </c>
    </row>
    <row r="32" spans="1:11" x14ac:dyDescent="0.3">
      <c r="A32" t="s">
        <v>81</v>
      </c>
      <c r="B32" t="str">
        <f>VLOOKUP(A32,'Remote work mental helath'!$A$2:$T$1001,12,)</f>
        <v>Anxiety</v>
      </c>
      <c r="C32" t="str">
        <f>VLOOKUP(A32,'Remote work mental helath'!$A$2:$T$1001,11,)</f>
        <v>Low</v>
      </c>
      <c r="D32">
        <f>VLOOKUP('Mental Helath'!A32,'Remote work mental helath'!$A$2:$T$1001,10,)</f>
        <v>1</v>
      </c>
      <c r="E32" t="str">
        <f>VLOOKUP(A32,'Remote work mental helath'!A32:T1031,19,FALSE)</f>
        <v>Average</v>
      </c>
      <c r="F32" t="str">
        <f>VLOOKUP(A32,'Remote work mental helath'!$A$2:$T$1001,18,)</f>
        <v>Weekly</v>
      </c>
      <c r="G32">
        <f>VLOOKUP(A32,'Remote work mental helath'!$A$2:$T$1001,15,FALSE)</f>
        <v>5</v>
      </c>
      <c r="H32" t="str">
        <f>VLOOKUP(A32,'Remote work mental helath'!$A$2:$T$1001,14,)</f>
        <v>No Change</v>
      </c>
      <c r="I32" t="str">
        <f>VLOOKUP(A32,'Remote work mental helath'!$A$2:$T$1001,16,)</f>
        <v>Neutral</v>
      </c>
      <c r="J32" t="str">
        <f>VLOOKUP(A32,'Remote work mental helath'!$A$2:$T$1001,13,)</f>
        <v>Yes</v>
      </c>
      <c r="K32">
        <f>VLOOKUP(A32,'Remote work mental helath'!$A$2:$T$1001,17,FALSE)</f>
        <v>2</v>
      </c>
    </row>
    <row r="33" spans="1:11" x14ac:dyDescent="0.3">
      <c r="A33" t="s">
        <v>82</v>
      </c>
      <c r="B33" t="str">
        <f>VLOOKUP(A33,'Remote work mental helath'!$A$2:$T$1001,12,)</f>
        <v>Depression</v>
      </c>
      <c r="C33" t="str">
        <f>VLOOKUP(A33,'Remote work mental helath'!$A$2:$T$1001,11,)</f>
        <v>Medium</v>
      </c>
      <c r="D33">
        <f>VLOOKUP('Mental Helath'!A33,'Remote work mental helath'!$A$2:$T$1001,10,)</f>
        <v>2</v>
      </c>
      <c r="E33" t="str">
        <f>VLOOKUP(A33,'Remote work mental helath'!A33:T1032,19,FALSE)</f>
        <v>Average</v>
      </c>
      <c r="F33" t="str">
        <f>VLOOKUP(A33,'Remote work mental helath'!$A$2:$T$1001,18,)</f>
        <v>None</v>
      </c>
      <c r="G33">
        <f>VLOOKUP(A33,'Remote work mental helath'!$A$2:$T$1001,15,FALSE)</f>
        <v>3</v>
      </c>
      <c r="H33" t="str">
        <f>VLOOKUP(A33,'Remote work mental helath'!$A$2:$T$1001,14,)</f>
        <v>Decrease</v>
      </c>
      <c r="I33" t="str">
        <f>VLOOKUP(A33,'Remote work mental helath'!$A$2:$T$1001,16,)</f>
        <v>Satisfied</v>
      </c>
      <c r="J33" t="str">
        <f>VLOOKUP(A33,'Remote work mental helath'!$A$2:$T$1001,13,)</f>
        <v>No</v>
      </c>
      <c r="K33">
        <f>VLOOKUP(A33,'Remote work mental helath'!$A$2:$T$1001,17,FALSE)</f>
        <v>5</v>
      </c>
    </row>
    <row r="34" spans="1:11" x14ac:dyDescent="0.3">
      <c r="A34" t="s">
        <v>83</v>
      </c>
      <c r="B34" t="str">
        <f>VLOOKUP(A34,'Remote work mental helath'!$A$2:$T$1001,12,)</f>
        <v>Anxiety</v>
      </c>
      <c r="C34" t="str">
        <f>VLOOKUP(A34,'Remote work mental helath'!$A$2:$T$1001,11,)</f>
        <v>Medium</v>
      </c>
      <c r="D34">
        <f>VLOOKUP('Mental Helath'!A34,'Remote work mental helath'!$A$2:$T$1001,10,)</f>
        <v>2</v>
      </c>
      <c r="E34" t="str">
        <f>VLOOKUP(A34,'Remote work mental helath'!A34:T1033,19,FALSE)</f>
        <v>Good</v>
      </c>
      <c r="F34" t="str">
        <f>VLOOKUP(A34,'Remote work mental helath'!$A$2:$T$1001,18,)</f>
        <v>Daily</v>
      </c>
      <c r="G34">
        <f>VLOOKUP(A34,'Remote work mental helath'!$A$2:$T$1001,15,FALSE)</f>
        <v>5</v>
      </c>
      <c r="H34" t="str">
        <f>VLOOKUP(A34,'Remote work mental helath'!$A$2:$T$1001,14,)</f>
        <v>Decrease</v>
      </c>
      <c r="I34" t="str">
        <f>VLOOKUP(A34,'Remote work mental helath'!$A$2:$T$1001,16,)</f>
        <v>Satisfied</v>
      </c>
      <c r="J34" t="str">
        <f>VLOOKUP(A34,'Remote work mental helath'!$A$2:$T$1001,13,)</f>
        <v>Yes</v>
      </c>
      <c r="K34">
        <f>VLOOKUP(A34,'Remote work mental helath'!$A$2:$T$1001,17,FALSE)</f>
        <v>5</v>
      </c>
    </row>
    <row r="35" spans="1:11" x14ac:dyDescent="0.3">
      <c r="A35" t="s">
        <v>84</v>
      </c>
      <c r="B35" t="str">
        <f>VLOOKUP(A35,'Remote work mental helath'!$A$2:$T$1001,12,)</f>
        <v>Anxiety</v>
      </c>
      <c r="C35" t="str">
        <f>VLOOKUP(A35,'Remote work mental helath'!$A$2:$T$1001,11,)</f>
        <v>Medium</v>
      </c>
      <c r="D35">
        <f>VLOOKUP('Mental Helath'!A35,'Remote work mental helath'!$A$2:$T$1001,10,)</f>
        <v>3</v>
      </c>
      <c r="E35" t="str">
        <f>VLOOKUP(A35,'Remote work mental helath'!A35:T1034,19,FALSE)</f>
        <v>Average</v>
      </c>
      <c r="F35" t="str">
        <f>VLOOKUP(A35,'Remote work mental helath'!$A$2:$T$1001,18,)</f>
        <v>Daily</v>
      </c>
      <c r="G35">
        <f>VLOOKUP(A35,'Remote work mental helath'!$A$2:$T$1001,15,FALSE)</f>
        <v>5</v>
      </c>
      <c r="H35" t="str">
        <f>VLOOKUP(A35,'Remote work mental helath'!$A$2:$T$1001,14,)</f>
        <v>No Change</v>
      </c>
      <c r="I35" t="str">
        <f>VLOOKUP(A35,'Remote work mental helath'!$A$2:$T$1001,16,)</f>
        <v>Neutral</v>
      </c>
      <c r="J35" t="str">
        <f>VLOOKUP(A35,'Remote work mental helath'!$A$2:$T$1001,13,)</f>
        <v>Yes</v>
      </c>
      <c r="K35">
        <f>VLOOKUP(A35,'Remote work mental helath'!$A$2:$T$1001,17,FALSE)</f>
        <v>4</v>
      </c>
    </row>
    <row r="36" spans="1:11" x14ac:dyDescent="0.3">
      <c r="A36" t="s">
        <v>85</v>
      </c>
      <c r="B36" t="str">
        <f>VLOOKUP(A36,'Remote work mental helath'!$A$2:$T$1001,12,)</f>
        <v>Depression</v>
      </c>
      <c r="C36" t="str">
        <f>VLOOKUP(A36,'Remote work mental helath'!$A$2:$T$1001,11,)</f>
        <v>Medium</v>
      </c>
      <c r="D36">
        <f>VLOOKUP('Mental Helath'!A36,'Remote work mental helath'!$A$2:$T$1001,10,)</f>
        <v>4</v>
      </c>
      <c r="E36" t="str">
        <f>VLOOKUP(A36,'Remote work mental helath'!A36:T1035,19,FALSE)</f>
        <v>Average</v>
      </c>
      <c r="F36" t="str">
        <f>VLOOKUP(A36,'Remote work mental helath'!$A$2:$T$1001,18,)</f>
        <v>Weekly</v>
      </c>
      <c r="G36">
        <f>VLOOKUP(A36,'Remote work mental helath'!$A$2:$T$1001,15,FALSE)</f>
        <v>1</v>
      </c>
      <c r="H36" t="str">
        <f>VLOOKUP(A36,'Remote work mental helath'!$A$2:$T$1001,14,)</f>
        <v>No Change</v>
      </c>
      <c r="I36" t="str">
        <f>VLOOKUP(A36,'Remote work mental helath'!$A$2:$T$1001,16,)</f>
        <v>Unsatisfied</v>
      </c>
      <c r="J36" t="str">
        <f>VLOOKUP(A36,'Remote work mental helath'!$A$2:$T$1001,13,)</f>
        <v>No</v>
      </c>
      <c r="K36">
        <f>VLOOKUP(A36,'Remote work mental helath'!$A$2:$T$1001,17,FALSE)</f>
        <v>3</v>
      </c>
    </row>
    <row r="37" spans="1:11" x14ac:dyDescent="0.3">
      <c r="A37" t="s">
        <v>86</v>
      </c>
      <c r="B37" t="str">
        <f>VLOOKUP(A37,'Remote work mental helath'!$A$2:$T$1001,12,)</f>
        <v>None</v>
      </c>
      <c r="C37" t="str">
        <f>VLOOKUP(A37,'Remote work mental helath'!$A$2:$T$1001,11,)</f>
        <v>Low</v>
      </c>
      <c r="D37">
        <f>VLOOKUP('Mental Helath'!A37,'Remote work mental helath'!$A$2:$T$1001,10,)</f>
        <v>4</v>
      </c>
      <c r="E37" t="str">
        <f>VLOOKUP(A37,'Remote work mental helath'!A37:T1036,19,FALSE)</f>
        <v>Poor</v>
      </c>
      <c r="F37" t="str">
        <f>VLOOKUP(A37,'Remote work mental helath'!$A$2:$T$1001,18,)</f>
        <v>None</v>
      </c>
      <c r="G37">
        <f>VLOOKUP(A37,'Remote work mental helath'!$A$2:$T$1001,15,FALSE)</f>
        <v>1</v>
      </c>
      <c r="H37" t="str">
        <f>VLOOKUP(A37,'Remote work mental helath'!$A$2:$T$1001,14,)</f>
        <v>No Change</v>
      </c>
      <c r="I37" t="str">
        <f>VLOOKUP(A37,'Remote work mental helath'!$A$2:$T$1001,16,)</f>
        <v>Neutral</v>
      </c>
      <c r="J37" t="str">
        <f>VLOOKUP(A37,'Remote work mental helath'!$A$2:$T$1001,13,)</f>
        <v>Yes</v>
      </c>
      <c r="K37">
        <f>VLOOKUP(A37,'Remote work mental helath'!$A$2:$T$1001,17,FALSE)</f>
        <v>5</v>
      </c>
    </row>
    <row r="38" spans="1:11" x14ac:dyDescent="0.3">
      <c r="A38" t="s">
        <v>87</v>
      </c>
      <c r="B38" t="str">
        <f>VLOOKUP(A38,'Remote work mental helath'!$A$2:$T$1001,12,)</f>
        <v>Depression</v>
      </c>
      <c r="C38" t="str">
        <f>VLOOKUP(A38,'Remote work mental helath'!$A$2:$T$1001,11,)</f>
        <v>Low</v>
      </c>
      <c r="D38">
        <f>VLOOKUP('Mental Helath'!A38,'Remote work mental helath'!$A$2:$T$1001,10,)</f>
        <v>1</v>
      </c>
      <c r="E38" t="str">
        <f>VLOOKUP(A38,'Remote work mental helath'!A38:T1037,19,FALSE)</f>
        <v>Poor</v>
      </c>
      <c r="F38" t="str">
        <f>VLOOKUP(A38,'Remote work mental helath'!$A$2:$T$1001,18,)</f>
        <v>None</v>
      </c>
      <c r="G38">
        <f>VLOOKUP(A38,'Remote work mental helath'!$A$2:$T$1001,15,FALSE)</f>
        <v>5</v>
      </c>
      <c r="H38" t="str">
        <f>VLOOKUP(A38,'Remote work mental helath'!$A$2:$T$1001,14,)</f>
        <v>Decrease</v>
      </c>
      <c r="I38" t="str">
        <f>VLOOKUP(A38,'Remote work mental helath'!$A$2:$T$1001,16,)</f>
        <v>Satisfied</v>
      </c>
      <c r="J38" t="str">
        <f>VLOOKUP(A38,'Remote work mental helath'!$A$2:$T$1001,13,)</f>
        <v>Yes</v>
      </c>
      <c r="K38">
        <f>VLOOKUP(A38,'Remote work mental helath'!$A$2:$T$1001,17,FALSE)</f>
        <v>3</v>
      </c>
    </row>
    <row r="39" spans="1:11" x14ac:dyDescent="0.3">
      <c r="A39" t="s">
        <v>88</v>
      </c>
      <c r="B39" t="str">
        <f>VLOOKUP(A39,'Remote work mental helath'!$A$2:$T$1001,12,)</f>
        <v>None</v>
      </c>
      <c r="C39" t="str">
        <f>VLOOKUP(A39,'Remote work mental helath'!$A$2:$T$1001,11,)</f>
        <v>Low</v>
      </c>
      <c r="D39">
        <f>VLOOKUP('Mental Helath'!A39,'Remote work mental helath'!$A$2:$T$1001,10,)</f>
        <v>2</v>
      </c>
      <c r="E39" t="str">
        <f>VLOOKUP(A39,'Remote work mental helath'!A39:T1038,19,FALSE)</f>
        <v>Good</v>
      </c>
      <c r="F39" t="str">
        <f>VLOOKUP(A39,'Remote work mental helath'!$A$2:$T$1001,18,)</f>
        <v>Daily</v>
      </c>
      <c r="G39">
        <f>VLOOKUP(A39,'Remote work mental helath'!$A$2:$T$1001,15,FALSE)</f>
        <v>2</v>
      </c>
      <c r="H39" t="str">
        <f>VLOOKUP(A39,'Remote work mental helath'!$A$2:$T$1001,14,)</f>
        <v>Increase</v>
      </c>
      <c r="I39" t="str">
        <f>VLOOKUP(A39,'Remote work mental helath'!$A$2:$T$1001,16,)</f>
        <v>Satisfied</v>
      </c>
      <c r="J39" t="str">
        <f>VLOOKUP(A39,'Remote work mental helath'!$A$2:$T$1001,13,)</f>
        <v>Yes</v>
      </c>
      <c r="K39">
        <f>VLOOKUP(A39,'Remote work mental helath'!$A$2:$T$1001,17,FALSE)</f>
        <v>5</v>
      </c>
    </row>
    <row r="40" spans="1:11" x14ac:dyDescent="0.3">
      <c r="A40" t="s">
        <v>89</v>
      </c>
      <c r="B40" t="str">
        <f>VLOOKUP(A40,'Remote work mental helath'!$A$2:$T$1001,12,)</f>
        <v>Anxiety</v>
      </c>
      <c r="C40" t="str">
        <f>VLOOKUP(A40,'Remote work mental helath'!$A$2:$T$1001,11,)</f>
        <v>Low</v>
      </c>
      <c r="D40">
        <f>VLOOKUP('Mental Helath'!A40,'Remote work mental helath'!$A$2:$T$1001,10,)</f>
        <v>4</v>
      </c>
      <c r="E40" t="str">
        <f>VLOOKUP(A40,'Remote work mental helath'!A40:T1039,19,FALSE)</f>
        <v>Average</v>
      </c>
      <c r="F40" t="str">
        <f>VLOOKUP(A40,'Remote work mental helath'!$A$2:$T$1001,18,)</f>
        <v>Weekly</v>
      </c>
      <c r="G40">
        <f>VLOOKUP(A40,'Remote work mental helath'!$A$2:$T$1001,15,FALSE)</f>
        <v>3</v>
      </c>
      <c r="H40" t="str">
        <f>VLOOKUP(A40,'Remote work mental helath'!$A$2:$T$1001,14,)</f>
        <v>No Change</v>
      </c>
      <c r="I40" t="str">
        <f>VLOOKUP(A40,'Remote work mental helath'!$A$2:$T$1001,16,)</f>
        <v>Neutral</v>
      </c>
      <c r="J40" t="str">
        <f>VLOOKUP(A40,'Remote work mental helath'!$A$2:$T$1001,13,)</f>
        <v>Yes</v>
      </c>
      <c r="K40">
        <f>VLOOKUP(A40,'Remote work mental helath'!$A$2:$T$1001,17,FALSE)</f>
        <v>1</v>
      </c>
    </row>
    <row r="41" spans="1:11" x14ac:dyDescent="0.3">
      <c r="A41" t="s">
        <v>90</v>
      </c>
      <c r="B41" t="str">
        <f>VLOOKUP(A41,'Remote work mental helath'!$A$2:$T$1001,12,)</f>
        <v>None</v>
      </c>
      <c r="C41" t="str">
        <f>VLOOKUP(A41,'Remote work mental helath'!$A$2:$T$1001,11,)</f>
        <v>High</v>
      </c>
      <c r="D41">
        <f>VLOOKUP('Mental Helath'!A41,'Remote work mental helath'!$A$2:$T$1001,10,)</f>
        <v>3</v>
      </c>
      <c r="E41" t="str">
        <f>VLOOKUP(A41,'Remote work mental helath'!A41:T1040,19,FALSE)</f>
        <v>Poor</v>
      </c>
      <c r="F41" t="str">
        <f>VLOOKUP(A41,'Remote work mental helath'!$A$2:$T$1001,18,)</f>
        <v>Weekly</v>
      </c>
      <c r="G41">
        <f>VLOOKUP(A41,'Remote work mental helath'!$A$2:$T$1001,15,FALSE)</f>
        <v>1</v>
      </c>
      <c r="H41" t="str">
        <f>VLOOKUP(A41,'Remote work mental helath'!$A$2:$T$1001,14,)</f>
        <v>Increase</v>
      </c>
      <c r="I41" t="str">
        <f>VLOOKUP(A41,'Remote work mental helath'!$A$2:$T$1001,16,)</f>
        <v>Unsatisfied</v>
      </c>
      <c r="J41" t="str">
        <f>VLOOKUP(A41,'Remote work mental helath'!$A$2:$T$1001,13,)</f>
        <v>No</v>
      </c>
      <c r="K41">
        <f>VLOOKUP(A41,'Remote work mental helath'!$A$2:$T$1001,17,FALSE)</f>
        <v>5</v>
      </c>
    </row>
    <row r="42" spans="1:11" x14ac:dyDescent="0.3">
      <c r="A42" t="s">
        <v>91</v>
      </c>
      <c r="B42" t="str">
        <f>VLOOKUP(A42,'Remote work mental helath'!$A$2:$T$1001,12,)</f>
        <v>Burnout</v>
      </c>
      <c r="C42" t="str">
        <f>VLOOKUP(A42,'Remote work mental helath'!$A$2:$T$1001,11,)</f>
        <v>High</v>
      </c>
      <c r="D42">
        <f>VLOOKUP('Mental Helath'!A42,'Remote work mental helath'!$A$2:$T$1001,10,)</f>
        <v>4</v>
      </c>
      <c r="E42" t="str">
        <f>VLOOKUP(A42,'Remote work mental helath'!A42:T1041,19,FALSE)</f>
        <v>Poor</v>
      </c>
      <c r="F42" t="str">
        <f>VLOOKUP(A42,'Remote work mental helath'!$A$2:$T$1001,18,)</f>
        <v>Daily</v>
      </c>
      <c r="G42">
        <f>VLOOKUP(A42,'Remote work mental helath'!$A$2:$T$1001,15,FALSE)</f>
        <v>1</v>
      </c>
      <c r="H42" t="str">
        <f>VLOOKUP(A42,'Remote work mental helath'!$A$2:$T$1001,14,)</f>
        <v>Decrease</v>
      </c>
      <c r="I42" t="str">
        <f>VLOOKUP(A42,'Remote work mental helath'!$A$2:$T$1001,16,)</f>
        <v>Neutral</v>
      </c>
      <c r="J42" t="str">
        <f>VLOOKUP(A42,'Remote work mental helath'!$A$2:$T$1001,13,)</f>
        <v>No</v>
      </c>
      <c r="K42">
        <f>VLOOKUP(A42,'Remote work mental helath'!$A$2:$T$1001,17,FALSE)</f>
        <v>5</v>
      </c>
    </row>
    <row r="43" spans="1:11" x14ac:dyDescent="0.3">
      <c r="A43" t="s">
        <v>92</v>
      </c>
      <c r="B43" t="str">
        <f>VLOOKUP(A43,'Remote work mental helath'!$A$2:$T$1001,12,)</f>
        <v>None</v>
      </c>
      <c r="C43" t="str">
        <f>VLOOKUP(A43,'Remote work mental helath'!$A$2:$T$1001,11,)</f>
        <v>Low</v>
      </c>
      <c r="D43">
        <f>VLOOKUP('Mental Helath'!A43,'Remote work mental helath'!$A$2:$T$1001,10,)</f>
        <v>2</v>
      </c>
      <c r="E43" t="str">
        <f>VLOOKUP(A43,'Remote work mental helath'!A43:T1042,19,FALSE)</f>
        <v>Good</v>
      </c>
      <c r="F43" t="str">
        <f>VLOOKUP(A43,'Remote work mental helath'!$A$2:$T$1001,18,)</f>
        <v>None</v>
      </c>
      <c r="G43">
        <f>VLOOKUP(A43,'Remote work mental helath'!$A$2:$T$1001,15,FALSE)</f>
        <v>1</v>
      </c>
      <c r="H43" t="str">
        <f>VLOOKUP(A43,'Remote work mental helath'!$A$2:$T$1001,14,)</f>
        <v>No Change</v>
      </c>
      <c r="I43" t="str">
        <f>VLOOKUP(A43,'Remote work mental helath'!$A$2:$T$1001,16,)</f>
        <v>Unsatisfied</v>
      </c>
      <c r="J43" t="str">
        <f>VLOOKUP(A43,'Remote work mental helath'!$A$2:$T$1001,13,)</f>
        <v>No</v>
      </c>
      <c r="K43">
        <f>VLOOKUP(A43,'Remote work mental helath'!$A$2:$T$1001,17,FALSE)</f>
        <v>5</v>
      </c>
    </row>
    <row r="44" spans="1:11" x14ac:dyDescent="0.3">
      <c r="A44" t="s">
        <v>93</v>
      </c>
      <c r="B44" t="str">
        <f>VLOOKUP(A44,'Remote work mental helath'!$A$2:$T$1001,12,)</f>
        <v>None</v>
      </c>
      <c r="C44" t="str">
        <f>VLOOKUP(A44,'Remote work mental helath'!$A$2:$T$1001,11,)</f>
        <v>High</v>
      </c>
      <c r="D44">
        <f>VLOOKUP('Mental Helath'!A44,'Remote work mental helath'!$A$2:$T$1001,10,)</f>
        <v>3</v>
      </c>
      <c r="E44" t="str">
        <f>VLOOKUP(A44,'Remote work mental helath'!A44:T1043,19,FALSE)</f>
        <v>Poor</v>
      </c>
      <c r="F44" t="str">
        <f>VLOOKUP(A44,'Remote work mental helath'!$A$2:$T$1001,18,)</f>
        <v>Weekly</v>
      </c>
      <c r="G44">
        <f>VLOOKUP(A44,'Remote work mental helath'!$A$2:$T$1001,15,FALSE)</f>
        <v>3</v>
      </c>
      <c r="H44" t="str">
        <f>VLOOKUP(A44,'Remote work mental helath'!$A$2:$T$1001,14,)</f>
        <v>Increase</v>
      </c>
      <c r="I44" t="str">
        <f>VLOOKUP(A44,'Remote work mental helath'!$A$2:$T$1001,16,)</f>
        <v>Unsatisfied</v>
      </c>
      <c r="J44" t="str">
        <f>VLOOKUP(A44,'Remote work mental helath'!$A$2:$T$1001,13,)</f>
        <v>Yes</v>
      </c>
      <c r="K44">
        <f>VLOOKUP(A44,'Remote work mental helath'!$A$2:$T$1001,17,FALSE)</f>
        <v>3</v>
      </c>
    </row>
    <row r="45" spans="1:11" x14ac:dyDescent="0.3">
      <c r="A45" t="s">
        <v>94</v>
      </c>
      <c r="B45" t="str">
        <f>VLOOKUP(A45,'Remote work mental helath'!$A$2:$T$1001,12,)</f>
        <v>Depression</v>
      </c>
      <c r="C45" t="str">
        <f>VLOOKUP(A45,'Remote work mental helath'!$A$2:$T$1001,11,)</f>
        <v>Medium</v>
      </c>
      <c r="D45">
        <f>VLOOKUP('Mental Helath'!A45,'Remote work mental helath'!$A$2:$T$1001,10,)</f>
        <v>4</v>
      </c>
      <c r="E45" t="str">
        <f>VLOOKUP(A45,'Remote work mental helath'!A45:T1044,19,FALSE)</f>
        <v>Average</v>
      </c>
      <c r="F45" t="str">
        <f>VLOOKUP(A45,'Remote work mental helath'!$A$2:$T$1001,18,)</f>
        <v>None</v>
      </c>
      <c r="G45">
        <f>VLOOKUP(A45,'Remote work mental helath'!$A$2:$T$1001,15,FALSE)</f>
        <v>1</v>
      </c>
      <c r="H45" t="str">
        <f>VLOOKUP(A45,'Remote work mental helath'!$A$2:$T$1001,14,)</f>
        <v>No Change</v>
      </c>
      <c r="I45" t="str">
        <f>VLOOKUP(A45,'Remote work mental helath'!$A$2:$T$1001,16,)</f>
        <v>Unsatisfied</v>
      </c>
      <c r="J45" t="str">
        <f>VLOOKUP(A45,'Remote work mental helath'!$A$2:$T$1001,13,)</f>
        <v>Yes</v>
      </c>
      <c r="K45">
        <f>VLOOKUP(A45,'Remote work mental helath'!$A$2:$T$1001,17,FALSE)</f>
        <v>3</v>
      </c>
    </row>
    <row r="46" spans="1:11" x14ac:dyDescent="0.3">
      <c r="A46" t="s">
        <v>95</v>
      </c>
      <c r="B46" t="str">
        <f>VLOOKUP(A46,'Remote work mental helath'!$A$2:$T$1001,12,)</f>
        <v>Anxiety</v>
      </c>
      <c r="C46" t="str">
        <f>VLOOKUP(A46,'Remote work mental helath'!$A$2:$T$1001,11,)</f>
        <v>High</v>
      </c>
      <c r="D46">
        <f>VLOOKUP('Mental Helath'!A46,'Remote work mental helath'!$A$2:$T$1001,10,)</f>
        <v>3</v>
      </c>
      <c r="E46" t="str">
        <f>VLOOKUP(A46,'Remote work mental helath'!A46:T1045,19,FALSE)</f>
        <v>Good</v>
      </c>
      <c r="F46" t="str">
        <f>VLOOKUP(A46,'Remote work mental helath'!$A$2:$T$1001,18,)</f>
        <v>Daily</v>
      </c>
      <c r="G46">
        <f>VLOOKUP(A46,'Remote work mental helath'!$A$2:$T$1001,15,FALSE)</f>
        <v>5</v>
      </c>
      <c r="H46" t="str">
        <f>VLOOKUP(A46,'Remote work mental helath'!$A$2:$T$1001,14,)</f>
        <v>No Change</v>
      </c>
      <c r="I46" t="str">
        <f>VLOOKUP(A46,'Remote work mental helath'!$A$2:$T$1001,16,)</f>
        <v>Neutral</v>
      </c>
      <c r="J46" t="str">
        <f>VLOOKUP(A46,'Remote work mental helath'!$A$2:$T$1001,13,)</f>
        <v>Yes</v>
      </c>
      <c r="K46">
        <f>VLOOKUP(A46,'Remote work mental helath'!$A$2:$T$1001,17,FALSE)</f>
        <v>2</v>
      </c>
    </row>
    <row r="47" spans="1:11" x14ac:dyDescent="0.3">
      <c r="A47" t="s">
        <v>96</v>
      </c>
      <c r="B47" t="str">
        <f>VLOOKUP(A47,'Remote work mental helath'!$A$2:$T$1001,12,)</f>
        <v>Burnout</v>
      </c>
      <c r="C47" t="str">
        <f>VLOOKUP(A47,'Remote work mental helath'!$A$2:$T$1001,11,)</f>
        <v>Medium</v>
      </c>
      <c r="D47">
        <f>VLOOKUP('Mental Helath'!A47,'Remote work mental helath'!$A$2:$T$1001,10,)</f>
        <v>2</v>
      </c>
      <c r="E47" t="str">
        <f>VLOOKUP(A47,'Remote work mental helath'!A47:T1046,19,FALSE)</f>
        <v>Poor</v>
      </c>
      <c r="F47" t="str">
        <f>VLOOKUP(A47,'Remote work mental helath'!$A$2:$T$1001,18,)</f>
        <v>Daily</v>
      </c>
      <c r="G47">
        <f>VLOOKUP(A47,'Remote work mental helath'!$A$2:$T$1001,15,FALSE)</f>
        <v>2</v>
      </c>
      <c r="H47" t="str">
        <f>VLOOKUP(A47,'Remote work mental helath'!$A$2:$T$1001,14,)</f>
        <v>No Change</v>
      </c>
      <c r="I47" t="str">
        <f>VLOOKUP(A47,'Remote work mental helath'!$A$2:$T$1001,16,)</f>
        <v>Neutral</v>
      </c>
      <c r="J47" t="str">
        <f>VLOOKUP(A47,'Remote work mental helath'!$A$2:$T$1001,13,)</f>
        <v>No</v>
      </c>
      <c r="K47">
        <f>VLOOKUP(A47,'Remote work mental helath'!$A$2:$T$1001,17,FALSE)</f>
        <v>3</v>
      </c>
    </row>
    <row r="48" spans="1:11" x14ac:dyDescent="0.3">
      <c r="A48" t="s">
        <v>97</v>
      </c>
      <c r="B48" t="str">
        <f>VLOOKUP(A48,'Remote work mental helath'!$A$2:$T$1001,12,)</f>
        <v>Burnout</v>
      </c>
      <c r="C48" t="str">
        <f>VLOOKUP(A48,'Remote work mental helath'!$A$2:$T$1001,11,)</f>
        <v>Medium</v>
      </c>
      <c r="D48">
        <f>VLOOKUP('Mental Helath'!A48,'Remote work mental helath'!$A$2:$T$1001,10,)</f>
        <v>1</v>
      </c>
      <c r="E48" t="str">
        <f>VLOOKUP(A48,'Remote work mental helath'!A48:T1047,19,FALSE)</f>
        <v>Good</v>
      </c>
      <c r="F48" t="str">
        <f>VLOOKUP(A48,'Remote work mental helath'!$A$2:$T$1001,18,)</f>
        <v>Weekly</v>
      </c>
      <c r="G48">
        <f>VLOOKUP(A48,'Remote work mental helath'!$A$2:$T$1001,15,FALSE)</f>
        <v>1</v>
      </c>
      <c r="H48" t="str">
        <f>VLOOKUP(A48,'Remote work mental helath'!$A$2:$T$1001,14,)</f>
        <v>Decrease</v>
      </c>
      <c r="I48" t="str">
        <f>VLOOKUP(A48,'Remote work mental helath'!$A$2:$T$1001,16,)</f>
        <v>Unsatisfied</v>
      </c>
      <c r="J48" t="str">
        <f>VLOOKUP(A48,'Remote work mental helath'!$A$2:$T$1001,13,)</f>
        <v>Yes</v>
      </c>
      <c r="K48">
        <f>VLOOKUP(A48,'Remote work mental helath'!$A$2:$T$1001,17,FALSE)</f>
        <v>5</v>
      </c>
    </row>
    <row r="49" spans="1:11" x14ac:dyDescent="0.3">
      <c r="A49" t="s">
        <v>98</v>
      </c>
      <c r="B49" t="str">
        <f>VLOOKUP(A49,'Remote work mental helath'!$A$2:$T$1001,12,)</f>
        <v>None</v>
      </c>
      <c r="C49" t="str">
        <f>VLOOKUP(A49,'Remote work mental helath'!$A$2:$T$1001,11,)</f>
        <v>High</v>
      </c>
      <c r="D49">
        <f>VLOOKUP('Mental Helath'!A49,'Remote work mental helath'!$A$2:$T$1001,10,)</f>
        <v>5</v>
      </c>
      <c r="E49" t="str">
        <f>VLOOKUP(A49,'Remote work mental helath'!A49:T1048,19,FALSE)</f>
        <v>Good</v>
      </c>
      <c r="F49" t="str">
        <f>VLOOKUP(A49,'Remote work mental helath'!$A$2:$T$1001,18,)</f>
        <v>None</v>
      </c>
      <c r="G49">
        <f>VLOOKUP(A49,'Remote work mental helath'!$A$2:$T$1001,15,FALSE)</f>
        <v>1</v>
      </c>
      <c r="H49" t="str">
        <f>VLOOKUP(A49,'Remote work mental helath'!$A$2:$T$1001,14,)</f>
        <v>Decrease</v>
      </c>
      <c r="I49" t="str">
        <f>VLOOKUP(A49,'Remote work mental helath'!$A$2:$T$1001,16,)</f>
        <v>Unsatisfied</v>
      </c>
      <c r="J49" t="str">
        <f>VLOOKUP(A49,'Remote work mental helath'!$A$2:$T$1001,13,)</f>
        <v>No</v>
      </c>
      <c r="K49">
        <f>VLOOKUP(A49,'Remote work mental helath'!$A$2:$T$1001,17,FALSE)</f>
        <v>4</v>
      </c>
    </row>
    <row r="50" spans="1:11" x14ac:dyDescent="0.3">
      <c r="A50" t="s">
        <v>99</v>
      </c>
      <c r="B50" t="str">
        <f>VLOOKUP(A50,'Remote work mental helath'!$A$2:$T$1001,12,)</f>
        <v>None</v>
      </c>
      <c r="C50" t="str">
        <f>VLOOKUP(A50,'Remote work mental helath'!$A$2:$T$1001,11,)</f>
        <v>Low</v>
      </c>
      <c r="D50">
        <f>VLOOKUP('Mental Helath'!A50,'Remote work mental helath'!$A$2:$T$1001,10,)</f>
        <v>4</v>
      </c>
      <c r="E50" t="str">
        <f>VLOOKUP(A50,'Remote work mental helath'!A50:T1049,19,FALSE)</f>
        <v>Poor</v>
      </c>
      <c r="F50" t="str">
        <f>VLOOKUP(A50,'Remote work mental helath'!$A$2:$T$1001,18,)</f>
        <v>Daily</v>
      </c>
      <c r="G50">
        <f>VLOOKUP(A50,'Remote work mental helath'!$A$2:$T$1001,15,FALSE)</f>
        <v>2</v>
      </c>
      <c r="H50" t="str">
        <f>VLOOKUP(A50,'Remote work mental helath'!$A$2:$T$1001,14,)</f>
        <v>Increase</v>
      </c>
      <c r="I50" t="str">
        <f>VLOOKUP(A50,'Remote work mental helath'!$A$2:$T$1001,16,)</f>
        <v>Neutral</v>
      </c>
      <c r="J50" t="str">
        <f>VLOOKUP(A50,'Remote work mental helath'!$A$2:$T$1001,13,)</f>
        <v>No</v>
      </c>
      <c r="K50">
        <f>VLOOKUP(A50,'Remote work mental helath'!$A$2:$T$1001,17,FALSE)</f>
        <v>3</v>
      </c>
    </row>
    <row r="51" spans="1:11" x14ac:dyDescent="0.3">
      <c r="A51" t="s">
        <v>100</v>
      </c>
      <c r="B51" t="str">
        <f>VLOOKUP(A51,'Remote work mental helath'!$A$2:$T$1001,12,)</f>
        <v>Burnout</v>
      </c>
      <c r="C51" t="str">
        <f>VLOOKUP(A51,'Remote work mental helath'!$A$2:$T$1001,11,)</f>
        <v>Medium</v>
      </c>
      <c r="D51">
        <f>VLOOKUP('Mental Helath'!A51,'Remote work mental helath'!$A$2:$T$1001,10,)</f>
        <v>4</v>
      </c>
      <c r="E51" t="str">
        <f>VLOOKUP(A51,'Remote work mental helath'!A51:T1050,19,FALSE)</f>
        <v>Average</v>
      </c>
      <c r="F51" t="str">
        <f>VLOOKUP(A51,'Remote work mental helath'!$A$2:$T$1001,18,)</f>
        <v>None</v>
      </c>
      <c r="G51">
        <f>VLOOKUP(A51,'Remote work mental helath'!$A$2:$T$1001,15,FALSE)</f>
        <v>1</v>
      </c>
      <c r="H51" t="str">
        <f>VLOOKUP(A51,'Remote work mental helath'!$A$2:$T$1001,14,)</f>
        <v>No Change</v>
      </c>
      <c r="I51" t="str">
        <f>VLOOKUP(A51,'Remote work mental helath'!$A$2:$T$1001,16,)</f>
        <v>Satisfied</v>
      </c>
      <c r="J51" t="str">
        <f>VLOOKUP(A51,'Remote work mental helath'!$A$2:$T$1001,13,)</f>
        <v>No</v>
      </c>
      <c r="K51">
        <f>VLOOKUP(A51,'Remote work mental helath'!$A$2:$T$1001,17,FALSE)</f>
        <v>3</v>
      </c>
    </row>
    <row r="52" spans="1:11" x14ac:dyDescent="0.3">
      <c r="A52" t="s">
        <v>101</v>
      </c>
      <c r="B52" t="str">
        <f>VLOOKUP(A52,'Remote work mental helath'!$A$2:$T$1001,12,)</f>
        <v>Anxiety</v>
      </c>
      <c r="C52" t="str">
        <f>VLOOKUP(A52,'Remote work mental helath'!$A$2:$T$1001,11,)</f>
        <v>High</v>
      </c>
      <c r="D52">
        <f>VLOOKUP('Mental Helath'!A52,'Remote work mental helath'!$A$2:$T$1001,10,)</f>
        <v>4</v>
      </c>
      <c r="E52" t="str">
        <f>VLOOKUP(A52,'Remote work mental helath'!A52:T1051,19,FALSE)</f>
        <v>Good</v>
      </c>
      <c r="F52" t="str">
        <f>VLOOKUP(A52,'Remote work mental helath'!$A$2:$T$1001,18,)</f>
        <v>Daily</v>
      </c>
      <c r="G52">
        <f>VLOOKUP(A52,'Remote work mental helath'!$A$2:$T$1001,15,FALSE)</f>
        <v>5</v>
      </c>
      <c r="H52" t="str">
        <f>VLOOKUP(A52,'Remote work mental helath'!$A$2:$T$1001,14,)</f>
        <v>Decrease</v>
      </c>
      <c r="I52" t="str">
        <f>VLOOKUP(A52,'Remote work mental helath'!$A$2:$T$1001,16,)</f>
        <v>Satisfied</v>
      </c>
      <c r="J52" t="str">
        <f>VLOOKUP(A52,'Remote work mental helath'!$A$2:$T$1001,13,)</f>
        <v>Yes</v>
      </c>
      <c r="K52">
        <f>VLOOKUP(A52,'Remote work mental helath'!$A$2:$T$1001,17,FALSE)</f>
        <v>4</v>
      </c>
    </row>
    <row r="53" spans="1:11" x14ac:dyDescent="0.3">
      <c r="A53" t="s">
        <v>102</v>
      </c>
      <c r="B53" t="str">
        <f>VLOOKUP(A53,'Remote work mental helath'!$A$2:$T$1001,12,)</f>
        <v>None</v>
      </c>
      <c r="C53" t="str">
        <f>VLOOKUP(A53,'Remote work mental helath'!$A$2:$T$1001,11,)</f>
        <v>Low</v>
      </c>
      <c r="D53">
        <f>VLOOKUP('Mental Helath'!A53,'Remote work mental helath'!$A$2:$T$1001,10,)</f>
        <v>5</v>
      </c>
      <c r="E53" t="str">
        <f>VLOOKUP(A53,'Remote work mental helath'!A53:T1052,19,FALSE)</f>
        <v>Good</v>
      </c>
      <c r="F53" t="str">
        <f>VLOOKUP(A53,'Remote work mental helath'!$A$2:$T$1001,18,)</f>
        <v>None</v>
      </c>
      <c r="G53">
        <f>VLOOKUP(A53,'Remote work mental helath'!$A$2:$T$1001,15,FALSE)</f>
        <v>4</v>
      </c>
      <c r="H53" t="str">
        <f>VLOOKUP(A53,'Remote work mental helath'!$A$2:$T$1001,14,)</f>
        <v>Decrease</v>
      </c>
      <c r="I53" t="str">
        <f>VLOOKUP(A53,'Remote work mental helath'!$A$2:$T$1001,16,)</f>
        <v>Satisfied</v>
      </c>
      <c r="J53" t="str">
        <f>VLOOKUP(A53,'Remote work mental helath'!$A$2:$T$1001,13,)</f>
        <v>No</v>
      </c>
      <c r="K53">
        <f>VLOOKUP(A53,'Remote work mental helath'!$A$2:$T$1001,17,FALSE)</f>
        <v>1</v>
      </c>
    </row>
    <row r="54" spans="1:11" x14ac:dyDescent="0.3">
      <c r="A54" t="s">
        <v>103</v>
      </c>
      <c r="B54" t="str">
        <f>VLOOKUP(A54,'Remote work mental helath'!$A$2:$T$1001,12,)</f>
        <v>None</v>
      </c>
      <c r="C54" t="str">
        <f>VLOOKUP(A54,'Remote work mental helath'!$A$2:$T$1001,11,)</f>
        <v>Medium</v>
      </c>
      <c r="D54">
        <f>VLOOKUP('Mental Helath'!A54,'Remote work mental helath'!$A$2:$T$1001,10,)</f>
        <v>3</v>
      </c>
      <c r="E54" t="str">
        <f>VLOOKUP(A54,'Remote work mental helath'!A54:T1053,19,FALSE)</f>
        <v>Good</v>
      </c>
      <c r="F54" t="str">
        <f>VLOOKUP(A54,'Remote work mental helath'!$A$2:$T$1001,18,)</f>
        <v>Daily</v>
      </c>
      <c r="G54">
        <f>VLOOKUP(A54,'Remote work mental helath'!$A$2:$T$1001,15,FALSE)</f>
        <v>2</v>
      </c>
      <c r="H54" t="str">
        <f>VLOOKUP(A54,'Remote work mental helath'!$A$2:$T$1001,14,)</f>
        <v>Decrease</v>
      </c>
      <c r="I54" t="str">
        <f>VLOOKUP(A54,'Remote work mental helath'!$A$2:$T$1001,16,)</f>
        <v>Satisfied</v>
      </c>
      <c r="J54" t="str">
        <f>VLOOKUP(A54,'Remote work mental helath'!$A$2:$T$1001,13,)</f>
        <v>No</v>
      </c>
      <c r="K54">
        <f>VLOOKUP(A54,'Remote work mental helath'!$A$2:$T$1001,17,FALSE)</f>
        <v>2</v>
      </c>
    </row>
    <row r="55" spans="1:11" x14ac:dyDescent="0.3">
      <c r="A55" t="s">
        <v>104</v>
      </c>
      <c r="B55" t="str">
        <f>VLOOKUP(A55,'Remote work mental helath'!$A$2:$T$1001,12,)</f>
        <v>Depression</v>
      </c>
      <c r="C55" t="str">
        <f>VLOOKUP(A55,'Remote work mental helath'!$A$2:$T$1001,11,)</f>
        <v>Medium</v>
      </c>
      <c r="D55">
        <f>VLOOKUP('Mental Helath'!A55,'Remote work mental helath'!$A$2:$T$1001,10,)</f>
        <v>2</v>
      </c>
      <c r="E55" t="str">
        <f>VLOOKUP(A55,'Remote work mental helath'!A55:T1054,19,FALSE)</f>
        <v>Average</v>
      </c>
      <c r="F55" t="str">
        <f>VLOOKUP(A55,'Remote work mental helath'!$A$2:$T$1001,18,)</f>
        <v>None</v>
      </c>
      <c r="G55">
        <f>VLOOKUP(A55,'Remote work mental helath'!$A$2:$T$1001,15,FALSE)</f>
        <v>1</v>
      </c>
      <c r="H55" t="str">
        <f>VLOOKUP(A55,'Remote work mental helath'!$A$2:$T$1001,14,)</f>
        <v>No Change</v>
      </c>
      <c r="I55" t="str">
        <f>VLOOKUP(A55,'Remote work mental helath'!$A$2:$T$1001,16,)</f>
        <v>Neutral</v>
      </c>
      <c r="J55" t="str">
        <f>VLOOKUP(A55,'Remote work mental helath'!$A$2:$T$1001,13,)</f>
        <v>Yes</v>
      </c>
      <c r="K55">
        <f>VLOOKUP(A55,'Remote work mental helath'!$A$2:$T$1001,17,FALSE)</f>
        <v>1</v>
      </c>
    </row>
    <row r="56" spans="1:11" x14ac:dyDescent="0.3">
      <c r="A56" t="s">
        <v>105</v>
      </c>
      <c r="B56" t="str">
        <f>VLOOKUP(A56,'Remote work mental helath'!$A$2:$T$1001,12,)</f>
        <v>Burnout</v>
      </c>
      <c r="C56" t="str">
        <f>VLOOKUP(A56,'Remote work mental helath'!$A$2:$T$1001,11,)</f>
        <v>Medium</v>
      </c>
      <c r="D56">
        <f>VLOOKUP('Mental Helath'!A56,'Remote work mental helath'!$A$2:$T$1001,10,)</f>
        <v>1</v>
      </c>
      <c r="E56" t="str">
        <f>VLOOKUP(A56,'Remote work mental helath'!A56:T1055,19,FALSE)</f>
        <v>Poor</v>
      </c>
      <c r="F56" t="str">
        <f>VLOOKUP(A56,'Remote work mental helath'!$A$2:$T$1001,18,)</f>
        <v>Daily</v>
      </c>
      <c r="G56">
        <f>VLOOKUP(A56,'Remote work mental helath'!$A$2:$T$1001,15,FALSE)</f>
        <v>4</v>
      </c>
      <c r="H56" t="str">
        <f>VLOOKUP(A56,'Remote work mental helath'!$A$2:$T$1001,14,)</f>
        <v>Decrease</v>
      </c>
      <c r="I56" t="str">
        <f>VLOOKUP(A56,'Remote work mental helath'!$A$2:$T$1001,16,)</f>
        <v>Satisfied</v>
      </c>
      <c r="J56" t="str">
        <f>VLOOKUP(A56,'Remote work mental helath'!$A$2:$T$1001,13,)</f>
        <v>Yes</v>
      </c>
      <c r="K56">
        <f>VLOOKUP(A56,'Remote work mental helath'!$A$2:$T$1001,17,FALSE)</f>
        <v>1</v>
      </c>
    </row>
    <row r="57" spans="1:11" x14ac:dyDescent="0.3">
      <c r="A57" t="s">
        <v>106</v>
      </c>
      <c r="B57" t="str">
        <f>VLOOKUP(A57,'Remote work mental helath'!$A$2:$T$1001,12,)</f>
        <v>Anxiety</v>
      </c>
      <c r="C57" t="str">
        <f>VLOOKUP(A57,'Remote work mental helath'!$A$2:$T$1001,11,)</f>
        <v>Low</v>
      </c>
      <c r="D57">
        <f>VLOOKUP('Mental Helath'!A57,'Remote work mental helath'!$A$2:$T$1001,10,)</f>
        <v>3</v>
      </c>
      <c r="E57" t="str">
        <f>VLOOKUP(A57,'Remote work mental helath'!A57:T1056,19,FALSE)</f>
        <v>Good</v>
      </c>
      <c r="F57" t="str">
        <f>VLOOKUP(A57,'Remote work mental helath'!$A$2:$T$1001,18,)</f>
        <v>Daily</v>
      </c>
      <c r="G57">
        <f>VLOOKUP(A57,'Remote work mental helath'!$A$2:$T$1001,15,FALSE)</f>
        <v>3</v>
      </c>
      <c r="H57" t="str">
        <f>VLOOKUP(A57,'Remote work mental helath'!$A$2:$T$1001,14,)</f>
        <v>Increase</v>
      </c>
      <c r="I57" t="str">
        <f>VLOOKUP(A57,'Remote work mental helath'!$A$2:$T$1001,16,)</f>
        <v>Neutral</v>
      </c>
      <c r="J57" t="str">
        <f>VLOOKUP(A57,'Remote work mental helath'!$A$2:$T$1001,13,)</f>
        <v>No</v>
      </c>
      <c r="K57">
        <f>VLOOKUP(A57,'Remote work mental helath'!$A$2:$T$1001,17,FALSE)</f>
        <v>5</v>
      </c>
    </row>
    <row r="58" spans="1:11" x14ac:dyDescent="0.3">
      <c r="A58" t="s">
        <v>107</v>
      </c>
      <c r="B58" t="str">
        <f>VLOOKUP(A58,'Remote work mental helath'!$A$2:$T$1001,12,)</f>
        <v>Depression</v>
      </c>
      <c r="C58" t="str">
        <f>VLOOKUP(A58,'Remote work mental helath'!$A$2:$T$1001,11,)</f>
        <v>Low</v>
      </c>
      <c r="D58">
        <f>VLOOKUP('Mental Helath'!A58,'Remote work mental helath'!$A$2:$T$1001,10,)</f>
        <v>5</v>
      </c>
      <c r="E58" t="str">
        <f>VLOOKUP(A58,'Remote work mental helath'!A58:T1057,19,FALSE)</f>
        <v>Good</v>
      </c>
      <c r="F58" t="str">
        <f>VLOOKUP(A58,'Remote work mental helath'!$A$2:$T$1001,18,)</f>
        <v>None</v>
      </c>
      <c r="G58">
        <f>VLOOKUP(A58,'Remote work mental helath'!$A$2:$T$1001,15,FALSE)</f>
        <v>4</v>
      </c>
      <c r="H58" t="str">
        <f>VLOOKUP(A58,'Remote work mental helath'!$A$2:$T$1001,14,)</f>
        <v>Increase</v>
      </c>
      <c r="I58" t="str">
        <f>VLOOKUP(A58,'Remote work mental helath'!$A$2:$T$1001,16,)</f>
        <v>Neutral</v>
      </c>
      <c r="J58" t="str">
        <f>VLOOKUP(A58,'Remote work mental helath'!$A$2:$T$1001,13,)</f>
        <v>Yes</v>
      </c>
      <c r="K58">
        <f>VLOOKUP(A58,'Remote work mental helath'!$A$2:$T$1001,17,FALSE)</f>
        <v>5</v>
      </c>
    </row>
    <row r="59" spans="1:11" x14ac:dyDescent="0.3">
      <c r="A59" t="s">
        <v>108</v>
      </c>
      <c r="B59" t="str">
        <f>VLOOKUP(A59,'Remote work mental helath'!$A$2:$T$1001,12,)</f>
        <v>None</v>
      </c>
      <c r="C59" t="str">
        <f>VLOOKUP(A59,'Remote work mental helath'!$A$2:$T$1001,11,)</f>
        <v>Low</v>
      </c>
      <c r="D59">
        <f>VLOOKUP('Mental Helath'!A59,'Remote work mental helath'!$A$2:$T$1001,10,)</f>
        <v>5</v>
      </c>
      <c r="E59" t="str">
        <f>VLOOKUP(A59,'Remote work mental helath'!A59:T1058,19,FALSE)</f>
        <v>Average</v>
      </c>
      <c r="F59" t="str">
        <f>VLOOKUP(A59,'Remote work mental helath'!$A$2:$T$1001,18,)</f>
        <v>None</v>
      </c>
      <c r="G59">
        <f>VLOOKUP(A59,'Remote work mental helath'!$A$2:$T$1001,15,FALSE)</f>
        <v>4</v>
      </c>
      <c r="H59" t="str">
        <f>VLOOKUP(A59,'Remote work mental helath'!$A$2:$T$1001,14,)</f>
        <v>No Change</v>
      </c>
      <c r="I59" t="str">
        <f>VLOOKUP(A59,'Remote work mental helath'!$A$2:$T$1001,16,)</f>
        <v>Satisfied</v>
      </c>
      <c r="J59" t="str">
        <f>VLOOKUP(A59,'Remote work mental helath'!$A$2:$T$1001,13,)</f>
        <v>No</v>
      </c>
      <c r="K59">
        <f>VLOOKUP(A59,'Remote work mental helath'!$A$2:$T$1001,17,FALSE)</f>
        <v>3</v>
      </c>
    </row>
    <row r="60" spans="1:11" x14ac:dyDescent="0.3">
      <c r="A60" t="s">
        <v>109</v>
      </c>
      <c r="B60" t="str">
        <f>VLOOKUP(A60,'Remote work mental helath'!$A$2:$T$1001,12,)</f>
        <v>None</v>
      </c>
      <c r="C60" t="str">
        <f>VLOOKUP(A60,'Remote work mental helath'!$A$2:$T$1001,11,)</f>
        <v>Low</v>
      </c>
      <c r="D60">
        <f>VLOOKUP('Mental Helath'!A60,'Remote work mental helath'!$A$2:$T$1001,10,)</f>
        <v>1</v>
      </c>
      <c r="E60" t="str">
        <f>VLOOKUP(A60,'Remote work mental helath'!A60:T1059,19,FALSE)</f>
        <v>Average</v>
      </c>
      <c r="F60" t="str">
        <f>VLOOKUP(A60,'Remote work mental helath'!$A$2:$T$1001,18,)</f>
        <v>Daily</v>
      </c>
      <c r="G60">
        <f>VLOOKUP(A60,'Remote work mental helath'!$A$2:$T$1001,15,FALSE)</f>
        <v>2</v>
      </c>
      <c r="H60" t="str">
        <f>VLOOKUP(A60,'Remote work mental helath'!$A$2:$T$1001,14,)</f>
        <v>Decrease</v>
      </c>
      <c r="I60" t="str">
        <f>VLOOKUP(A60,'Remote work mental helath'!$A$2:$T$1001,16,)</f>
        <v>Unsatisfied</v>
      </c>
      <c r="J60" t="str">
        <f>VLOOKUP(A60,'Remote work mental helath'!$A$2:$T$1001,13,)</f>
        <v>No</v>
      </c>
      <c r="K60">
        <f>VLOOKUP(A60,'Remote work mental helath'!$A$2:$T$1001,17,FALSE)</f>
        <v>3</v>
      </c>
    </row>
    <row r="61" spans="1:11" x14ac:dyDescent="0.3">
      <c r="A61" t="s">
        <v>110</v>
      </c>
      <c r="B61" t="str">
        <f>VLOOKUP(A61,'Remote work mental helath'!$A$2:$T$1001,12,)</f>
        <v>None</v>
      </c>
      <c r="C61" t="str">
        <f>VLOOKUP(A61,'Remote work mental helath'!$A$2:$T$1001,11,)</f>
        <v>Medium</v>
      </c>
      <c r="D61">
        <f>VLOOKUP('Mental Helath'!A61,'Remote work mental helath'!$A$2:$T$1001,10,)</f>
        <v>2</v>
      </c>
      <c r="E61" t="str">
        <f>VLOOKUP(A61,'Remote work mental helath'!A61:T1060,19,FALSE)</f>
        <v>Poor</v>
      </c>
      <c r="F61" t="str">
        <f>VLOOKUP(A61,'Remote work mental helath'!$A$2:$T$1001,18,)</f>
        <v>Daily</v>
      </c>
      <c r="G61">
        <f>VLOOKUP(A61,'Remote work mental helath'!$A$2:$T$1001,15,FALSE)</f>
        <v>1</v>
      </c>
      <c r="H61" t="str">
        <f>VLOOKUP(A61,'Remote work mental helath'!$A$2:$T$1001,14,)</f>
        <v>No Change</v>
      </c>
      <c r="I61" t="str">
        <f>VLOOKUP(A61,'Remote work mental helath'!$A$2:$T$1001,16,)</f>
        <v>Satisfied</v>
      </c>
      <c r="J61" t="str">
        <f>VLOOKUP(A61,'Remote work mental helath'!$A$2:$T$1001,13,)</f>
        <v>Yes</v>
      </c>
      <c r="K61">
        <f>VLOOKUP(A61,'Remote work mental helath'!$A$2:$T$1001,17,FALSE)</f>
        <v>5</v>
      </c>
    </row>
    <row r="62" spans="1:11" x14ac:dyDescent="0.3">
      <c r="A62" t="s">
        <v>111</v>
      </c>
      <c r="B62" t="str">
        <f>VLOOKUP(A62,'Remote work mental helath'!$A$2:$T$1001,12,)</f>
        <v>Depression</v>
      </c>
      <c r="C62" t="str">
        <f>VLOOKUP(A62,'Remote work mental helath'!$A$2:$T$1001,11,)</f>
        <v>Medium</v>
      </c>
      <c r="D62">
        <f>VLOOKUP('Mental Helath'!A62,'Remote work mental helath'!$A$2:$T$1001,10,)</f>
        <v>4</v>
      </c>
      <c r="E62" t="str">
        <f>VLOOKUP(A62,'Remote work mental helath'!A62:T1061,19,FALSE)</f>
        <v>Good</v>
      </c>
      <c r="F62" t="str">
        <f>VLOOKUP(A62,'Remote work mental helath'!$A$2:$T$1001,18,)</f>
        <v>Daily</v>
      </c>
      <c r="G62">
        <f>VLOOKUP(A62,'Remote work mental helath'!$A$2:$T$1001,15,FALSE)</f>
        <v>1</v>
      </c>
      <c r="H62" t="str">
        <f>VLOOKUP(A62,'Remote work mental helath'!$A$2:$T$1001,14,)</f>
        <v>No Change</v>
      </c>
      <c r="I62" t="str">
        <f>VLOOKUP(A62,'Remote work mental helath'!$A$2:$T$1001,16,)</f>
        <v>Unsatisfied</v>
      </c>
      <c r="J62" t="str">
        <f>VLOOKUP(A62,'Remote work mental helath'!$A$2:$T$1001,13,)</f>
        <v>Yes</v>
      </c>
      <c r="K62">
        <f>VLOOKUP(A62,'Remote work mental helath'!$A$2:$T$1001,17,FALSE)</f>
        <v>2</v>
      </c>
    </row>
    <row r="63" spans="1:11" x14ac:dyDescent="0.3">
      <c r="A63" t="s">
        <v>112</v>
      </c>
      <c r="B63" t="str">
        <f>VLOOKUP(A63,'Remote work mental helath'!$A$2:$T$1001,12,)</f>
        <v>Depression</v>
      </c>
      <c r="C63" t="str">
        <f>VLOOKUP(A63,'Remote work mental helath'!$A$2:$T$1001,11,)</f>
        <v>Medium</v>
      </c>
      <c r="D63">
        <f>VLOOKUP('Mental Helath'!A63,'Remote work mental helath'!$A$2:$T$1001,10,)</f>
        <v>2</v>
      </c>
      <c r="E63" t="str">
        <f>VLOOKUP(A63,'Remote work mental helath'!A63:T1062,19,FALSE)</f>
        <v>Good</v>
      </c>
      <c r="F63" t="str">
        <f>VLOOKUP(A63,'Remote work mental helath'!$A$2:$T$1001,18,)</f>
        <v>Daily</v>
      </c>
      <c r="G63">
        <f>VLOOKUP(A63,'Remote work mental helath'!$A$2:$T$1001,15,FALSE)</f>
        <v>5</v>
      </c>
      <c r="H63" t="str">
        <f>VLOOKUP(A63,'Remote work mental helath'!$A$2:$T$1001,14,)</f>
        <v>Increase</v>
      </c>
      <c r="I63" t="str">
        <f>VLOOKUP(A63,'Remote work mental helath'!$A$2:$T$1001,16,)</f>
        <v>Unsatisfied</v>
      </c>
      <c r="J63" t="str">
        <f>VLOOKUP(A63,'Remote work mental helath'!$A$2:$T$1001,13,)</f>
        <v>Yes</v>
      </c>
      <c r="K63">
        <f>VLOOKUP(A63,'Remote work mental helath'!$A$2:$T$1001,17,FALSE)</f>
        <v>5</v>
      </c>
    </row>
    <row r="64" spans="1:11" x14ac:dyDescent="0.3">
      <c r="A64" t="s">
        <v>113</v>
      </c>
      <c r="B64" t="str">
        <f>VLOOKUP(A64,'Remote work mental helath'!$A$2:$T$1001,12,)</f>
        <v>Depression</v>
      </c>
      <c r="C64" t="str">
        <f>VLOOKUP(A64,'Remote work mental helath'!$A$2:$T$1001,11,)</f>
        <v>Medium</v>
      </c>
      <c r="D64">
        <f>VLOOKUP('Mental Helath'!A64,'Remote work mental helath'!$A$2:$T$1001,10,)</f>
        <v>3</v>
      </c>
      <c r="E64" t="str">
        <f>VLOOKUP(A64,'Remote work mental helath'!A64:T1063,19,FALSE)</f>
        <v>Poor</v>
      </c>
      <c r="F64" t="str">
        <f>VLOOKUP(A64,'Remote work mental helath'!$A$2:$T$1001,18,)</f>
        <v>None</v>
      </c>
      <c r="G64">
        <f>VLOOKUP(A64,'Remote work mental helath'!$A$2:$T$1001,15,FALSE)</f>
        <v>3</v>
      </c>
      <c r="H64" t="str">
        <f>VLOOKUP(A64,'Remote work mental helath'!$A$2:$T$1001,14,)</f>
        <v>No Change</v>
      </c>
      <c r="I64" t="str">
        <f>VLOOKUP(A64,'Remote work mental helath'!$A$2:$T$1001,16,)</f>
        <v>Satisfied</v>
      </c>
      <c r="J64" t="str">
        <f>VLOOKUP(A64,'Remote work mental helath'!$A$2:$T$1001,13,)</f>
        <v>No</v>
      </c>
      <c r="K64">
        <f>VLOOKUP(A64,'Remote work mental helath'!$A$2:$T$1001,17,FALSE)</f>
        <v>2</v>
      </c>
    </row>
    <row r="65" spans="1:11" x14ac:dyDescent="0.3">
      <c r="A65" t="s">
        <v>114</v>
      </c>
      <c r="B65" t="str">
        <f>VLOOKUP(A65,'Remote work mental helath'!$A$2:$T$1001,12,)</f>
        <v>Depression</v>
      </c>
      <c r="C65" t="str">
        <f>VLOOKUP(A65,'Remote work mental helath'!$A$2:$T$1001,11,)</f>
        <v>Medium</v>
      </c>
      <c r="D65">
        <f>VLOOKUP('Mental Helath'!A65,'Remote work mental helath'!$A$2:$T$1001,10,)</f>
        <v>3</v>
      </c>
      <c r="E65" t="str">
        <f>VLOOKUP(A65,'Remote work mental helath'!A65:T1064,19,FALSE)</f>
        <v>Good</v>
      </c>
      <c r="F65" t="str">
        <f>VLOOKUP(A65,'Remote work mental helath'!$A$2:$T$1001,18,)</f>
        <v>None</v>
      </c>
      <c r="G65">
        <f>VLOOKUP(A65,'Remote work mental helath'!$A$2:$T$1001,15,FALSE)</f>
        <v>2</v>
      </c>
      <c r="H65" t="str">
        <f>VLOOKUP(A65,'Remote work mental helath'!$A$2:$T$1001,14,)</f>
        <v>No Change</v>
      </c>
      <c r="I65" t="str">
        <f>VLOOKUP(A65,'Remote work mental helath'!$A$2:$T$1001,16,)</f>
        <v>Satisfied</v>
      </c>
      <c r="J65" t="str">
        <f>VLOOKUP(A65,'Remote work mental helath'!$A$2:$T$1001,13,)</f>
        <v>Yes</v>
      </c>
      <c r="K65">
        <f>VLOOKUP(A65,'Remote work mental helath'!$A$2:$T$1001,17,FALSE)</f>
        <v>5</v>
      </c>
    </row>
    <row r="66" spans="1:11" x14ac:dyDescent="0.3">
      <c r="A66" t="s">
        <v>115</v>
      </c>
      <c r="B66" t="str">
        <f>VLOOKUP(A66,'Remote work mental helath'!$A$2:$T$1001,12,)</f>
        <v>Burnout</v>
      </c>
      <c r="C66" t="str">
        <f>VLOOKUP(A66,'Remote work mental helath'!$A$2:$T$1001,11,)</f>
        <v>Medium</v>
      </c>
      <c r="D66">
        <f>VLOOKUP('Mental Helath'!A66,'Remote work mental helath'!$A$2:$T$1001,10,)</f>
        <v>4</v>
      </c>
      <c r="E66" t="str">
        <f>VLOOKUP(A66,'Remote work mental helath'!A66:T1065,19,FALSE)</f>
        <v>Good</v>
      </c>
      <c r="F66" t="str">
        <f>VLOOKUP(A66,'Remote work mental helath'!$A$2:$T$1001,18,)</f>
        <v>None</v>
      </c>
      <c r="G66">
        <f>VLOOKUP(A66,'Remote work mental helath'!$A$2:$T$1001,15,FALSE)</f>
        <v>2</v>
      </c>
      <c r="H66" t="str">
        <f>VLOOKUP(A66,'Remote work mental helath'!$A$2:$T$1001,14,)</f>
        <v>No Change</v>
      </c>
      <c r="I66" t="str">
        <f>VLOOKUP(A66,'Remote work mental helath'!$A$2:$T$1001,16,)</f>
        <v>Unsatisfied</v>
      </c>
      <c r="J66" t="str">
        <f>VLOOKUP(A66,'Remote work mental helath'!$A$2:$T$1001,13,)</f>
        <v>No</v>
      </c>
      <c r="K66">
        <f>VLOOKUP(A66,'Remote work mental helath'!$A$2:$T$1001,17,FALSE)</f>
        <v>2</v>
      </c>
    </row>
    <row r="67" spans="1:11" x14ac:dyDescent="0.3">
      <c r="A67" t="s">
        <v>116</v>
      </c>
      <c r="B67" t="str">
        <f>VLOOKUP(A67,'Remote work mental helath'!$A$2:$T$1001,12,)</f>
        <v>Anxiety</v>
      </c>
      <c r="C67" t="str">
        <f>VLOOKUP(A67,'Remote work mental helath'!$A$2:$T$1001,11,)</f>
        <v>Medium</v>
      </c>
      <c r="D67">
        <f>VLOOKUP('Mental Helath'!A67,'Remote work mental helath'!$A$2:$T$1001,10,)</f>
        <v>4</v>
      </c>
      <c r="E67" t="str">
        <f>VLOOKUP(A67,'Remote work mental helath'!A67:T1066,19,FALSE)</f>
        <v>Poor</v>
      </c>
      <c r="F67" t="str">
        <f>VLOOKUP(A67,'Remote work mental helath'!$A$2:$T$1001,18,)</f>
        <v>Weekly</v>
      </c>
      <c r="G67">
        <f>VLOOKUP(A67,'Remote work mental helath'!$A$2:$T$1001,15,FALSE)</f>
        <v>4</v>
      </c>
      <c r="H67" t="str">
        <f>VLOOKUP(A67,'Remote work mental helath'!$A$2:$T$1001,14,)</f>
        <v>Increase</v>
      </c>
      <c r="I67" t="str">
        <f>VLOOKUP(A67,'Remote work mental helath'!$A$2:$T$1001,16,)</f>
        <v>Satisfied</v>
      </c>
      <c r="J67" t="str">
        <f>VLOOKUP(A67,'Remote work mental helath'!$A$2:$T$1001,13,)</f>
        <v>Yes</v>
      </c>
      <c r="K67">
        <f>VLOOKUP(A67,'Remote work mental helath'!$A$2:$T$1001,17,FALSE)</f>
        <v>4</v>
      </c>
    </row>
    <row r="68" spans="1:11" x14ac:dyDescent="0.3">
      <c r="A68" t="s">
        <v>117</v>
      </c>
      <c r="B68" t="str">
        <f>VLOOKUP(A68,'Remote work mental helath'!$A$2:$T$1001,12,)</f>
        <v>Burnout</v>
      </c>
      <c r="C68" t="str">
        <f>VLOOKUP(A68,'Remote work mental helath'!$A$2:$T$1001,11,)</f>
        <v>Medium</v>
      </c>
      <c r="D68">
        <f>VLOOKUP('Mental Helath'!A68,'Remote work mental helath'!$A$2:$T$1001,10,)</f>
        <v>1</v>
      </c>
      <c r="E68" t="str">
        <f>VLOOKUP(A68,'Remote work mental helath'!A68:T1067,19,FALSE)</f>
        <v>Good</v>
      </c>
      <c r="F68" t="str">
        <f>VLOOKUP(A68,'Remote work mental helath'!$A$2:$T$1001,18,)</f>
        <v>Daily</v>
      </c>
      <c r="G68">
        <f>VLOOKUP(A68,'Remote work mental helath'!$A$2:$T$1001,15,FALSE)</f>
        <v>3</v>
      </c>
      <c r="H68" t="str">
        <f>VLOOKUP(A68,'Remote work mental helath'!$A$2:$T$1001,14,)</f>
        <v>Increase</v>
      </c>
      <c r="I68" t="str">
        <f>VLOOKUP(A68,'Remote work mental helath'!$A$2:$T$1001,16,)</f>
        <v>Satisfied</v>
      </c>
      <c r="J68" t="str">
        <f>VLOOKUP(A68,'Remote work mental helath'!$A$2:$T$1001,13,)</f>
        <v>No</v>
      </c>
      <c r="K68">
        <f>VLOOKUP(A68,'Remote work mental helath'!$A$2:$T$1001,17,FALSE)</f>
        <v>2</v>
      </c>
    </row>
    <row r="69" spans="1:11" x14ac:dyDescent="0.3">
      <c r="A69" t="s">
        <v>118</v>
      </c>
      <c r="B69" t="str">
        <f>VLOOKUP(A69,'Remote work mental helath'!$A$2:$T$1001,12,)</f>
        <v>None</v>
      </c>
      <c r="C69" t="str">
        <f>VLOOKUP(A69,'Remote work mental helath'!$A$2:$T$1001,11,)</f>
        <v>High</v>
      </c>
      <c r="D69">
        <f>VLOOKUP('Mental Helath'!A69,'Remote work mental helath'!$A$2:$T$1001,10,)</f>
        <v>2</v>
      </c>
      <c r="E69" t="str">
        <f>VLOOKUP(A69,'Remote work mental helath'!A69:T1068,19,FALSE)</f>
        <v>Poor</v>
      </c>
      <c r="F69" t="str">
        <f>VLOOKUP(A69,'Remote work mental helath'!$A$2:$T$1001,18,)</f>
        <v>Weekly</v>
      </c>
      <c r="G69">
        <f>VLOOKUP(A69,'Remote work mental helath'!$A$2:$T$1001,15,FALSE)</f>
        <v>3</v>
      </c>
      <c r="H69" t="str">
        <f>VLOOKUP(A69,'Remote work mental helath'!$A$2:$T$1001,14,)</f>
        <v>Decrease</v>
      </c>
      <c r="I69" t="str">
        <f>VLOOKUP(A69,'Remote work mental helath'!$A$2:$T$1001,16,)</f>
        <v>Unsatisfied</v>
      </c>
      <c r="J69" t="str">
        <f>VLOOKUP(A69,'Remote work mental helath'!$A$2:$T$1001,13,)</f>
        <v>Yes</v>
      </c>
      <c r="K69">
        <f>VLOOKUP(A69,'Remote work mental helath'!$A$2:$T$1001,17,FALSE)</f>
        <v>4</v>
      </c>
    </row>
    <row r="70" spans="1:11" x14ac:dyDescent="0.3">
      <c r="A70" t="s">
        <v>119</v>
      </c>
      <c r="B70" t="str">
        <f>VLOOKUP(A70,'Remote work mental helath'!$A$2:$T$1001,12,)</f>
        <v>Anxiety</v>
      </c>
      <c r="C70" t="str">
        <f>VLOOKUP(A70,'Remote work mental helath'!$A$2:$T$1001,11,)</f>
        <v>High</v>
      </c>
      <c r="D70">
        <f>VLOOKUP('Mental Helath'!A70,'Remote work mental helath'!$A$2:$T$1001,10,)</f>
        <v>2</v>
      </c>
      <c r="E70" t="str">
        <f>VLOOKUP(A70,'Remote work mental helath'!A70:T1069,19,FALSE)</f>
        <v>Average</v>
      </c>
      <c r="F70" t="str">
        <f>VLOOKUP(A70,'Remote work mental helath'!$A$2:$T$1001,18,)</f>
        <v>Daily</v>
      </c>
      <c r="G70">
        <f>VLOOKUP(A70,'Remote work mental helath'!$A$2:$T$1001,15,FALSE)</f>
        <v>3</v>
      </c>
      <c r="H70" t="str">
        <f>VLOOKUP(A70,'Remote work mental helath'!$A$2:$T$1001,14,)</f>
        <v>Decrease</v>
      </c>
      <c r="I70" t="str">
        <f>VLOOKUP(A70,'Remote work mental helath'!$A$2:$T$1001,16,)</f>
        <v>Neutral</v>
      </c>
      <c r="J70" t="str">
        <f>VLOOKUP(A70,'Remote work mental helath'!$A$2:$T$1001,13,)</f>
        <v>Yes</v>
      </c>
      <c r="K70">
        <f>VLOOKUP(A70,'Remote work mental helath'!$A$2:$T$1001,17,FALSE)</f>
        <v>1</v>
      </c>
    </row>
    <row r="71" spans="1:11" x14ac:dyDescent="0.3">
      <c r="A71" t="s">
        <v>120</v>
      </c>
      <c r="B71" t="str">
        <f>VLOOKUP(A71,'Remote work mental helath'!$A$2:$T$1001,12,)</f>
        <v>None</v>
      </c>
      <c r="C71" t="str">
        <f>VLOOKUP(A71,'Remote work mental helath'!$A$2:$T$1001,11,)</f>
        <v>Low</v>
      </c>
      <c r="D71">
        <f>VLOOKUP('Mental Helath'!A71,'Remote work mental helath'!$A$2:$T$1001,10,)</f>
        <v>2</v>
      </c>
      <c r="E71" t="str">
        <f>VLOOKUP(A71,'Remote work mental helath'!A71:T1070,19,FALSE)</f>
        <v>Good</v>
      </c>
      <c r="F71" t="str">
        <f>VLOOKUP(A71,'Remote work mental helath'!$A$2:$T$1001,18,)</f>
        <v>Daily</v>
      </c>
      <c r="G71">
        <f>VLOOKUP(A71,'Remote work mental helath'!$A$2:$T$1001,15,FALSE)</f>
        <v>5</v>
      </c>
      <c r="H71" t="str">
        <f>VLOOKUP(A71,'Remote work mental helath'!$A$2:$T$1001,14,)</f>
        <v>No Change</v>
      </c>
      <c r="I71" t="str">
        <f>VLOOKUP(A71,'Remote work mental helath'!$A$2:$T$1001,16,)</f>
        <v>Neutral</v>
      </c>
      <c r="J71" t="str">
        <f>VLOOKUP(A71,'Remote work mental helath'!$A$2:$T$1001,13,)</f>
        <v>No</v>
      </c>
      <c r="K71">
        <f>VLOOKUP(A71,'Remote work mental helath'!$A$2:$T$1001,17,FALSE)</f>
        <v>1</v>
      </c>
    </row>
    <row r="72" spans="1:11" x14ac:dyDescent="0.3">
      <c r="A72" t="s">
        <v>121</v>
      </c>
      <c r="B72" t="str">
        <f>VLOOKUP(A72,'Remote work mental helath'!$A$2:$T$1001,12,)</f>
        <v>Anxiety</v>
      </c>
      <c r="C72" t="str">
        <f>VLOOKUP(A72,'Remote work mental helath'!$A$2:$T$1001,11,)</f>
        <v>Medium</v>
      </c>
      <c r="D72">
        <f>VLOOKUP('Mental Helath'!A72,'Remote work mental helath'!$A$2:$T$1001,10,)</f>
        <v>4</v>
      </c>
      <c r="E72" t="str">
        <f>VLOOKUP(A72,'Remote work mental helath'!A72:T1071,19,FALSE)</f>
        <v>Average</v>
      </c>
      <c r="F72" t="str">
        <f>VLOOKUP(A72,'Remote work mental helath'!$A$2:$T$1001,18,)</f>
        <v>Weekly</v>
      </c>
      <c r="G72">
        <f>VLOOKUP(A72,'Remote work mental helath'!$A$2:$T$1001,15,FALSE)</f>
        <v>4</v>
      </c>
      <c r="H72" t="str">
        <f>VLOOKUP(A72,'Remote work mental helath'!$A$2:$T$1001,14,)</f>
        <v>Increase</v>
      </c>
      <c r="I72" t="str">
        <f>VLOOKUP(A72,'Remote work mental helath'!$A$2:$T$1001,16,)</f>
        <v>Satisfied</v>
      </c>
      <c r="J72" t="str">
        <f>VLOOKUP(A72,'Remote work mental helath'!$A$2:$T$1001,13,)</f>
        <v>No</v>
      </c>
      <c r="K72">
        <f>VLOOKUP(A72,'Remote work mental helath'!$A$2:$T$1001,17,FALSE)</f>
        <v>1</v>
      </c>
    </row>
    <row r="73" spans="1:11" x14ac:dyDescent="0.3">
      <c r="A73" t="s">
        <v>122</v>
      </c>
      <c r="B73" t="str">
        <f>VLOOKUP(A73,'Remote work mental helath'!$A$2:$T$1001,12,)</f>
        <v>Depression</v>
      </c>
      <c r="C73" t="str">
        <f>VLOOKUP(A73,'Remote work mental helath'!$A$2:$T$1001,11,)</f>
        <v>Medium</v>
      </c>
      <c r="D73">
        <f>VLOOKUP('Mental Helath'!A73,'Remote work mental helath'!$A$2:$T$1001,10,)</f>
        <v>1</v>
      </c>
      <c r="E73" t="str">
        <f>VLOOKUP(A73,'Remote work mental helath'!A73:T1072,19,FALSE)</f>
        <v>Average</v>
      </c>
      <c r="F73" t="str">
        <f>VLOOKUP(A73,'Remote work mental helath'!$A$2:$T$1001,18,)</f>
        <v>Weekly</v>
      </c>
      <c r="G73">
        <f>VLOOKUP(A73,'Remote work mental helath'!$A$2:$T$1001,15,FALSE)</f>
        <v>2</v>
      </c>
      <c r="H73" t="str">
        <f>VLOOKUP(A73,'Remote work mental helath'!$A$2:$T$1001,14,)</f>
        <v>No Change</v>
      </c>
      <c r="I73" t="str">
        <f>VLOOKUP(A73,'Remote work mental helath'!$A$2:$T$1001,16,)</f>
        <v>Neutral</v>
      </c>
      <c r="J73" t="str">
        <f>VLOOKUP(A73,'Remote work mental helath'!$A$2:$T$1001,13,)</f>
        <v>Yes</v>
      </c>
      <c r="K73">
        <f>VLOOKUP(A73,'Remote work mental helath'!$A$2:$T$1001,17,FALSE)</f>
        <v>2</v>
      </c>
    </row>
    <row r="74" spans="1:11" x14ac:dyDescent="0.3">
      <c r="A74" t="s">
        <v>123</v>
      </c>
      <c r="B74" t="str">
        <f>VLOOKUP(A74,'Remote work mental helath'!$A$2:$T$1001,12,)</f>
        <v>Burnout</v>
      </c>
      <c r="C74" t="str">
        <f>VLOOKUP(A74,'Remote work mental helath'!$A$2:$T$1001,11,)</f>
        <v>High</v>
      </c>
      <c r="D74">
        <f>VLOOKUP('Mental Helath'!A74,'Remote work mental helath'!$A$2:$T$1001,10,)</f>
        <v>5</v>
      </c>
      <c r="E74" t="str">
        <f>VLOOKUP(A74,'Remote work mental helath'!A74:T1073,19,FALSE)</f>
        <v>Good</v>
      </c>
      <c r="F74" t="str">
        <f>VLOOKUP(A74,'Remote work mental helath'!$A$2:$T$1001,18,)</f>
        <v>Weekly</v>
      </c>
      <c r="G74">
        <f>VLOOKUP(A74,'Remote work mental helath'!$A$2:$T$1001,15,FALSE)</f>
        <v>2</v>
      </c>
      <c r="H74" t="str">
        <f>VLOOKUP(A74,'Remote work mental helath'!$A$2:$T$1001,14,)</f>
        <v>No Change</v>
      </c>
      <c r="I74" t="str">
        <f>VLOOKUP(A74,'Remote work mental helath'!$A$2:$T$1001,16,)</f>
        <v>Unsatisfied</v>
      </c>
      <c r="J74" t="str">
        <f>VLOOKUP(A74,'Remote work mental helath'!$A$2:$T$1001,13,)</f>
        <v>Yes</v>
      </c>
      <c r="K74">
        <f>VLOOKUP(A74,'Remote work mental helath'!$A$2:$T$1001,17,FALSE)</f>
        <v>1</v>
      </c>
    </row>
    <row r="75" spans="1:11" x14ac:dyDescent="0.3">
      <c r="A75" t="s">
        <v>124</v>
      </c>
      <c r="B75" t="str">
        <f>VLOOKUP(A75,'Remote work mental helath'!$A$2:$T$1001,12,)</f>
        <v>Anxiety</v>
      </c>
      <c r="C75" t="str">
        <f>VLOOKUP(A75,'Remote work mental helath'!$A$2:$T$1001,11,)</f>
        <v>High</v>
      </c>
      <c r="D75">
        <f>VLOOKUP('Mental Helath'!A75,'Remote work mental helath'!$A$2:$T$1001,10,)</f>
        <v>3</v>
      </c>
      <c r="E75" t="str">
        <f>VLOOKUP(A75,'Remote work mental helath'!A75:T1074,19,FALSE)</f>
        <v>Poor</v>
      </c>
      <c r="F75" t="str">
        <f>VLOOKUP(A75,'Remote work mental helath'!$A$2:$T$1001,18,)</f>
        <v>None</v>
      </c>
      <c r="G75">
        <f>VLOOKUP(A75,'Remote work mental helath'!$A$2:$T$1001,15,FALSE)</f>
        <v>1</v>
      </c>
      <c r="H75" t="str">
        <f>VLOOKUP(A75,'Remote work mental helath'!$A$2:$T$1001,14,)</f>
        <v>Decrease</v>
      </c>
      <c r="I75" t="str">
        <f>VLOOKUP(A75,'Remote work mental helath'!$A$2:$T$1001,16,)</f>
        <v>Neutral</v>
      </c>
      <c r="J75" t="str">
        <f>VLOOKUP(A75,'Remote work mental helath'!$A$2:$T$1001,13,)</f>
        <v>Yes</v>
      </c>
      <c r="K75">
        <f>VLOOKUP(A75,'Remote work mental helath'!$A$2:$T$1001,17,FALSE)</f>
        <v>1</v>
      </c>
    </row>
    <row r="76" spans="1:11" x14ac:dyDescent="0.3">
      <c r="A76" t="s">
        <v>125</v>
      </c>
      <c r="B76" t="str">
        <f>VLOOKUP(A76,'Remote work mental helath'!$A$2:$T$1001,12,)</f>
        <v>Burnout</v>
      </c>
      <c r="C76" t="str">
        <f>VLOOKUP(A76,'Remote work mental helath'!$A$2:$T$1001,11,)</f>
        <v>Medium</v>
      </c>
      <c r="D76">
        <f>VLOOKUP('Mental Helath'!A76,'Remote work mental helath'!$A$2:$T$1001,10,)</f>
        <v>2</v>
      </c>
      <c r="E76" t="str">
        <f>VLOOKUP(A76,'Remote work mental helath'!A76:T1075,19,FALSE)</f>
        <v>Poor</v>
      </c>
      <c r="F76" t="str">
        <f>VLOOKUP(A76,'Remote work mental helath'!$A$2:$T$1001,18,)</f>
        <v>Weekly</v>
      </c>
      <c r="G76">
        <f>VLOOKUP(A76,'Remote work mental helath'!$A$2:$T$1001,15,FALSE)</f>
        <v>3</v>
      </c>
      <c r="H76" t="str">
        <f>VLOOKUP(A76,'Remote work mental helath'!$A$2:$T$1001,14,)</f>
        <v>No Change</v>
      </c>
      <c r="I76" t="str">
        <f>VLOOKUP(A76,'Remote work mental helath'!$A$2:$T$1001,16,)</f>
        <v>Neutral</v>
      </c>
      <c r="J76" t="str">
        <f>VLOOKUP(A76,'Remote work mental helath'!$A$2:$T$1001,13,)</f>
        <v>No</v>
      </c>
      <c r="K76">
        <f>VLOOKUP(A76,'Remote work mental helath'!$A$2:$T$1001,17,FALSE)</f>
        <v>3</v>
      </c>
    </row>
    <row r="77" spans="1:11" x14ac:dyDescent="0.3">
      <c r="A77" t="s">
        <v>126</v>
      </c>
      <c r="B77" t="str">
        <f>VLOOKUP(A77,'Remote work mental helath'!$A$2:$T$1001,12,)</f>
        <v>Anxiety</v>
      </c>
      <c r="C77" t="str">
        <f>VLOOKUP(A77,'Remote work mental helath'!$A$2:$T$1001,11,)</f>
        <v>High</v>
      </c>
      <c r="D77">
        <f>VLOOKUP('Mental Helath'!A77,'Remote work mental helath'!$A$2:$T$1001,10,)</f>
        <v>5</v>
      </c>
      <c r="E77" t="str">
        <f>VLOOKUP(A77,'Remote work mental helath'!A77:T1076,19,FALSE)</f>
        <v>Good</v>
      </c>
      <c r="F77" t="str">
        <f>VLOOKUP(A77,'Remote work mental helath'!$A$2:$T$1001,18,)</f>
        <v>None</v>
      </c>
      <c r="G77">
        <f>VLOOKUP(A77,'Remote work mental helath'!$A$2:$T$1001,15,FALSE)</f>
        <v>4</v>
      </c>
      <c r="H77" t="str">
        <f>VLOOKUP(A77,'Remote work mental helath'!$A$2:$T$1001,14,)</f>
        <v>No Change</v>
      </c>
      <c r="I77" t="str">
        <f>VLOOKUP(A77,'Remote work mental helath'!$A$2:$T$1001,16,)</f>
        <v>Satisfied</v>
      </c>
      <c r="J77" t="str">
        <f>VLOOKUP(A77,'Remote work mental helath'!$A$2:$T$1001,13,)</f>
        <v>Yes</v>
      </c>
      <c r="K77">
        <f>VLOOKUP(A77,'Remote work mental helath'!$A$2:$T$1001,17,FALSE)</f>
        <v>3</v>
      </c>
    </row>
    <row r="78" spans="1:11" x14ac:dyDescent="0.3">
      <c r="A78" t="s">
        <v>127</v>
      </c>
      <c r="B78" t="str">
        <f>VLOOKUP(A78,'Remote work mental helath'!$A$2:$T$1001,12,)</f>
        <v>Depression</v>
      </c>
      <c r="C78" t="str">
        <f>VLOOKUP(A78,'Remote work mental helath'!$A$2:$T$1001,11,)</f>
        <v>High</v>
      </c>
      <c r="D78">
        <f>VLOOKUP('Mental Helath'!A78,'Remote work mental helath'!$A$2:$T$1001,10,)</f>
        <v>4</v>
      </c>
      <c r="E78" t="str">
        <f>VLOOKUP(A78,'Remote work mental helath'!A78:T1077,19,FALSE)</f>
        <v>Good</v>
      </c>
      <c r="F78" t="str">
        <f>VLOOKUP(A78,'Remote work mental helath'!$A$2:$T$1001,18,)</f>
        <v>Weekly</v>
      </c>
      <c r="G78">
        <f>VLOOKUP(A78,'Remote work mental helath'!$A$2:$T$1001,15,FALSE)</f>
        <v>1</v>
      </c>
      <c r="H78" t="str">
        <f>VLOOKUP(A78,'Remote work mental helath'!$A$2:$T$1001,14,)</f>
        <v>No Change</v>
      </c>
      <c r="I78" t="str">
        <f>VLOOKUP(A78,'Remote work mental helath'!$A$2:$T$1001,16,)</f>
        <v>Unsatisfied</v>
      </c>
      <c r="J78" t="str">
        <f>VLOOKUP(A78,'Remote work mental helath'!$A$2:$T$1001,13,)</f>
        <v>No</v>
      </c>
      <c r="K78">
        <f>VLOOKUP(A78,'Remote work mental helath'!$A$2:$T$1001,17,FALSE)</f>
        <v>2</v>
      </c>
    </row>
    <row r="79" spans="1:11" x14ac:dyDescent="0.3">
      <c r="A79" t="s">
        <v>128</v>
      </c>
      <c r="B79" t="str">
        <f>VLOOKUP(A79,'Remote work mental helath'!$A$2:$T$1001,12,)</f>
        <v>Anxiety</v>
      </c>
      <c r="C79" t="str">
        <f>VLOOKUP(A79,'Remote work mental helath'!$A$2:$T$1001,11,)</f>
        <v>Medium</v>
      </c>
      <c r="D79">
        <f>VLOOKUP('Mental Helath'!A79,'Remote work mental helath'!$A$2:$T$1001,10,)</f>
        <v>5</v>
      </c>
      <c r="E79" t="str">
        <f>VLOOKUP(A79,'Remote work mental helath'!A79:T1078,19,FALSE)</f>
        <v>Average</v>
      </c>
      <c r="F79" t="str">
        <f>VLOOKUP(A79,'Remote work mental helath'!$A$2:$T$1001,18,)</f>
        <v>Daily</v>
      </c>
      <c r="G79">
        <f>VLOOKUP(A79,'Remote work mental helath'!$A$2:$T$1001,15,FALSE)</f>
        <v>1</v>
      </c>
      <c r="H79" t="str">
        <f>VLOOKUP(A79,'Remote work mental helath'!$A$2:$T$1001,14,)</f>
        <v>No Change</v>
      </c>
      <c r="I79" t="str">
        <f>VLOOKUP(A79,'Remote work mental helath'!$A$2:$T$1001,16,)</f>
        <v>Satisfied</v>
      </c>
      <c r="J79" t="str">
        <f>VLOOKUP(A79,'Remote work mental helath'!$A$2:$T$1001,13,)</f>
        <v>Yes</v>
      </c>
      <c r="K79">
        <f>VLOOKUP(A79,'Remote work mental helath'!$A$2:$T$1001,17,FALSE)</f>
        <v>1</v>
      </c>
    </row>
    <row r="80" spans="1:11" x14ac:dyDescent="0.3">
      <c r="A80" t="s">
        <v>129</v>
      </c>
      <c r="B80" t="str">
        <f>VLOOKUP(A80,'Remote work mental helath'!$A$2:$T$1001,12,)</f>
        <v>Burnout</v>
      </c>
      <c r="C80" t="str">
        <f>VLOOKUP(A80,'Remote work mental helath'!$A$2:$T$1001,11,)</f>
        <v>High</v>
      </c>
      <c r="D80">
        <f>VLOOKUP('Mental Helath'!A80,'Remote work mental helath'!$A$2:$T$1001,10,)</f>
        <v>2</v>
      </c>
      <c r="E80" t="str">
        <f>VLOOKUP(A80,'Remote work mental helath'!A80:T1079,19,FALSE)</f>
        <v>Average</v>
      </c>
      <c r="F80" t="str">
        <f>VLOOKUP(A80,'Remote work mental helath'!$A$2:$T$1001,18,)</f>
        <v>Daily</v>
      </c>
      <c r="G80">
        <f>VLOOKUP(A80,'Remote work mental helath'!$A$2:$T$1001,15,FALSE)</f>
        <v>2</v>
      </c>
      <c r="H80" t="str">
        <f>VLOOKUP(A80,'Remote work mental helath'!$A$2:$T$1001,14,)</f>
        <v>Increase</v>
      </c>
      <c r="I80" t="str">
        <f>VLOOKUP(A80,'Remote work mental helath'!$A$2:$T$1001,16,)</f>
        <v>Neutral</v>
      </c>
      <c r="J80" t="str">
        <f>VLOOKUP(A80,'Remote work mental helath'!$A$2:$T$1001,13,)</f>
        <v>Yes</v>
      </c>
      <c r="K80">
        <f>VLOOKUP(A80,'Remote work mental helath'!$A$2:$T$1001,17,FALSE)</f>
        <v>1</v>
      </c>
    </row>
    <row r="81" spans="1:11" x14ac:dyDescent="0.3">
      <c r="A81" t="s">
        <v>130</v>
      </c>
      <c r="B81" t="str">
        <f>VLOOKUP(A81,'Remote work mental helath'!$A$2:$T$1001,12,)</f>
        <v>Burnout</v>
      </c>
      <c r="C81" t="str">
        <f>VLOOKUP(A81,'Remote work mental helath'!$A$2:$T$1001,11,)</f>
        <v>Low</v>
      </c>
      <c r="D81">
        <f>VLOOKUP('Mental Helath'!A81,'Remote work mental helath'!$A$2:$T$1001,10,)</f>
        <v>5</v>
      </c>
      <c r="E81" t="str">
        <f>VLOOKUP(A81,'Remote work mental helath'!A81:T1080,19,FALSE)</f>
        <v>Average</v>
      </c>
      <c r="F81" t="str">
        <f>VLOOKUP(A81,'Remote work mental helath'!$A$2:$T$1001,18,)</f>
        <v>Weekly</v>
      </c>
      <c r="G81">
        <f>VLOOKUP(A81,'Remote work mental helath'!$A$2:$T$1001,15,FALSE)</f>
        <v>4</v>
      </c>
      <c r="H81" t="str">
        <f>VLOOKUP(A81,'Remote work mental helath'!$A$2:$T$1001,14,)</f>
        <v>No Change</v>
      </c>
      <c r="I81" t="str">
        <f>VLOOKUP(A81,'Remote work mental helath'!$A$2:$T$1001,16,)</f>
        <v>Unsatisfied</v>
      </c>
      <c r="J81" t="str">
        <f>VLOOKUP(A81,'Remote work mental helath'!$A$2:$T$1001,13,)</f>
        <v>No</v>
      </c>
      <c r="K81">
        <f>VLOOKUP(A81,'Remote work mental helath'!$A$2:$T$1001,17,FALSE)</f>
        <v>3</v>
      </c>
    </row>
    <row r="82" spans="1:11" x14ac:dyDescent="0.3">
      <c r="A82" t="s">
        <v>131</v>
      </c>
      <c r="B82" t="str">
        <f>VLOOKUP(A82,'Remote work mental helath'!$A$2:$T$1001,12,)</f>
        <v>Burnout</v>
      </c>
      <c r="C82" t="str">
        <f>VLOOKUP(A82,'Remote work mental helath'!$A$2:$T$1001,11,)</f>
        <v>High</v>
      </c>
      <c r="D82">
        <f>VLOOKUP('Mental Helath'!A82,'Remote work mental helath'!$A$2:$T$1001,10,)</f>
        <v>3</v>
      </c>
      <c r="E82" t="str">
        <f>VLOOKUP(A82,'Remote work mental helath'!A82:T1081,19,FALSE)</f>
        <v>Poor</v>
      </c>
      <c r="F82" t="str">
        <f>VLOOKUP(A82,'Remote work mental helath'!$A$2:$T$1001,18,)</f>
        <v>None</v>
      </c>
      <c r="G82">
        <f>VLOOKUP(A82,'Remote work mental helath'!$A$2:$T$1001,15,FALSE)</f>
        <v>4</v>
      </c>
      <c r="H82" t="str">
        <f>VLOOKUP(A82,'Remote work mental helath'!$A$2:$T$1001,14,)</f>
        <v>Decrease</v>
      </c>
      <c r="I82" t="str">
        <f>VLOOKUP(A82,'Remote work mental helath'!$A$2:$T$1001,16,)</f>
        <v>Satisfied</v>
      </c>
      <c r="J82" t="str">
        <f>VLOOKUP(A82,'Remote work mental helath'!$A$2:$T$1001,13,)</f>
        <v>No</v>
      </c>
      <c r="K82">
        <f>VLOOKUP(A82,'Remote work mental helath'!$A$2:$T$1001,17,FALSE)</f>
        <v>4</v>
      </c>
    </row>
    <row r="83" spans="1:11" x14ac:dyDescent="0.3">
      <c r="A83" t="s">
        <v>132</v>
      </c>
      <c r="B83" t="str">
        <f>VLOOKUP(A83,'Remote work mental helath'!$A$2:$T$1001,12,)</f>
        <v>Depression</v>
      </c>
      <c r="C83" t="str">
        <f>VLOOKUP(A83,'Remote work mental helath'!$A$2:$T$1001,11,)</f>
        <v>High</v>
      </c>
      <c r="D83">
        <f>VLOOKUP('Mental Helath'!A83,'Remote work mental helath'!$A$2:$T$1001,10,)</f>
        <v>4</v>
      </c>
      <c r="E83" t="str">
        <f>VLOOKUP(A83,'Remote work mental helath'!A83:T1082,19,FALSE)</f>
        <v>Poor</v>
      </c>
      <c r="F83" t="str">
        <f>VLOOKUP(A83,'Remote work mental helath'!$A$2:$T$1001,18,)</f>
        <v>Daily</v>
      </c>
      <c r="G83">
        <f>VLOOKUP(A83,'Remote work mental helath'!$A$2:$T$1001,15,FALSE)</f>
        <v>3</v>
      </c>
      <c r="H83" t="str">
        <f>VLOOKUP(A83,'Remote work mental helath'!$A$2:$T$1001,14,)</f>
        <v>Increase</v>
      </c>
      <c r="I83" t="str">
        <f>VLOOKUP(A83,'Remote work mental helath'!$A$2:$T$1001,16,)</f>
        <v>Neutral</v>
      </c>
      <c r="J83" t="str">
        <f>VLOOKUP(A83,'Remote work mental helath'!$A$2:$T$1001,13,)</f>
        <v>Yes</v>
      </c>
      <c r="K83">
        <f>VLOOKUP(A83,'Remote work mental helath'!$A$2:$T$1001,17,FALSE)</f>
        <v>2</v>
      </c>
    </row>
    <row r="84" spans="1:11" x14ac:dyDescent="0.3">
      <c r="A84" t="s">
        <v>133</v>
      </c>
      <c r="B84" t="str">
        <f>VLOOKUP(A84,'Remote work mental helath'!$A$2:$T$1001,12,)</f>
        <v>Depression</v>
      </c>
      <c r="C84" t="str">
        <f>VLOOKUP(A84,'Remote work mental helath'!$A$2:$T$1001,11,)</f>
        <v>High</v>
      </c>
      <c r="D84">
        <f>VLOOKUP('Mental Helath'!A84,'Remote work mental helath'!$A$2:$T$1001,10,)</f>
        <v>3</v>
      </c>
      <c r="E84" t="str">
        <f>VLOOKUP(A84,'Remote work mental helath'!A84:T1083,19,FALSE)</f>
        <v>Good</v>
      </c>
      <c r="F84" t="str">
        <f>VLOOKUP(A84,'Remote work mental helath'!$A$2:$T$1001,18,)</f>
        <v>Weekly</v>
      </c>
      <c r="G84">
        <f>VLOOKUP(A84,'Remote work mental helath'!$A$2:$T$1001,15,FALSE)</f>
        <v>5</v>
      </c>
      <c r="H84" t="str">
        <f>VLOOKUP(A84,'Remote work mental helath'!$A$2:$T$1001,14,)</f>
        <v>Increase</v>
      </c>
      <c r="I84" t="str">
        <f>VLOOKUP(A84,'Remote work mental helath'!$A$2:$T$1001,16,)</f>
        <v>Unsatisfied</v>
      </c>
      <c r="J84" t="str">
        <f>VLOOKUP(A84,'Remote work mental helath'!$A$2:$T$1001,13,)</f>
        <v>Yes</v>
      </c>
      <c r="K84">
        <f>VLOOKUP(A84,'Remote work mental helath'!$A$2:$T$1001,17,FALSE)</f>
        <v>2</v>
      </c>
    </row>
    <row r="85" spans="1:11" x14ac:dyDescent="0.3">
      <c r="A85" t="s">
        <v>134</v>
      </c>
      <c r="B85" t="str">
        <f>VLOOKUP(A85,'Remote work mental helath'!$A$2:$T$1001,12,)</f>
        <v>Burnout</v>
      </c>
      <c r="C85" t="str">
        <f>VLOOKUP(A85,'Remote work mental helath'!$A$2:$T$1001,11,)</f>
        <v>High</v>
      </c>
      <c r="D85">
        <f>VLOOKUP('Mental Helath'!A85,'Remote work mental helath'!$A$2:$T$1001,10,)</f>
        <v>4</v>
      </c>
      <c r="E85" t="str">
        <f>VLOOKUP(A85,'Remote work mental helath'!A85:T1084,19,FALSE)</f>
        <v>Poor</v>
      </c>
      <c r="F85" t="str">
        <f>VLOOKUP(A85,'Remote work mental helath'!$A$2:$T$1001,18,)</f>
        <v>None</v>
      </c>
      <c r="G85">
        <f>VLOOKUP(A85,'Remote work mental helath'!$A$2:$T$1001,15,FALSE)</f>
        <v>5</v>
      </c>
      <c r="H85" t="str">
        <f>VLOOKUP(A85,'Remote work mental helath'!$A$2:$T$1001,14,)</f>
        <v>Increase</v>
      </c>
      <c r="I85" t="str">
        <f>VLOOKUP(A85,'Remote work mental helath'!$A$2:$T$1001,16,)</f>
        <v>Unsatisfied</v>
      </c>
      <c r="J85" t="str">
        <f>VLOOKUP(A85,'Remote work mental helath'!$A$2:$T$1001,13,)</f>
        <v>Yes</v>
      </c>
      <c r="K85">
        <f>VLOOKUP(A85,'Remote work mental helath'!$A$2:$T$1001,17,FALSE)</f>
        <v>3</v>
      </c>
    </row>
    <row r="86" spans="1:11" x14ac:dyDescent="0.3">
      <c r="A86" t="s">
        <v>135</v>
      </c>
      <c r="B86" t="str">
        <f>VLOOKUP(A86,'Remote work mental helath'!$A$2:$T$1001,12,)</f>
        <v>None</v>
      </c>
      <c r="C86" t="str">
        <f>VLOOKUP(A86,'Remote work mental helath'!$A$2:$T$1001,11,)</f>
        <v>Low</v>
      </c>
      <c r="D86">
        <f>VLOOKUP('Mental Helath'!A86,'Remote work mental helath'!$A$2:$T$1001,10,)</f>
        <v>4</v>
      </c>
      <c r="E86" t="str">
        <f>VLOOKUP(A86,'Remote work mental helath'!A86:T1085,19,FALSE)</f>
        <v>Good</v>
      </c>
      <c r="F86" t="str">
        <f>VLOOKUP(A86,'Remote work mental helath'!$A$2:$T$1001,18,)</f>
        <v>None</v>
      </c>
      <c r="G86">
        <f>VLOOKUP(A86,'Remote work mental helath'!$A$2:$T$1001,15,FALSE)</f>
        <v>2</v>
      </c>
      <c r="H86" t="str">
        <f>VLOOKUP(A86,'Remote work mental helath'!$A$2:$T$1001,14,)</f>
        <v>Decrease</v>
      </c>
      <c r="I86" t="str">
        <f>VLOOKUP(A86,'Remote work mental helath'!$A$2:$T$1001,16,)</f>
        <v>Unsatisfied</v>
      </c>
      <c r="J86" t="str">
        <f>VLOOKUP(A86,'Remote work mental helath'!$A$2:$T$1001,13,)</f>
        <v>Yes</v>
      </c>
      <c r="K86">
        <f>VLOOKUP(A86,'Remote work mental helath'!$A$2:$T$1001,17,FALSE)</f>
        <v>5</v>
      </c>
    </row>
    <row r="87" spans="1:11" x14ac:dyDescent="0.3">
      <c r="A87" t="s">
        <v>136</v>
      </c>
      <c r="B87" t="str">
        <f>VLOOKUP(A87,'Remote work mental helath'!$A$2:$T$1001,12,)</f>
        <v>Burnout</v>
      </c>
      <c r="C87" t="str">
        <f>VLOOKUP(A87,'Remote work mental helath'!$A$2:$T$1001,11,)</f>
        <v>Low</v>
      </c>
      <c r="D87">
        <f>VLOOKUP('Mental Helath'!A87,'Remote work mental helath'!$A$2:$T$1001,10,)</f>
        <v>4</v>
      </c>
      <c r="E87" t="str">
        <f>VLOOKUP(A87,'Remote work mental helath'!A87:T1086,19,FALSE)</f>
        <v>Poor</v>
      </c>
      <c r="F87" t="str">
        <f>VLOOKUP(A87,'Remote work mental helath'!$A$2:$T$1001,18,)</f>
        <v>Daily</v>
      </c>
      <c r="G87">
        <f>VLOOKUP(A87,'Remote work mental helath'!$A$2:$T$1001,15,FALSE)</f>
        <v>2</v>
      </c>
      <c r="H87" t="str">
        <f>VLOOKUP(A87,'Remote work mental helath'!$A$2:$T$1001,14,)</f>
        <v>No Change</v>
      </c>
      <c r="I87" t="str">
        <f>VLOOKUP(A87,'Remote work mental helath'!$A$2:$T$1001,16,)</f>
        <v>Unsatisfied</v>
      </c>
      <c r="J87" t="str">
        <f>VLOOKUP(A87,'Remote work mental helath'!$A$2:$T$1001,13,)</f>
        <v>No</v>
      </c>
      <c r="K87">
        <f>VLOOKUP(A87,'Remote work mental helath'!$A$2:$T$1001,17,FALSE)</f>
        <v>4</v>
      </c>
    </row>
    <row r="88" spans="1:11" x14ac:dyDescent="0.3">
      <c r="A88" t="s">
        <v>137</v>
      </c>
      <c r="B88" t="str">
        <f>VLOOKUP(A88,'Remote work mental helath'!$A$2:$T$1001,12,)</f>
        <v>Anxiety</v>
      </c>
      <c r="C88" t="str">
        <f>VLOOKUP(A88,'Remote work mental helath'!$A$2:$T$1001,11,)</f>
        <v>Low</v>
      </c>
      <c r="D88">
        <f>VLOOKUP('Mental Helath'!A88,'Remote work mental helath'!$A$2:$T$1001,10,)</f>
        <v>1</v>
      </c>
      <c r="E88" t="str">
        <f>VLOOKUP(A88,'Remote work mental helath'!A88:T1087,19,FALSE)</f>
        <v>Poor</v>
      </c>
      <c r="F88" t="str">
        <f>VLOOKUP(A88,'Remote work mental helath'!$A$2:$T$1001,18,)</f>
        <v>Weekly</v>
      </c>
      <c r="G88">
        <f>VLOOKUP(A88,'Remote work mental helath'!$A$2:$T$1001,15,FALSE)</f>
        <v>1</v>
      </c>
      <c r="H88" t="str">
        <f>VLOOKUP(A88,'Remote work mental helath'!$A$2:$T$1001,14,)</f>
        <v>Decrease</v>
      </c>
      <c r="I88" t="str">
        <f>VLOOKUP(A88,'Remote work mental helath'!$A$2:$T$1001,16,)</f>
        <v>Satisfied</v>
      </c>
      <c r="J88" t="str">
        <f>VLOOKUP(A88,'Remote work mental helath'!$A$2:$T$1001,13,)</f>
        <v>No</v>
      </c>
      <c r="K88">
        <f>VLOOKUP(A88,'Remote work mental helath'!$A$2:$T$1001,17,FALSE)</f>
        <v>1</v>
      </c>
    </row>
    <row r="89" spans="1:11" x14ac:dyDescent="0.3">
      <c r="A89" t="s">
        <v>138</v>
      </c>
      <c r="B89" t="str">
        <f>VLOOKUP(A89,'Remote work mental helath'!$A$2:$T$1001,12,)</f>
        <v>None</v>
      </c>
      <c r="C89" t="str">
        <f>VLOOKUP(A89,'Remote work mental helath'!$A$2:$T$1001,11,)</f>
        <v>Medium</v>
      </c>
      <c r="D89">
        <f>VLOOKUP('Mental Helath'!A89,'Remote work mental helath'!$A$2:$T$1001,10,)</f>
        <v>1</v>
      </c>
      <c r="E89" t="str">
        <f>VLOOKUP(A89,'Remote work mental helath'!A89:T1088,19,FALSE)</f>
        <v>Poor</v>
      </c>
      <c r="F89" t="str">
        <f>VLOOKUP(A89,'Remote work mental helath'!$A$2:$T$1001,18,)</f>
        <v>Weekly</v>
      </c>
      <c r="G89">
        <f>VLOOKUP(A89,'Remote work mental helath'!$A$2:$T$1001,15,FALSE)</f>
        <v>2</v>
      </c>
      <c r="H89" t="str">
        <f>VLOOKUP(A89,'Remote work mental helath'!$A$2:$T$1001,14,)</f>
        <v>Increase</v>
      </c>
      <c r="I89" t="str">
        <f>VLOOKUP(A89,'Remote work mental helath'!$A$2:$T$1001,16,)</f>
        <v>Unsatisfied</v>
      </c>
      <c r="J89" t="str">
        <f>VLOOKUP(A89,'Remote work mental helath'!$A$2:$T$1001,13,)</f>
        <v>Yes</v>
      </c>
      <c r="K89">
        <f>VLOOKUP(A89,'Remote work mental helath'!$A$2:$T$1001,17,FALSE)</f>
        <v>2</v>
      </c>
    </row>
    <row r="90" spans="1:11" x14ac:dyDescent="0.3">
      <c r="A90" t="s">
        <v>139</v>
      </c>
      <c r="B90" t="str">
        <f>VLOOKUP(A90,'Remote work mental helath'!$A$2:$T$1001,12,)</f>
        <v>Anxiety</v>
      </c>
      <c r="C90" t="str">
        <f>VLOOKUP(A90,'Remote work mental helath'!$A$2:$T$1001,11,)</f>
        <v>High</v>
      </c>
      <c r="D90">
        <f>VLOOKUP('Mental Helath'!A90,'Remote work mental helath'!$A$2:$T$1001,10,)</f>
        <v>5</v>
      </c>
      <c r="E90" t="str">
        <f>VLOOKUP(A90,'Remote work mental helath'!A90:T1089,19,FALSE)</f>
        <v>Poor</v>
      </c>
      <c r="F90" t="str">
        <f>VLOOKUP(A90,'Remote work mental helath'!$A$2:$T$1001,18,)</f>
        <v>None</v>
      </c>
      <c r="G90">
        <f>VLOOKUP(A90,'Remote work mental helath'!$A$2:$T$1001,15,FALSE)</f>
        <v>5</v>
      </c>
      <c r="H90" t="str">
        <f>VLOOKUP(A90,'Remote work mental helath'!$A$2:$T$1001,14,)</f>
        <v>Increase</v>
      </c>
      <c r="I90" t="str">
        <f>VLOOKUP(A90,'Remote work mental helath'!$A$2:$T$1001,16,)</f>
        <v>Neutral</v>
      </c>
      <c r="J90" t="str">
        <f>VLOOKUP(A90,'Remote work mental helath'!$A$2:$T$1001,13,)</f>
        <v>Yes</v>
      </c>
      <c r="K90">
        <f>VLOOKUP(A90,'Remote work mental helath'!$A$2:$T$1001,17,FALSE)</f>
        <v>2</v>
      </c>
    </row>
    <row r="91" spans="1:11" x14ac:dyDescent="0.3">
      <c r="A91" t="s">
        <v>140</v>
      </c>
      <c r="B91" t="str">
        <f>VLOOKUP(A91,'Remote work mental helath'!$A$2:$T$1001,12,)</f>
        <v>Depression</v>
      </c>
      <c r="C91" t="str">
        <f>VLOOKUP(A91,'Remote work mental helath'!$A$2:$T$1001,11,)</f>
        <v>Low</v>
      </c>
      <c r="D91">
        <f>VLOOKUP('Mental Helath'!A91,'Remote work mental helath'!$A$2:$T$1001,10,)</f>
        <v>4</v>
      </c>
      <c r="E91" t="str">
        <f>VLOOKUP(A91,'Remote work mental helath'!A91:T1090,19,FALSE)</f>
        <v>Poor</v>
      </c>
      <c r="F91" t="str">
        <f>VLOOKUP(A91,'Remote work mental helath'!$A$2:$T$1001,18,)</f>
        <v>Daily</v>
      </c>
      <c r="G91">
        <f>VLOOKUP(A91,'Remote work mental helath'!$A$2:$T$1001,15,FALSE)</f>
        <v>5</v>
      </c>
      <c r="H91" t="str">
        <f>VLOOKUP(A91,'Remote work mental helath'!$A$2:$T$1001,14,)</f>
        <v>Increase</v>
      </c>
      <c r="I91" t="str">
        <f>VLOOKUP(A91,'Remote work mental helath'!$A$2:$T$1001,16,)</f>
        <v>Unsatisfied</v>
      </c>
      <c r="J91" t="str">
        <f>VLOOKUP(A91,'Remote work mental helath'!$A$2:$T$1001,13,)</f>
        <v>Yes</v>
      </c>
      <c r="K91">
        <f>VLOOKUP(A91,'Remote work mental helath'!$A$2:$T$1001,17,FALSE)</f>
        <v>4</v>
      </c>
    </row>
    <row r="92" spans="1:11" x14ac:dyDescent="0.3">
      <c r="A92" t="s">
        <v>141</v>
      </c>
      <c r="B92" t="str">
        <f>VLOOKUP(A92,'Remote work mental helath'!$A$2:$T$1001,12,)</f>
        <v>Depression</v>
      </c>
      <c r="C92" t="str">
        <f>VLOOKUP(A92,'Remote work mental helath'!$A$2:$T$1001,11,)</f>
        <v>Medium</v>
      </c>
      <c r="D92">
        <f>VLOOKUP('Mental Helath'!A92,'Remote work mental helath'!$A$2:$T$1001,10,)</f>
        <v>4</v>
      </c>
      <c r="E92" t="str">
        <f>VLOOKUP(A92,'Remote work mental helath'!A92:T1091,19,FALSE)</f>
        <v>Average</v>
      </c>
      <c r="F92" t="str">
        <f>VLOOKUP(A92,'Remote work mental helath'!$A$2:$T$1001,18,)</f>
        <v>Weekly</v>
      </c>
      <c r="G92">
        <f>VLOOKUP(A92,'Remote work mental helath'!$A$2:$T$1001,15,FALSE)</f>
        <v>4</v>
      </c>
      <c r="H92" t="str">
        <f>VLOOKUP(A92,'Remote work mental helath'!$A$2:$T$1001,14,)</f>
        <v>No Change</v>
      </c>
      <c r="I92" t="str">
        <f>VLOOKUP(A92,'Remote work mental helath'!$A$2:$T$1001,16,)</f>
        <v>Unsatisfied</v>
      </c>
      <c r="J92" t="str">
        <f>VLOOKUP(A92,'Remote work mental helath'!$A$2:$T$1001,13,)</f>
        <v>No</v>
      </c>
      <c r="K92">
        <f>VLOOKUP(A92,'Remote work mental helath'!$A$2:$T$1001,17,FALSE)</f>
        <v>2</v>
      </c>
    </row>
    <row r="93" spans="1:11" x14ac:dyDescent="0.3">
      <c r="A93" t="s">
        <v>142</v>
      </c>
      <c r="B93" t="str">
        <f>VLOOKUP(A93,'Remote work mental helath'!$A$2:$T$1001,12,)</f>
        <v>Burnout</v>
      </c>
      <c r="C93" t="str">
        <f>VLOOKUP(A93,'Remote work mental helath'!$A$2:$T$1001,11,)</f>
        <v>High</v>
      </c>
      <c r="D93">
        <f>VLOOKUP('Mental Helath'!A93,'Remote work mental helath'!$A$2:$T$1001,10,)</f>
        <v>1</v>
      </c>
      <c r="E93" t="str">
        <f>VLOOKUP(A93,'Remote work mental helath'!A93:T1092,19,FALSE)</f>
        <v>Good</v>
      </c>
      <c r="F93" t="str">
        <f>VLOOKUP(A93,'Remote work mental helath'!$A$2:$T$1001,18,)</f>
        <v>Weekly</v>
      </c>
      <c r="G93">
        <f>VLOOKUP(A93,'Remote work mental helath'!$A$2:$T$1001,15,FALSE)</f>
        <v>3</v>
      </c>
      <c r="H93" t="str">
        <f>VLOOKUP(A93,'Remote work mental helath'!$A$2:$T$1001,14,)</f>
        <v>Decrease</v>
      </c>
      <c r="I93" t="str">
        <f>VLOOKUP(A93,'Remote work mental helath'!$A$2:$T$1001,16,)</f>
        <v>Satisfied</v>
      </c>
      <c r="J93" t="str">
        <f>VLOOKUP(A93,'Remote work mental helath'!$A$2:$T$1001,13,)</f>
        <v>No</v>
      </c>
      <c r="K93">
        <f>VLOOKUP(A93,'Remote work mental helath'!$A$2:$T$1001,17,FALSE)</f>
        <v>5</v>
      </c>
    </row>
    <row r="94" spans="1:11" x14ac:dyDescent="0.3">
      <c r="A94" t="s">
        <v>143</v>
      </c>
      <c r="B94" t="str">
        <f>VLOOKUP(A94,'Remote work mental helath'!$A$2:$T$1001,12,)</f>
        <v>Burnout</v>
      </c>
      <c r="C94" t="str">
        <f>VLOOKUP(A94,'Remote work mental helath'!$A$2:$T$1001,11,)</f>
        <v>Medium</v>
      </c>
      <c r="D94">
        <f>VLOOKUP('Mental Helath'!A94,'Remote work mental helath'!$A$2:$T$1001,10,)</f>
        <v>5</v>
      </c>
      <c r="E94" t="str">
        <f>VLOOKUP(A94,'Remote work mental helath'!A94:T1093,19,FALSE)</f>
        <v>Poor</v>
      </c>
      <c r="F94" t="str">
        <f>VLOOKUP(A94,'Remote work mental helath'!$A$2:$T$1001,18,)</f>
        <v>None</v>
      </c>
      <c r="G94">
        <f>VLOOKUP(A94,'Remote work mental helath'!$A$2:$T$1001,15,FALSE)</f>
        <v>3</v>
      </c>
      <c r="H94" t="str">
        <f>VLOOKUP(A94,'Remote work mental helath'!$A$2:$T$1001,14,)</f>
        <v>Increase</v>
      </c>
      <c r="I94" t="str">
        <f>VLOOKUP(A94,'Remote work mental helath'!$A$2:$T$1001,16,)</f>
        <v>Satisfied</v>
      </c>
      <c r="J94" t="str">
        <f>VLOOKUP(A94,'Remote work mental helath'!$A$2:$T$1001,13,)</f>
        <v>No</v>
      </c>
      <c r="K94">
        <f>VLOOKUP(A94,'Remote work mental helath'!$A$2:$T$1001,17,FALSE)</f>
        <v>5</v>
      </c>
    </row>
    <row r="95" spans="1:11" x14ac:dyDescent="0.3">
      <c r="A95" t="s">
        <v>144</v>
      </c>
      <c r="B95" t="str">
        <f>VLOOKUP(A95,'Remote work mental helath'!$A$2:$T$1001,12,)</f>
        <v>Depression</v>
      </c>
      <c r="C95" t="str">
        <f>VLOOKUP(A95,'Remote work mental helath'!$A$2:$T$1001,11,)</f>
        <v>High</v>
      </c>
      <c r="D95">
        <f>VLOOKUP('Mental Helath'!A95,'Remote work mental helath'!$A$2:$T$1001,10,)</f>
        <v>4</v>
      </c>
      <c r="E95" t="str">
        <f>VLOOKUP(A95,'Remote work mental helath'!A95:T1094,19,FALSE)</f>
        <v>Average</v>
      </c>
      <c r="F95" t="str">
        <f>VLOOKUP(A95,'Remote work mental helath'!$A$2:$T$1001,18,)</f>
        <v>None</v>
      </c>
      <c r="G95">
        <f>VLOOKUP(A95,'Remote work mental helath'!$A$2:$T$1001,15,FALSE)</f>
        <v>2</v>
      </c>
      <c r="H95" t="str">
        <f>VLOOKUP(A95,'Remote work mental helath'!$A$2:$T$1001,14,)</f>
        <v>Decrease</v>
      </c>
      <c r="I95" t="str">
        <f>VLOOKUP(A95,'Remote work mental helath'!$A$2:$T$1001,16,)</f>
        <v>Satisfied</v>
      </c>
      <c r="J95" t="str">
        <f>VLOOKUP(A95,'Remote work mental helath'!$A$2:$T$1001,13,)</f>
        <v>Yes</v>
      </c>
      <c r="K95">
        <f>VLOOKUP(A95,'Remote work mental helath'!$A$2:$T$1001,17,FALSE)</f>
        <v>4</v>
      </c>
    </row>
    <row r="96" spans="1:11" x14ac:dyDescent="0.3">
      <c r="A96" t="s">
        <v>145</v>
      </c>
      <c r="B96" t="str">
        <f>VLOOKUP(A96,'Remote work mental helath'!$A$2:$T$1001,12,)</f>
        <v>None</v>
      </c>
      <c r="C96" t="str">
        <f>VLOOKUP(A96,'Remote work mental helath'!$A$2:$T$1001,11,)</f>
        <v>High</v>
      </c>
      <c r="D96">
        <f>VLOOKUP('Mental Helath'!A96,'Remote work mental helath'!$A$2:$T$1001,10,)</f>
        <v>5</v>
      </c>
      <c r="E96" t="str">
        <f>VLOOKUP(A96,'Remote work mental helath'!A96:T1095,19,FALSE)</f>
        <v>Average</v>
      </c>
      <c r="F96" t="str">
        <f>VLOOKUP(A96,'Remote work mental helath'!$A$2:$T$1001,18,)</f>
        <v>Weekly</v>
      </c>
      <c r="G96">
        <f>VLOOKUP(A96,'Remote work mental helath'!$A$2:$T$1001,15,FALSE)</f>
        <v>2</v>
      </c>
      <c r="H96" t="str">
        <f>VLOOKUP(A96,'Remote work mental helath'!$A$2:$T$1001,14,)</f>
        <v>Decrease</v>
      </c>
      <c r="I96" t="str">
        <f>VLOOKUP(A96,'Remote work mental helath'!$A$2:$T$1001,16,)</f>
        <v>Neutral</v>
      </c>
      <c r="J96" t="str">
        <f>VLOOKUP(A96,'Remote work mental helath'!$A$2:$T$1001,13,)</f>
        <v>No</v>
      </c>
      <c r="K96">
        <f>VLOOKUP(A96,'Remote work mental helath'!$A$2:$T$1001,17,FALSE)</f>
        <v>4</v>
      </c>
    </row>
    <row r="97" spans="1:11" x14ac:dyDescent="0.3">
      <c r="A97" t="s">
        <v>146</v>
      </c>
      <c r="B97" t="str">
        <f>VLOOKUP(A97,'Remote work mental helath'!$A$2:$T$1001,12,)</f>
        <v>Burnout</v>
      </c>
      <c r="C97" t="str">
        <f>VLOOKUP(A97,'Remote work mental helath'!$A$2:$T$1001,11,)</f>
        <v>Low</v>
      </c>
      <c r="D97">
        <f>VLOOKUP('Mental Helath'!A97,'Remote work mental helath'!$A$2:$T$1001,10,)</f>
        <v>5</v>
      </c>
      <c r="E97" t="str">
        <f>VLOOKUP(A97,'Remote work mental helath'!A97:T1096,19,FALSE)</f>
        <v>Good</v>
      </c>
      <c r="F97" t="str">
        <f>VLOOKUP(A97,'Remote work mental helath'!$A$2:$T$1001,18,)</f>
        <v>None</v>
      </c>
      <c r="G97">
        <f>VLOOKUP(A97,'Remote work mental helath'!$A$2:$T$1001,15,FALSE)</f>
        <v>1</v>
      </c>
      <c r="H97" t="str">
        <f>VLOOKUP(A97,'Remote work mental helath'!$A$2:$T$1001,14,)</f>
        <v>Decrease</v>
      </c>
      <c r="I97" t="str">
        <f>VLOOKUP(A97,'Remote work mental helath'!$A$2:$T$1001,16,)</f>
        <v>Satisfied</v>
      </c>
      <c r="J97" t="str">
        <f>VLOOKUP(A97,'Remote work mental helath'!$A$2:$T$1001,13,)</f>
        <v>No</v>
      </c>
      <c r="K97">
        <f>VLOOKUP(A97,'Remote work mental helath'!$A$2:$T$1001,17,FALSE)</f>
        <v>3</v>
      </c>
    </row>
    <row r="98" spans="1:11" x14ac:dyDescent="0.3">
      <c r="A98" t="s">
        <v>147</v>
      </c>
      <c r="B98" t="str">
        <f>VLOOKUP(A98,'Remote work mental helath'!$A$2:$T$1001,12,)</f>
        <v>Burnout</v>
      </c>
      <c r="C98" t="str">
        <f>VLOOKUP(A98,'Remote work mental helath'!$A$2:$T$1001,11,)</f>
        <v>High</v>
      </c>
      <c r="D98">
        <f>VLOOKUP('Mental Helath'!A98,'Remote work mental helath'!$A$2:$T$1001,10,)</f>
        <v>1</v>
      </c>
      <c r="E98" t="str">
        <f>VLOOKUP(A98,'Remote work mental helath'!A98:T1097,19,FALSE)</f>
        <v>Poor</v>
      </c>
      <c r="F98" t="str">
        <f>VLOOKUP(A98,'Remote work mental helath'!$A$2:$T$1001,18,)</f>
        <v>Weekly</v>
      </c>
      <c r="G98">
        <f>VLOOKUP(A98,'Remote work mental helath'!$A$2:$T$1001,15,FALSE)</f>
        <v>5</v>
      </c>
      <c r="H98" t="str">
        <f>VLOOKUP(A98,'Remote work mental helath'!$A$2:$T$1001,14,)</f>
        <v>Decrease</v>
      </c>
      <c r="I98" t="str">
        <f>VLOOKUP(A98,'Remote work mental helath'!$A$2:$T$1001,16,)</f>
        <v>Neutral</v>
      </c>
      <c r="J98" t="str">
        <f>VLOOKUP(A98,'Remote work mental helath'!$A$2:$T$1001,13,)</f>
        <v>No</v>
      </c>
      <c r="K98">
        <f>VLOOKUP(A98,'Remote work mental helath'!$A$2:$T$1001,17,FALSE)</f>
        <v>5</v>
      </c>
    </row>
    <row r="99" spans="1:11" x14ac:dyDescent="0.3">
      <c r="A99" t="s">
        <v>148</v>
      </c>
      <c r="B99" t="str">
        <f>VLOOKUP(A99,'Remote work mental helath'!$A$2:$T$1001,12,)</f>
        <v>Burnout</v>
      </c>
      <c r="C99" t="str">
        <f>VLOOKUP(A99,'Remote work mental helath'!$A$2:$T$1001,11,)</f>
        <v>Low</v>
      </c>
      <c r="D99">
        <f>VLOOKUP('Mental Helath'!A99,'Remote work mental helath'!$A$2:$T$1001,10,)</f>
        <v>4</v>
      </c>
      <c r="E99" t="str">
        <f>VLOOKUP(A99,'Remote work mental helath'!A99:T1098,19,FALSE)</f>
        <v>Average</v>
      </c>
      <c r="F99" t="str">
        <f>VLOOKUP(A99,'Remote work mental helath'!$A$2:$T$1001,18,)</f>
        <v>Weekly</v>
      </c>
      <c r="G99">
        <f>VLOOKUP(A99,'Remote work mental helath'!$A$2:$T$1001,15,FALSE)</f>
        <v>4</v>
      </c>
      <c r="H99" t="str">
        <f>VLOOKUP(A99,'Remote work mental helath'!$A$2:$T$1001,14,)</f>
        <v>Increase</v>
      </c>
      <c r="I99" t="str">
        <f>VLOOKUP(A99,'Remote work mental helath'!$A$2:$T$1001,16,)</f>
        <v>Neutral</v>
      </c>
      <c r="J99" t="str">
        <f>VLOOKUP(A99,'Remote work mental helath'!$A$2:$T$1001,13,)</f>
        <v>No</v>
      </c>
      <c r="K99">
        <f>VLOOKUP(A99,'Remote work mental helath'!$A$2:$T$1001,17,FALSE)</f>
        <v>3</v>
      </c>
    </row>
    <row r="100" spans="1:11" x14ac:dyDescent="0.3">
      <c r="A100" t="s">
        <v>149</v>
      </c>
      <c r="B100" t="str">
        <f>VLOOKUP(A100,'Remote work mental helath'!$A$2:$T$1001,12,)</f>
        <v>Burnout</v>
      </c>
      <c r="C100" t="str">
        <f>VLOOKUP(A100,'Remote work mental helath'!$A$2:$T$1001,11,)</f>
        <v>Low</v>
      </c>
      <c r="D100">
        <f>VLOOKUP('Mental Helath'!A100,'Remote work mental helath'!$A$2:$T$1001,10,)</f>
        <v>1</v>
      </c>
      <c r="E100" t="str">
        <f>VLOOKUP(A100,'Remote work mental helath'!A100:T1099,19,FALSE)</f>
        <v>Good</v>
      </c>
      <c r="F100" t="str">
        <f>VLOOKUP(A100,'Remote work mental helath'!$A$2:$T$1001,18,)</f>
        <v>Daily</v>
      </c>
      <c r="G100">
        <f>VLOOKUP(A100,'Remote work mental helath'!$A$2:$T$1001,15,FALSE)</f>
        <v>4</v>
      </c>
      <c r="H100" t="str">
        <f>VLOOKUP(A100,'Remote work mental helath'!$A$2:$T$1001,14,)</f>
        <v>No Change</v>
      </c>
      <c r="I100" t="str">
        <f>VLOOKUP(A100,'Remote work mental helath'!$A$2:$T$1001,16,)</f>
        <v>Satisfied</v>
      </c>
      <c r="J100" t="str">
        <f>VLOOKUP(A100,'Remote work mental helath'!$A$2:$T$1001,13,)</f>
        <v>No</v>
      </c>
      <c r="K100">
        <f>VLOOKUP(A100,'Remote work mental helath'!$A$2:$T$1001,17,FALSE)</f>
        <v>5</v>
      </c>
    </row>
    <row r="101" spans="1:11" x14ac:dyDescent="0.3">
      <c r="A101" t="s">
        <v>150</v>
      </c>
      <c r="B101" t="str">
        <f>VLOOKUP(A101,'Remote work mental helath'!$A$2:$T$1001,12,)</f>
        <v>None</v>
      </c>
      <c r="C101" t="str">
        <f>VLOOKUP(A101,'Remote work mental helath'!$A$2:$T$1001,11,)</f>
        <v>Medium</v>
      </c>
      <c r="D101">
        <f>VLOOKUP('Mental Helath'!A101,'Remote work mental helath'!$A$2:$T$1001,10,)</f>
        <v>2</v>
      </c>
      <c r="E101" t="str">
        <f>VLOOKUP(A101,'Remote work mental helath'!A101:T1100,19,FALSE)</f>
        <v>Good</v>
      </c>
      <c r="F101" t="str">
        <f>VLOOKUP(A101,'Remote work mental helath'!$A$2:$T$1001,18,)</f>
        <v>Daily</v>
      </c>
      <c r="G101">
        <f>VLOOKUP(A101,'Remote work mental helath'!$A$2:$T$1001,15,FALSE)</f>
        <v>3</v>
      </c>
      <c r="H101" t="str">
        <f>VLOOKUP(A101,'Remote work mental helath'!$A$2:$T$1001,14,)</f>
        <v>Decrease</v>
      </c>
      <c r="I101" t="str">
        <f>VLOOKUP(A101,'Remote work mental helath'!$A$2:$T$1001,16,)</f>
        <v>Satisfied</v>
      </c>
      <c r="J101" t="str">
        <f>VLOOKUP(A101,'Remote work mental helath'!$A$2:$T$1001,13,)</f>
        <v>No</v>
      </c>
      <c r="K101">
        <f>VLOOKUP(A101,'Remote work mental helath'!$A$2:$T$1001,17,FALSE)</f>
        <v>4</v>
      </c>
    </row>
    <row r="102" spans="1:11" x14ac:dyDescent="0.3">
      <c r="A102" t="s">
        <v>151</v>
      </c>
      <c r="B102" t="str">
        <f>VLOOKUP(A102,'Remote work mental helath'!$A$2:$T$1001,12,)</f>
        <v>Depression</v>
      </c>
      <c r="C102" t="str">
        <f>VLOOKUP(A102,'Remote work mental helath'!$A$2:$T$1001,11,)</f>
        <v>Medium</v>
      </c>
      <c r="D102">
        <f>VLOOKUP('Mental Helath'!A102,'Remote work mental helath'!$A$2:$T$1001,10,)</f>
        <v>1</v>
      </c>
      <c r="E102" t="str">
        <f>VLOOKUP(A102,'Remote work mental helath'!A102:T1101,19,FALSE)</f>
        <v>Poor</v>
      </c>
      <c r="F102" t="str">
        <f>VLOOKUP(A102,'Remote work mental helath'!$A$2:$T$1001,18,)</f>
        <v>None</v>
      </c>
      <c r="G102">
        <f>VLOOKUP(A102,'Remote work mental helath'!$A$2:$T$1001,15,FALSE)</f>
        <v>5</v>
      </c>
      <c r="H102" t="str">
        <f>VLOOKUP(A102,'Remote work mental helath'!$A$2:$T$1001,14,)</f>
        <v>Increase</v>
      </c>
      <c r="I102" t="str">
        <f>VLOOKUP(A102,'Remote work mental helath'!$A$2:$T$1001,16,)</f>
        <v>Satisfied</v>
      </c>
      <c r="J102" t="str">
        <f>VLOOKUP(A102,'Remote work mental helath'!$A$2:$T$1001,13,)</f>
        <v>No</v>
      </c>
      <c r="K102">
        <f>VLOOKUP(A102,'Remote work mental helath'!$A$2:$T$1001,17,FALSE)</f>
        <v>1</v>
      </c>
    </row>
    <row r="103" spans="1:11" x14ac:dyDescent="0.3">
      <c r="A103" t="s">
        <v>152</v>
      </c>
      <c r="B103" t="str">
        <f>VLOOKUP(A103,'Remote work mental helath'!$A$2:$T$1001,12,)</f>
        <v>Burnout</v>
      </c>
      <c r="C103" t="str">
        <f>VLOOKUP(A103,'Remote work mental helath'!$A$2:$T$1001,11,)</f>
        <v>High</v>
      </c>
      <c r="D103">
        <f>VLOOKUP('Mental Helath'!A103,'Remote work mental helath'!$A$2:$T$1001,10,)</f>
        <v>1</v>
      </c>
      <c r="E103" t="str">
        <f>VLOOKUP(A103,'Remote work mental helath'!A103:T1102,19,FALSE)</f>
        <v>Poor</v>
      </c>
      <c r="F103" t="str">
        <f>VLOOKUP(A103,'Remote work mental helath'!$A$2:$T$1001,18,)</f>
        <v>Daily</v>
      </c>
      <c r="G103">
        <f>VLOOKUP(A103,'Remote work mental helath'!$A$2:$T$1001,15,FALSE)</f>
        <v>2</v>
      </c>
      <c r="H103" t="str">
        <f>VLOOKUP(A103,'Remote work mental helath'!$A$2:$T$1001,14,)</f>
        <v>Increase</v>
      </c>
      <c r="I103" t="str">
        <f>VLOOKUP(A103,'Remote work mental helath'!$A$2:$T$1001,16,)</f>
        <v>Neutral</v>
      </c>
      <c r="J103" t="str">
        <f>VLOOKUP(A103,'Remote work mental helath'!$A$2:$T$1001,13,)</f>
        <v>No</v>
      </c>
      <c r="K103">
        <f>VLOOKUP(A103,'Remote work mental helath'!$A$2:$T$1001,17,FALSE)</f>
        <v>2</v>
      </c>
    </row>
    <row r="104" spans="1:11" x14ac:dyDescent="0.3">
      <c r="A104" t="s">
        <v>153</v>
      </c>
      <c r="B104" t="str">
        <f>VLOOKUP(A104,'Remote work mental helath'!$A$2:$T$1001,12,)</f>
        <v>Burnout</v>
      </c>
      <c r="C104" t="str">
        <f>VLOOKUP(A104,'Remote work mental helath'!$A$2:$T$1001,11,)</f>
        <v>High</v>
      </c>
      <c r="D104">
        <f>VLOOKUP('Mental Helath'!A104,'Remote work mental helath'!$A$2:$T$1001,10,)</f>
        <v>4</v>
      </c>
      <c r="E104" t="str">
        <f>VLOOKUP(A104,'Remote work mental helath'!A104:T1103,19,FALSE)</f>
        <v>Good</v>
      </c>
      <c r="F104" t="str">
        <f>VLOOKUP(A104,'Remote work mental helath'!$A$2:$T$1001,18,)</f>
        <v>None</v>
      </c>
      <c r="G104">
        <f>VLOOKUP(A104,'Remote work mental helath'!$A$2:$T$1001,15,FALSE)</f>
        <v>4</v>
      </c>
      <c r="H104" t="str">
        <f>VLOOKUP(A104,'Remote work mental helath'!$A$2:$T$1001,14,)</f>
        <v>No Change</v>
      </c>
      <c r="I104" t="str">
        <f>VLOOKUP(A104,'Remote work mental helath'!$A$2:$T$1001,16,)</f>
        <v>Satisfied</v>
      </c>
      <c r="J104" t="str">
        <f>VLOOKUP(A104,'Remote work mental helath'!$A$2:$T$1001,13,)</f>
        <v>No</v>
      </c>
      <c r="K104">
        <f>VLOOKUP(A104,'Remote work mental helath'!$A$2:$T$1001,17,FALSE)</f>
        <v>4</v>
      </c>
    </row>
    <row r="105" spans="1:11" x14ac:dyDescent="0.3">
      <c r="A105" t="s">
        <v>154</v>
      </c>
      <c r="B105" t="str">
        <f>VLOOKUP(A105,'Remote work mental helath'!$A$2:$T$1001,12,)</f>
        <v>Depression</v>
      </c>
      <c r="C105" t="str">
        <f>VLOOKUP(A105,'Remote work mental helath'!$A$2:$T$1001,11,)</f>
        <v>High</v>
      </c>
      <c r="D105">
        <f>VLOOKUP('Mental Helath'!A105,'Remote work mental helath'!$A$2:$T$1001,10,)</f>
        <v>4</v>
      </c>
      <c r="E105" t="str">
        <f>VLOOKUP(A105,'Remote work mental helath'!A105:T1104,19,FALSE)</f>
        <v>Good</v>
      </c>
      <c r="F105" t="str">
        <f>VLOOKUP(A105,'Remote work mental helath'!$A$2:$T$1001,18,)</f>
        <v>None</v>
      </c>
      <c r="G105">
        <f>VLOOKUP(A105,'Remote work mental helath'!$A$2:$T$1001,15,FALSE)</f>
        <v>4</v>
      </c>
      <c r="H105" t="str">
        <f>VLOOKUP(A105,'Remote work mental helath'!$A$2:$T$1001,14,)</f>
        <v>Increase</v>
      </c>
      <c r="I105" t="str">
        <f>VLOOKUP(A105,'Remote work mental helath'!$A$2:$T$1001,16,)</f>
        <v>Satisfied</v>
      </c>
      <c r="J105" t="str">
        <f>VLOOKUP(A105,'Remote work mental helath'!$A$2:$T$1001,13,)</f>
        <v>Yes</v>
      </c>
      <c r="K105">
        <f>VLOOKUP(A105,'Remote work mental helath'!$A$2:$T$1001,17,FALSE)</f>
        <v>5</v>
      </c>
    </row>
    <row r="106" spans="1:11" x14ac:dyDescent="0.3">
      <c r="A106" t="s">
        <v>155</v>
      </c>
      <c r="B106" t="str">
        <f>VLOOKUP(A106,'Remote work mental helath'!$A$2:$T$1001,12,)</f>
        <v>Depression</v>
      </c>
      <c r="C106" t="str">
        <f>VLOOKUP(A106,'Remote work mental helath'!$A$2:$T$1001,11,)</f>
        <v>Low</v>
      </c>
      <c r="D106">
        <f>VLOOKUP('Mental Helath'!A106,'Remote work mental helath'!$A$2:$T$1001,10,)</f>
        <v>4</v>
      </c>
      <c r="E106" t="str">
        <f>VLOOKUP(A106,'Remote work mental helath'!A106:T1105,19,FALSE)</f>
        <v>Average</v>
      </c>
      <c r="F106" t="str">
        <f>VLOOKUP(A106,'Remote work mental helath'!$A$2:$T$1001,18,)</f>
        <v>Weekly</v>
      </c>
      <c r="G106">
        <f>VLOOKUP(A106,'Remote work mental helath'!$A$2:$T$1001,15,FALSE)</f>
        <v>4</v>
      </c>
      <c r="H106" t="str">
        <f>VLOOKUP(A106,'Remote work mental helath'!$A$2:$T$1001,14,)</f>
        <v>Decrease</v>
      </c>
      <c r="I106" t="str">
        <f>VLOOKUP(A106,'Remote work mental helath'!$A$2:$T$1001,16,)</f>
        <v>Satisfied</v>
      </c>
      <c r="J106" t="str">
        <f>VLOOKUP(A106,'Remote work mental helath'!$A$2:$T$1001,13,)</f>
        <v>Yes</v>
      </c>
      <c r="K106">
        <f>VLOOKUP(A106,'Remote work mental helath'!$A$2:$T$1001,17,FALSE)</f>
        <v>3</v>
      </c>
    </row>
    <row r="107" spans="1:11" x14ac:dyDescent="0.3">
      <c r="A107" t="s">
        <v>156</v>
      </c>
      <c r="B107" t="str">
        <f>VLOOKUP(A107,'Remote work mental helath'!$A$2:$T$1001,12,)</f>
        <v>Burnout</v>
      </c>
      <c r="C107" t="str">
        <f>VLOOKUP(A107,'Remote work mental helath'!$A$2:$T$1001,11,)</f>
        <v>High</v>
      </c>
      <c r="D107">
        <f>VLOOKUP('Mental Helath'!A107,'Remote work mental helath'!$A$2:$T$1001,10,)</f>
        <v>3</v>
      </c>
      <c r="E107" t="str">
        <f>VLOOKUP(A107,'Remote work mental helath'!A107:T1106,19,FALSE)</f>
        <v>Good</v>
      </c>
      <c r="F107" t="str">
        <f>VLOOKUP(A107,'Remote work mental helath'!$A$2:$T$1001,18,)</f>
        <v>Daily</v>
      </c>
      <c r="G107">
        <f>VLOOKUP(A107,'Remote work mental helath'!$A$2:$T$1001,15,FALSE)</f>
        <v>3</v>
      </c>
      <c r="H107" t="str">
        <f>VLOOKUP(A107,'Remote work mental helath'!$A$2:$T$1001,14,)</f>
        <v>Increase</v>
      </c>
      <c r="I107" t="str">
        <f>VLOOKUP(A107,'Remote work mental helath'!$A$2:$T$1001,16,)</f>
        <v>Neutral</v>
      </c>
      <c r="J107" t="str">
        <f>VLOOKUP(A107,'Remote work mental helath'!$A$2:$T$1001,13,)</f>
        <v>Yes</v>
      </c>
      <c r="K107">
        <f>VLOOKUP(A107,'Remote work mental helath'!$A$2:$T$1001,17,FALSE)</f>
        <v>3</v>
      </c>
    </row>
    <row r="108" spans="1:11" x14ac:dyDescent="0.3">
      <c r="A108" t="s">
        <v>157</v>
      </c>
      <c r="B108" t="str">
        <f>VLOOKUP(A108,'Remote work mental helath'!$A$2:$T$1001,12,)</f>
        <v>Anxiety</v>
      </c>
      <c r="C108" t="str">
        <f>VLOOKUP(A108,'Remote work mental helath'!$A$2:$T$1001,11,)</f>
        <v>Medium</v>
      </c>
      <c r="D108">
        <f>VLOOKUP('Mental Helath'!A108,'Remote work mental helath'!$A$2:$T$1001,10,)</f>
        <v>1</v>
      </c>
      <c r="E108" t="str">
        <f>VLOOKUP(A108,'Remote work mental helath'!A108:T1107,19,FALSE)</f>
        <v>Good</v>
      </c>
      <c r="F108" t="str">
        <f>VLOOKUP(A108,'Remote work mental helath'!$A$2:$T$1001,18,)</f>
        <v>Daily</v>
      </c>
      <c r="G108">
        <f>VLOOKUP(A108,'Remote work mental helath'!$A$2:$T$1001,15,FALSE)</f>
        <v>4</v>
      </c>
      <c r="H108" t="str">
        <f>VLOOKUP(A108,'Remote work mental helath'!$A$2:$T$1001,14,)</f>
        <v>Decrease</v>
      </c>
      <c r="I108" t="str">
        <f>VLOOKUP(A108,'Remote work mental helath'!$A$2:$T$1001,16,)</f>
        <v>Neutral</v>
      </c>
      <c r="J108" t="str">
        <f>VLOOKUP(A108,'Remote work mental helath'!$A$2:$T$1001,13,)</f>
        <v>Yes</v>
      </c>
      <c r="K108">
        <f>VLOOKUP(A108,'Remote work mental helath'!$A$2:$T$1001,17,FALSE)</f>
        <v>2</v>
      </c>
    </row>
    <row r="109" spans="1:11" x14ac:dyDescent="0.3">
      <c r="A109" t="s">
        <v>158</v>
      </c>
      <c r="B109" t="str">
        <f>VLOOKUP(A109,'Remote work mental helath'!$A$2:$T$1001,12,)</f>
        <v>Anxiety</v>
      </c>
      <c r="C109" t="str">
        <f>VLOOKUP(A109,'Remote work mental helath'!$A$2:$T$1001,11,)</f>
        <v>High</v>
      </c>
      <c r="D109">
        <f>VLOOKUP('Mental Helath'!A109,'Remote work mental helath'!$A$2:$T$1001,10,)</f>
        <v>2</v>
      </c>
      <c r="E109" t="str">
        <f>VLOOKUP(A109,'Remote work mental helath'!A109:T1108,19,FALSE)</f>
        <v>Poor</v>
      </c>
      <c r="F109" t="str">
        <f>VLOOKUP(A109,'Remote work mental helath'!$A$2:$T$1001,18,)</f>
        <v>Weekly</v>
      </c>
      <c r="G109">
        <f>VLOOKUP(A109,'Remote work mental helath'!$A$2:$T$1001,15,FALSE)</f>
        <v>2</v>
      </c>
      <c r="H109" t="str">
        <f>VLOOKUP(A109,'Remote work mental helath'!$A$2:$T$1001,14,)</f>
        <v>Decrease</v>
      </c>
      <c r="I109" t="str">
        <f>VLOOKUP(A109,'Remote work mental helath'!$A$2:$T$1001,16,)</f>
        <v>Satisfied</v>
      </c>
      <c r="J109" t="str">
        <f>VLOOKUP(A109,'Remote work mental helath'!$A$2:$T$1001,13,)</f>
        <v>No</v>
      </c>
      <c r="K109">
        <f>VLOOKUP(A109,'Remote work mental helath'!$A$2:$T$1001,17,FALSE)</f>
        <v>5</v>
      </c>
    </row>
    <row r="110" spans="1:11" x14ac:dyDescent="0.3">
      <c r="A110" t="s">
        <v>159</v>
      </c>
      <c r="B110" t="str">
        <f>VLOOKUP(A110,'Remote work mental helath'!$A$2:$T$1001,12,)</f>
        <v>Burnout</v>
      </c>
      <c r="C110" t="str">
        <f>VLOOKUP(A110,'Remote work mental helath'!$A$2:$T$1001,11,)</f>
        <v>Medium</v>
      </c>
      <c r="D110">
        <f>VLOOKUP('Mental Helath'!A110,'Remote work mental helath'!$A$2:$T$1001,10,)</f>
        <v>4</v>
      </c>
      <c r="E110" t="str">
        <f>VLOOKUP(A110,'Remote work mental helath'!A110:T1109,19,FALSE)</f>
        <v>Poor</v>
      </c>
      <c r="F110" t="str">
        <f>VLOOKUP(A110,'Remote work mental helath'!$A$2:$T$1001,18,)</f>
        <v>Weekly</v>
      </c>
      <c r="G110">
        <f>VLOOKUP(A110,'Remote work mental helath'!$A$2:$T$1001,15,FALSE)</f>
        <v>1</v>
      </c>
      <c r="H110" t="str">
        <f>VLOOKUP(A110,'Remote work mental helath'!$A$2:$T$1001,14,)</f>
        <v>No Change</v>
      </c>
      <c r="I110" t="str">
        <f>VLOOKUP(A110,'Remote work mental helath'!$A$2:$T$1001,16,)</f>
        <v>Satisfied</v>
      </c>
      <c r="J110" t="str">
        <f>VLOOKUP(A110,'Remote work mental helath'!$A$2:$T$1001,13,)</f>
        <v>No</v>
      </c>
      <c r="K110">
        <f>VLOOKUP(A110,'Remote work mental helath'!$A$2:$T$1001,17,FALSE)</f>
        <v>2</v>
      </c>
    </row>
    <row r="111" spans="1:11" x14ac:dyDescent="0.3">
      <c r="A111" t="s">
        <v>160</v>
      </c>
      <c r="B111" t="str">
        <f>VLOOKUP(A111,'Remote work mental helath'!$A$2:$T$1001,12,)</f>
        <v>Burnout</v>
      </c>
      <c r="C111" t="str">
        <f>VLOOKUP(A111,'Remote work mental helath'!$A$2:$T$1001,11,)</f>
        <v>Low</v>
      </c>
      <c r="D111">
        <f>VLOOKUP('Mental Helath'!A111,'Remote work mental helath'!$A$2:$T$1001,10,)</f>
        <v>5</v>
      </c>
      <c r="E111" t="str">
        <f>VLOOKUP(A111,'Remote work mental helath'!A111:T1110,19,FALSE)</f>
        <v>Good</v>
      </c>
      <c r="F111" t="str">
        <f>VLOOKUP(A111,'Remote work mental helath'!$A$2:$T$1001,18,)</f>
        <v>Daily</v>
      </c>
      <c r="G111">
        <f>VLOOKUP(A111,'Remote work mental helath'!$A$2:$T$1001,15,FALSE)</f>
        <v>1</v>
      </c>
      <c r="H111" t="str">
        <f>VLOOKUP(A111,'Remote work mental helath'!$A$2:$T$1001,14,)</f>
        <v>No Change</v>
      </c>
      <c r="I111" t="str">
        <f>VLOOKUP(A111,'Remote work mental helath'!$A$2:$T$1001,16,)</f>
        <v>Neutral</v>
      </c>
      <c r="J111" t="str">
        <f>VLOOKUP(A111,'Remote work mental helath'!$A$2:$T$1001,13,)</f>
        <v>No</v>
      </c>
      <c r="K111">
        <f>VLOOKUP(A111,'Remote work mental helath'!$A$2:$T$1001,17,FALSE)</f>
        <v>5</v>
      </c>
    </row>
    <row r="112" spans="1:11" x14ac:dyDescent="0.3">
      <c r="A112" t="s">
        <v>161</v>
      </c>
      <c r="B112" t="str">
        <f>VLOOKUP(A112,'Remote work mental helath'!$A$2:$T$1001,12,)</f>
        <v>Anxiety</v>
      </c>
      <c r="C112" t="str">
        <f>VLOOKUP(A112,'Remote work mental helath'!$A$2:$T$1001,11,)</f>
        <v>High</v>
      </c>
      <c r="D112">
        <f>VLOOKUP('Mental Helath'!A112,'Remote work mental helath'!$A$2:$T$1001,10,)</f>
        <v>3</v>
      </c>
      <c r="E112" t="str">
        <f>VLOOKUP(A112,'Remote work mental helath'!A112:T1111,19,FALSE)</f>
        <v>Average</v>
      </c>
      <c r="F112" t="str">
        <f>VLOOKUP(A112,'Remote work mental helath'!$A$2:$T$1001,18,)</f>
        <v>Weekly</v>
      </c>
      <c r="G112">
        <f>VLOOKUP(A112,'Remote work mental helath'!$A$2:$T$1001,15,FALSE)</f>
        <v>5</v>
      </c>
      <c r="H112" t="str">
        <f>VLOOKUP(A112,'Remote work mental helath'!$A$2:$T$1001,14,)</f>
        <v>Increase</v>
      </c>
      <c r="I112" t="str">
        <f>VLOOKUP(A112,'Remote work mental helath'!$A$2:$T$1001,16,)</f>
        <v>Unsatisfied</v>
      </c>
      <c r="J112" t="str">
        <f>VLOOKUP(A112,'Remote work mental helath'!$A$2:$T$1001,13,)</f>
        <v>Yes</v>
      </c>
      <c r="K112">
        <f>VLOOKUP(A112,'Remote work mental helath'!$A$2:$T$1001,17,FALSE)</f>
        <v>5</v>
      </c>
    </row>
    <row r="113" spans="1:11" x14ac:dyDescent="0.3">
      <c r="A113" t="s">
        <v>162</v>
      </c>
      <c r="B113" t="str">
        <f>VLOOKUP(A113,'Remote work mental helath'!$A$2:$T$1001,12,)</f>
        <v>Burnout</v>
      </c>
      <c r="C113" t="str">
        <f>VLOOKUP(A113,'Remote work mental helath'!$A$2:$T$1001,11,)</f>
        <v>Low</v>
      </c>
      <c r="D113">
        <f>VLOOKUP('Mental Helath'!A113,'Remote work mental helath'!$A$2:$T$1001,10,)</f>
        <v>5</v>
      </c>
      <c r="E113" t="str">
        <f>VLOOKUP(A113,'Remote work mental helath'!A113:T1112,19,FALSE)</f>
        <v>Good</v>
      </c>
      <c r="F113" t="str">
        <f>VLOOKUP(A113,'Remote work mental helath'!$A$2:$T$1001,18,)</f>
        <v>Weekly</v>
      </c>
      <c r="G113">
        <f>VLOOKUP(A113,'Remote work mental helath'!$A$2:$T$1001,15,FALSE)</f>
        <v>5</v>
      </c>
      <c r="H113" t="str">
        <f>VLOOKUP(A113,'Remote work mental helath'!$A$2:$T$1001,14,)</f>
        <v>Decrease</v>
      </c>
      <c r="I113" t="str">
        <f>VLOOKUP(A113,'Remote work mental helath'!$A$2:$T$1001,16,)</f>
        <v>Unsatisfied</v>
      </c>
      <c r="J113" t="str">
        <f>VLOOKUP(A113,'Remote work mental helath'!$A$2:$T$1001,13,)</f>
        <v>No</v>
      </c>
      <c r="K113">
        <f>VLOOKUP(A113,'Remote work mental helath'!$A$2:$T$1001,17,FALSE)</f>
        <v>1</v>
      </c>
    </row>
    <row r="114" spans="1:11" x14ac:dyDescent="0.3">
      <c r="A114" t="s">
        <v>163</v>
      </c>
      <c r="B114" t="str">
        <f>VLOOKUP(A114,'Remote work mental helath'!$A$2:$T$1001,12,)</f>
        <v>Depression</v>
      </c>
      <c r="C114" t="str">
        <f>VLOOKUP(A114,'Remote work mental helath'!$A$2:$T$1001,11,)</f>
        <v>Low</v>
      </c>
      <c r="D114">
        <f>VLOOKUP('Mental Helath'!A114,'Remote work mental helath'!$A$2:$T$1001,10,)</f>
        <v>1</v>
      </c>
      <c r="E114" t="str">
        <f>VLOOKUP(A114,'Remote work mental helath'!A114:T1113,19,FALSE)</f>
        <v>Poor</v>
      </c>
      <c r="F114" t="str">
        <f>VLOOKUP(A114,'Remote work mental helath'!$A$2:$T$1001,18,)</f>
        <v>None</v>
      </c>
      <c r="G114">
        <f>VLOOKUP(A114,'Remote work mental helath'!$A$2:$T$1001,15,FALSE)</f>
        <v>1</v>
      </c>
      <c r="H114" t="str">
        <f>VLOOKUP(A114,'Remote work mental helath'!$A$2:$T$1001,14,)</f>
        <v>Increase</v>
      </c>
      <c r="I114" t="str">
        <f>VLOOKUP(A114,'Remote work mental helath'!$A$2:$T$1001,16,)</f>
        <v>Satisfied</v>
      </c>
      <c r="J114" t="str">
        <f>VLOOKUP(A114,'Remote work mental helath'!$A$2:$T$1001,13,)</f>
        <v>Yes</v>
      </c>
      <c r="K114">
        <f>VLOOKUP(A114,'Remote work mental helath'!$A$2:$T$1001,17,FALSE)</f>
        <v>5</v>
      </c>
    </row>
    <row r="115" spans="1:11" x14ac:dyDescent="0.3">
      <c r="A115" t="s">
        <v>164</v>
      </c>
      <c r="B115" t="str">
        <f>VLOOKUP(A115,'Remote work mental helath'!$A$2:$T$1001,12,)</f>
        <v>None</v>
      </c>
      <c r="C115" t="str">
        <f>VLOOKUP(A115,'Remote work mental helath'!$A$2:$T$1001,11,)</f>
        <v>Low</v>
      </c>
      <c r="D115">
        <f>VLOOKUP('Mental Helath'!A115,'Remote work mental helath'!$A$2:$T$1001,10,)</f>
        <v>3</v>
      </c>
      <c r="E115" t="str">
        <f>VLOOKUP(A115,'Remote work mental helath'!A115:T1114,19,FALSE)</f>
        <v>Poor</v>
      </c>
      <c r="F115" t="str">
        <f>VLOOKUP(A115,'Remote work mental helath'!$A$2:$T$1001,18,)</f>
        <v>Daily</v>
      </c>
      <c r="G115">
        <f>VLOOKUP(A115,'Remote work mental helath'!$A$2:$T$1001,15,FALSE)</f>
        <v>1</v>
      </c>
      <c r="H115" t="str">
        <f>VLOOKUP(A115,'Remote work mental helath'!$A$2:$T$1001,14,)</f>
        <v>Decrease</v>
      </c>
      <c r="I115" t="str">
        <f>VLOOKUP(A115,'Remote work mental helath'!$A$2:$T$1001,16,)</f>
        <v>Neutral</v>
      </c>
      <c r="J115" t="str">
        <f>VLOOKUP(A115,'Remote work mental helath'!$A$2:$T$1001,13,)</f>
        <v>Yes</v>
      </c>
      <c r="K115">
        <f>VLOOKUP(A115,'Remote work mental helath'!$A$2:$T$1001,17,FALSE)</f>
        <v>5</v>
      </c>
    </row>
    <row r="116" spans="1:11" x14ac:dyDescent="0.3">
      <c r="A116" t="s">
        <v>165</v>
      </c>
      <c r="B116" t="str">
        <f>VLOOKUP(A116,'Remote work mental helath'!$A$2:$T$1001,12,)</f>
        <v>Anxiety</v>
      </c>
      <c r="C116" t="str">
        <f>VLOOKUP(A116,'Remote work mental helath'!$A$2:$T$1001,11,)</f>
        <v>High</v>
      </c>
      <c r="D116">
        <f>VLOOKUP('Mental Helath'!A116,'Remote work mental helath'!$A$2:$T$1001,10,)</f>
        <v>2</v>
      </c>
      <c r="E116" t="str">
        <f>VLOOKUP(A116,'Remote work mental helath'!A116:T1115,19,FALSE)</f>
        <v>Poor</v>
      </c>
      <c r="F116" t="str">
        <f>VLOOKUP(A116,'Remote work mental helath'!$A$2:$T$1001,18,)</f>
        <v>None</v>
      </c>
      <c r="G116">
        <f>VLOOKUP(A116,'Remote work mental helath'!$A$2:$T$1001,15,FALSE)</f>
        <v>5</v>
      </c>
      <c r="H116" t="str">
        <f>VLOOKUP(A116,'Remote work mental helath'!$A$2:$T$1001,14,)</f>
        <v>No Change</v>
      </c>
      <c r="I116" t="str">
        <f>VLOOKUP(A116,'Remote work mental helath'!$A$2:$T$1001,16,)</f>
        <v>Neutral</v>
      </c>
      <c r="J116" t="str">
        <f>VLOOKUP(A116,'Remote work mental helath'!$A$2:$T$1001,13,)</f>
        <v>No</v>
      </c>
      <c r="K116">
        <f>VLOOKUP(A116,'Remote work mental helath'!$A$2:$T$1001,17,FALSE)</f>
        <v>3</v>
      </c>
    </row>
    <row r="117" spans="1:11" x14ac:dyDescent="0.3">
      <c r="A117" t="s">
        <v>166</v>
      </c>
      <c r="B117" t="str">
        <f>VLOOKUP(A117,'Remote work mental helath'!$A$2:$T$1001,12,)</f>
        <v>Anxiety</v>
      </c>
      <c r="C117" t="str">
        <f>VLOOKUP(A117,'Remote work mental helath'!$A$2:$T$1001,11,)</f>
        <v>Medium</v>
      </c>
      <c r="D117">
        <f>VLOOKUP('Mental Helath'!A117,'Remote work mental helath'!$A$2:$T$1001,10,)</f>
        <v>3</v>
      </c>
      <c r="E117" t="str">
        <f>VLOOKUP(A117,'Remote work mental helath'!A117:T1116,19,FALSE)</f>
        <v>Good</v>
      </c>
      <c r="F117" t="str">
        <f>VLOOKUP(A117,'Remote work mental helath'!$A$2:$T$1001,18,)</f>
        <v>Weekly</v>
      </c>
      <c r="G117">
        <f>VLOOKUP(A117,'Remote work mental helath'!$A$2:$T$1001,15,FALSE)</f>
        <v>3</v>
      </c>
      <c r="H117" t="str">
        <f>VLOOKUP(A117,'Remote work mental helath'!$A$2:$T$1001,14,)</f>
        <v>No Change</v>
      </c>
      <c r="I117" t="str">
        <f>VLOOKUP(A117,'Remote work mental helath'!$A$2:$T$1001,16,)</f>
        <v>Unsatisfied</v>
      </c>
      <c r="J117" t="str">
        <f>VLOOKUP(A117,'Remote work mental helath'!$A$2:$T$1001,13,)</f>
        <v>Yes</v>
      </c>
      <c r="K117">
        <f>VLOOKUP(A117,'Remote work mental helath'!$A$2:$T$1001,17,FALSE)</f>
        <v>3</v>
      </c>
    </row>
    <row r="118" spans="1:11" x14ac:dyDescent="0.3">
      <c r="A118" t="s">
        <v>167</v>
      </c>
      <c r="B118" t="str">
        <f>VLOOKUP(A118,'Remote work mental helath'!$A$2:$T$1001,12,)</f>
        <v>Burnout</v>
      </c>
      <c r="C118" t="str">
        <f>VLOOKUP(A118,'Remote work mental helath'!$A$2:$T$1001,11,)</f>
        <v>Medium</v>
      </c>
      <c r="D118">
        <f>VLOOKUP('Mental Helath'!A118,'Remote work mental helath'!$A$2:$T$1001,10,)</f>
        <v>3</v>
      </c>
      <c r="E118" t="str">
        <f>VLOOKUP(A118,'Remote work mental helath'!A118:T1117,19,FALSE)</f>
        <v>Good</v>
      </c>
      <c r="F118" t="str">
        <f>VLOOKUP(A118,'Remote work mental helath'!$A$2:$T$1001,18,)</f>
        <v>Daily</v>
      </c>
      <c r="G118">
        <f>VLOOKUP(A118,'Remote work mental helath'!$A$2:$T$1001,15,FALSE)</f>
        <v>5</v>
      </c>
      <c r="H118" t="str">
        <f>VLOOKUP(A118,'Remote work mental helath'!$A$2:$T$1001,14,)</f>
        <v>Increase</v>
      </c>
      <c r="I118" t="str">
        <f>VLOOKUP(A118,'Remote work mental helath'!$A$2:$T$1001,16,)</f>
        <v>Satisfied</v>
      </c>
      <c r="J118" t="str">
        <f>VLOOKUP(A118,'Remote work mental helath'!$A$2:$T$1001,13,)</f>
        <v>No</v>
      </c>
      <c r="K118">
        <f>VLOOKUP(A118,'Remote work mental helath'!$A$2:$T$1001,17,FALSE)</f>
        <v>3</v>
      </c>
    </row>
    <row r="119" spans="1:11" x14ac:dyDescent="0.3">
      <c r="A119" t="s">
        <v>168</v>
      </c>
      <c r="B119" t="str">
        <f>VLOOKUP(A119,'Remote work mental helath'!$A$2:$T$1001,12,)</f>
        <v>Burnout</v>
      </c>
      <c r="C119" t="str">
        <f>VLOOKUP(A119,'Remote work mental helath'!$A$2:$T$1001,11,)</f>
        <v>High</v>
      </c>
      <c r="D119">
        <f>VLOOKUP('Mental Helath'!A119,'Remote work mental helath'!$A$2:$T$1001,10,)</f>
        <v>2</v>
      </c>
      <c r="E119" t="str">
        <f>VLOOKUP(A119,'Remote work mental helath'!A119:T1118,19,FALSE)</f>
        <v>Good</v>
      </c>
      <c r="F119" t="str">
        <f>VLOOKUP(A119,'Remote work mental helath'!$A$2:$T$1001,18,)</f>
        <v>Daily</v>
      </c>
      <c r="G119">
        <f>VLOOKUP(A119,'Remote work mental helath'!$A$2:$T$1001,15,FALSE)</f>
        <v>5</v>
      </c>
      <c r="H119" t="str">
        <f>VLOOKUP(A119,'Remote work mental helath'!$A$2:$T$1001,14,)</f>
        <v>Increase</v>
      </c>
      <c r="I119" t="str">
        <f>VLOOKUP(A119,'Remote work mental helath'!$A$2:$T$1001,16,)</f>
        <v>Satisfied</v>
      </c>
      <c r="J119" t="str">
        <f>VLOOKUP(A119,'Remote work mental helath'!$A$2:$T$1001,13,)</f>
        <v>No</v>
      </c>
      <c r="K119">
        <f>VLOOKUP(A119,'Remote work mental helath'!$A$2:$T$1001,17,FALSE)</f>
        <v>3</v>
      </c>
    </row>
    <row r="120" spans="1:11" x14ac:dyDescent="0.3">
      <c r="A120" t="s">
        <v>169</v>
      </c>
      <c r="B120" t="str">
        <f>VLOOKUP(A120,'Remote work mental helath'!$A$2:$T$1001,12,)</f>
        <v>Burnout</v>
      </c>
      <c r="C120" t="str">
        <f>VLOOKUP(A120,'Remote work mental helath'!$A$2:$T$1001,11,)</f>
        <v>Medium</v>
      </c>
      <c r="D120">
        <f>VLOOKUP('Mental Helath'!A120,'Remote work mental helath'!$A$2:$T$1001,10,)</f>
        <v>2</v>
      </c>
      <c r="E120" t="str">
        <f>VLOOKUP(A120,'Remote work mental helath'!A120:T1119,19,FALSE)</f>
        <v>Average</v>
      </c>
      <c r="F120" t="str">
        <f>VLOOKUP(A120,'Remote work mental helath'!$A$2:$T$1001,18,)</f>
        <v>Daily</v>
      </c>
      <c r="G120">
        <f>VLOOKUP(A120,'Remote work mental helath'!$A$2:$T$1001,15,FALSE)</f>
        <v>5</v>
      </c>
      <c r="H120" t="str">
        <f>VLOOKUP(A120,'Remote work mental helath'!$A$2:$T$1001,14,)</f>
        <v>Increase</v>
      </c>
      <c r="I120" t="str">
        <f>VLOOKUP(A120,'Remote work mental helath'!$A$2:$T$1001,16,)</f>
        <v>Satisfied</v>
      </c>
      <c r="J120" t="str">
        <f>VLOOKUP(A120,'Remote work mental helath'!$A$2:$T$1001,13,)</f>
        <v>Yes</v>
      </c>
      <c r="K120">
        <f>VLOOKUP(A120,'Remote work mental helath'!$A$2:$T$1001,17,FALSE)</f>
        <v>3</v>
      </c>
    </row>
    <row r="121" spans="1:11" x14ac:dyDescent="0.3">
      <c r="A121" t="s">
        <v>170</v>
      </c>
      <c r="B121" t="str">
        <f>VLOOKUP(A121,'Remote work mental helath'!$A$2:$T$1001,12,)</f>
        <v>None</v>
      </c>
      <c r="C121" t="str">
        <f>VLOOKUP(A121,'Remote work mental helath'!$A$2:$T$1001,11,)</f>
        <v>Medium</v>
      </c>
      <c r="D121">
        <f>VLOOKUP('Mental Helath'!A121,'Remote work mental helath'!$A$2:$T$1001,10,)</f>
        <v>2</v>
      </c>
      <c r="E121" t="str">
        <f>VLOOKUP(A121,'Remote work mental helath'!A121:T1120,19,FALSE)</f>
        <v>Average</v>
      </c>
      <c r="F121" t="str">
        <f>VLOOKUP(A121,'Remote work mental helath'!$A$2:$T$1001,18,)</f>
        <v>Daily</v>
      </c>
      <c r="G121">
        <f>VLOOKUP(A121,'Remote work mental helath'!$A$2:$T$1001,15,FALSE)</f>
        <v>2</v>
      </c>
      <c r="H121" t="str">
        <f>VLOOKUP(A121,'Remote work mental helath'!$A$2:$T$1001,14,)</f>
        <v>Decrease</v>
      </c>
      <c r="I121" t="str">
        <f>VLOOKUP(A121,'Remote work mental helath'!$A$2:$T$1001,16,)</f>
        <v>Unsatisfied</v>
      </c>
      <c r="J121" t="str">
        <f>VLOOKUP(A121,'Remote work mental helath'!$A$2:$T$1001,13,)</f>
        <v>Yes</v>
      </c>
      <c r="K121">
        <f>VLOOKUP(A121,'Remote work mental helath'!$A$2:$T$1001,17,FALSE)</f>
        <v>5</v>
      </c>
    </row>
    <row r="122" spans="1:11" x14ac:dyDescent="0.3">
      <c r="A122" t="s">
        <v>171</v>
      </c>
      <c r="B122" t="str">
        <f>VLOOKUP(A122,'Remote work mental helath'!$A$2:$T$1001,12,)</f>
        <v>Anxiety</v>
      </c>
      <c r="C122" t="str">
        <f>VLOOKUP(A122,'Remote work mental helath'!$A$2:$T$1001,11,)</f>
        <v>High</v>
      </c>
      <c r="D122">
        <f>VLOOKUP('Mental Helath'!A122,'Remote work mental helath'!$A$2:$T$1001,10,)</f>
        <v>2</v>
      </c>
      <c r="E122" t="str">
        <f>VLOOKUP(A122,'Remote work mental helath'!A122:T1121,19,FALSE)</f>
        <v>Average</v>
      </c>
      <c r="F122" t="str">
        <f>VLOOKUP(A122,'Remote work mental helath'!$A$2:$T$1001,18,)</f>
        <v>Daily</v>
      </c>
      <c r="G122">
        <f>VLOOKUP(A122,'Remote work mental helath'!$A$2:$T$1001,15,FALSE)</f>
        <v>2</v>
      </c>
      <c r="H122" t="str">
        <f>VLOOKUP(A122,'Remote work mental helath'!$A$2:$T$1001,14,)</f>
        <v>Decrease</v>
      </c>
      <c r="I122" t="str">
        <f>VLOOKUP(A122,'Remote work mental helath'!$A$2:$T$1001,16,)</f>
        <v>Neutral</v>
      </c>
      <c r="J122" t="str">
        <f>VLOOKUP(A122,'Remote work mental helath'!$A$2:$T$1001,13,)</f>
        <v>No</v>
      </c>
      <c r="K122">
        <f>VLOOKUP(A122,'Remote work mental helath'!$A$2:$T$1001,17,FALSE)</f>
        <v>5</v>
      </c>
    </row>
    <row r="123" spans="1:11" x14ac:dyDescent="0.3">
      <c r="A123" t="s">
        <v>172</v>
      </c>
      <c r="B123" t="str">
        <f>VLOOKUP(A123,'Remote work mental helath'!$A$2:$T$1001,12,)</f>
        <v>Depression</v>
      </c>
      <c r="C123" t="str">
        <f>VLOOKUP(A123,'Remote work mental helath'!$A$2:$T$1001,11,)</f>
        <v>High</v>
      </c>
      <c r="D123">
        <f>VLOOKUP('Mental Helath'!A123,'Remote work mental helath'!$A$2:$T$1001,10,)</f>
        <v>5</v>
      </c>
      <c r="E123" t="str">
        <f>VLOOKUP(A123,'Remote work mental helath'!A123:T1122,19,FALSE)</f>
        <v>Good</v>
      </c>
      <c r="F123" t="str">
        <f>VLOOKUP(A123,'Remote work mental helath'!$A$2:$T$1001,18,)</f>
        <v>None</v>
      </c>
      <c r="G123">
        <f>VLOOKUP(A123,'Remote work mental helath'!$A$2:$T$1001,15,FALSE)</f>
        <v>2</v>
      </c>
      <c r="H123" t="str">
        <f>VLOOKUP(A123,'Remote work mental helath'!$A$2:$T$1001,14,)</f>
        <v>No Change</v>
      </c>
      <c r="I123" t="str">
        <f>VLOOKUP(A123,'Remote work mental helath'!$A$2:$T$1001,16,)</f>
        <v>Unsatisfied</v>
      </c>
      <c r="J123" t="str">
        <f>VLOOKUP(A123,'Remote work mental helath'!$A$2:$T$1001,13,)</f>
        <v>Yes</v>
      </c>
      <c r="K123">
        <f>VLOOKUP(A123,'Remote work mental helath'!$A$2:$T$1001,17,FALSE)</f>
        <v>3</v>
      </c>
    </row>
    <row r="124" spans="1:11" x14ac:dyDescent="0.3">
      <c r="A124" t="s">
        <v>173</v>
      </c>
      <c r="B124" t="str">
        <f>VLOOKUP(A124,'Remote work mental helath'!$A$2:$T$1001,12,)</f>
        <v>Anxiety</v>
      </c>
      <c r="C124" t="str">
        <f>VLOOKUP(A124,'Remote work mental helath'!$A$2:$T$1001,11,)</f>
        <v>High</v>
      </c>
      <c r="D124">
        <f>VLOOKUP('Mental Helath'!A124,'Remote work mental helath'!$A$2:$T$1001,10,)</f>
        <v>2</v>
      </c>
      <c r="E124" t="str">
        <f>VLOOKUP(A124,'Remote work mental helath'!A124:T1123,19,FALSE)</f>
        <v>Good</v>
      </c>
      <c r="F124" t="str">
        <f>VLOOKUP(A124,'Remote work mental helath'!$A$2:$T$1001,18,)</f>
        <v>None</v>
      </c>
      <c r="G124">
        <f>VLOOKUP(A124,'Remote work mental helath'!$A$2:$T$1001,15,FALSE)</f>
        <v>3</v>
      </c>
      <c r="H124" t="str">
        <f>VLOOKUP(A124,'Remote work mental helath'!$A$2:$T$1001,14,)</f>
        <v>No Change</v>
      </c>
      <c r="I124" t="str">
        <f>VLOOKUP(A124,'Remote work mental helath'!$A$2:$T$1001,16,)</f>
        <v>Unsatisfied</v>
      </c>
      <c r="J124" t="str">
        <f>VLOOKUP(A124,'Remote work mental helath'!$A$2:$T$1001,13,)</f>
        <v>Yes</v>
      </c>
      <c r="K124">
        <f>VLOOKUP(A124,'Remote work mental helath'!$A$2:$T$1001,17,FALSE)</f>
        <v>1</v>
      </c>
    </row>
    <row r="125" spans="1:11" x14ac:dyDescent="0.3">
      <c r="A125" t="s">
        <v>174</v>
      </c>
      <c r="B125" t="str">
        <f>VLOOKUP(A125,'Remote work mental helath'!$A$2:$T$1001,12,)</f>
        <v>None</v>
      </c>
      <c r="C125" t="str">
        <f>VLOOKUP(A125,'Remote work mental helath'!$A$2:$T$1001,11,)</f>
        <v>Low</v>
      </c>
      <c r="D125">
        <f>VLOOKUP('Mental Helath'!A125,'Remote work mental helath'!$A$2:$T$1001,10,)</f>
        <v>2</v>
      </c>
      <c r="E125" t="str">
        <f>VLOOKUP(A125,'Remote work mental helath'!A125:T1124,19,FALSE)</f>
        <v>Average</v>
      </c>
      <c r="F125" t="str">
        <f>VLOOKUP(A125,'Remote work mental helath'!$A$2:$T$1001,18,)</f>
        <v>Weekly</v>
      </c>
      <c r="G125">
        <f>VLOOKUP(A125,'Remote work mental helath'!$A$2:$T$1001,15,FALSE)</f>
        <v>1</v>
      </c>
      <c r="H125" t="str">
        <f>VLOOKUP(A125,'Remote work mental helath'!$A$2:$T$1001,14,)</f>
        <v>Increase</v>
      </c>
      <c r="I125" t="str">
        <f>VLOOKUP(A125,'Remote work mental helath'!$A$2:$T$1001,16,)</f>
        <v>Satisfied</v>
      </c>
      <c r="J125" t="str">
        <f>VLOOKUP(A125,'Remote work mental helath'!$A$2:$T$1001,13,)</f>
        <v>Yes</v>
      </c>
      <c r="K125">
        <f>VLOOKUP(A125,'Remote work mental helath'!$A$2:$T$1001,17,FALSE)</f>
        <v>5</v>
      </c>
    </row>
    <row r="126" spans="1:11" x14ac:dyDescent="0.3">
      <c r="A126" t="s">
        <v>175</v>
      </c>
      <c r="B126" t="str">
        <f>VLOOKUP(A126,'Remote work mental helath'!$A$2:$T$1001,12,)</f>
        <v>Depression</v>
      </c>
      <c r="C126" t="str">
        <f>VLOOKUP(A126,'Remote work mental helath'!$A$2:$T$1001,11,)</f>
        <v>High</v>
      </c>
      <c r="D126">
        <f>VLOOKUP('Mental Helath'!A126,'Remote work mental helath'!$A$2:$T$1001,10,)</f>
        <v>2</v>
      </c>
      <c r="E126" t="str">
        <f>VLOOKUP(A126,'Remote work mental helath'!A126:T1125,19,FALSE)</f>
        <v>Average</v>
      </c>
      <c r="F126" t="str">
        <f>VLOOKUP(A126,'Remote work mental helath'!$A$2:$T$1001,18,)</f>
        <v>Daily</v>
      </c>
      <c r="G126">
        <f>VLOOKUP(A126,'Remote work mental helath'!$A$2:$T$1001,15,FALSE)</f>
        <v>1</v>
      </c>
      <c r="H126" t="str">
        <f>VLOOKUP(A126,'Remote work mental helath'!$A$2:$T$1001,14,)</f>
        <v>No Change</v>
      </c>
      <c r="I126" t="str">
        <f>VLOOKUP(A126,'Remote work mental helath'!$A$2:$T$1001,16,)</f>
        <v>Unsatisfied</v>
      </c>
      <c r="J126" t="str">
        <f>VLOOKUP(A126,'Remote work mental helath'!$A$2:$T$1001,13,)</f>
        <v>Yes</v>
      </c>
      <c r="K126">
        <f>VLOOKUP(A126,'Remote work mental helath'!$A$2:$T$1001,17,FALSE)</f>
        <v>4</v>
      </c>
    </row>
    <row r="127" spans="1:11" x14ac:dyDescent="0.3">
      <c r="A127" t="s">
        <v>176</v>
      </c>
      <c r="B127" t="str">
        <f>VLOOKUP(A127,'Remote work mental helath'!$A$2:$T$1001,12,)</f>
        <v>Burnout</v>
      </c>
      <c r="C127" t="str">
        <f>VLOOKUP(A127,'Remote work mental helath'!$A$2:$T$1001,11,)</f>
        <v>Low</v>
      </c>
      <c r="D127">
        <f>VLOOKUP('Mental Helath'!A127,'Remote work mental helath'!$A$2:$T$1001,10,)</f>
        <v>3</v>
      </c>
      <c r="E127" t="str">
        <f>VLOOKUP(A127,'Remote work mental helath'!A127:T1126,19,FALSE)</f>
        <v>Average</v>
      </c>
      <c r="F127" t="str">
        <f>VLOOKUP(A127,'Remote work mental helath'!$A$2:$T$1001,18,)</f>
        <v>None</v>
      </c>
      <c r="G127">
        <f>VLOOKUP(A127,'Remote work mental helath'!$A$2:$T$1001,15,FALSE)</f>
        <v>5</v>
      </c>
      <c r="H127" t="str">
        <f>VLOOKUP(A127,'Remote work mental helath'!$A$2:$T$1001,14,)</f>
        <v>Increase</v>
      </c>
      <c r="I127" t="str">
        <f>VLOOKUP(A127,'Remote work mental helath'!$A$2:$T$1001,16,)</f>
        <v>Unsatisfied</v>
      </c>
      <c r="J127" t="str">
        <f>VLOOKUP(A127,'Remote work mental helath'!$A$2:$T$1001,13,)</f>
        <v>No</v>
      </c>
      <c r="K127">
        <f>VLOOKUP(A127,'Remote work mental helath'!$A$2:$T$1001,17,FALSE)</f>
        <v>4</v>
      </c>
    </row>
    <row r="128" spans="1:11" x14ac:dyDescent="0.3">
      <c r="A128" t="s">
        <v>177</v>
      </c>
      <c r="B128" t="str">
        <f>VLOOKUP(A128,'Remote work mental helath'!$A$2:$T$1001,12,)</f>
        <v>Burnout</v>
      </c>
      <c r="C128" t="str">
        <f>VLOOKUP(A128,'Remote work mental helath'!$A$2:$T$1001,11,)</f>
        <v>Medium</v>
      </c>
      <c r="D128">
        <f>VLOOKUP('Mental Helath'!A128,'Remote work mental helath'!$A$2:$T$1001,10,)</f>
        <v>2</v>
      </c>
      <c r="E128" t="str">
        <f>VLOOKUP(A128,'Remote work mental helath'!A128:T1127,19,FALSE)</f>
        <v>Good</v>
      </c>
      <c r="F128" t="str">
        <f>VLOOKUP(A128,'Remote work mental helath'!$A$2:$T$1001,18,)</f>
        <v>Daily</v>
      </c>
      <c r="G128">
        <f>VLOOKUP(A128,'Remote work mental helath'!$A$2:$T$1001,15,FALSE)</f>
        <v>2</v>
      </c>
      <c r="H128" t="str">
        <f>VLOOKUP(A128,'Remote work mental helath'!$A$2:$T$1001,14,)</f>
        <v>Decrease</v>
      </c>
      <c r="I128" t="str">
        <f>VLOOKUP(A128,'Remote work mental helath'!$A$2:$T$1001,16,)</f>
        <v>Unsatisfied</v>
      </c>
      <c r="J128" t="str">
        <f>VLOOKUP(A128,'Remote work mental helath'!$A$2:$T$1001,13,)</f>
        <v>Yes</v>
      </c>
      <c r="K128">
        <f>VLOOKUP(A128,'Remote work mental helath'!$A$2:$T$1001,17,FALSE)</f>
        <v>1</v>
      </c>
    </row>
    <row r="129" spans="1:11" x14ac:dyDescent="0.3">
      <c r="A129" t="s">
        <v>178</v>
      </c>
      <c r="B129" t="str">
        <f>VLOOKUP(A129,'Remote work mental helath'!$A$2:$T$1001,12,)</f>
        <v>None</v>
      </c>
      <c r="C129" t="str">
        <f>VLOOKUP(A129,'Remote work mental helath'!$A$2:$T$1001,11,)</f>
        <v>High</v>
      </c>
      <c r="D129">
        <f>VLOOKUP('Mental Helath'!A129,'Remote work mental helath'!$A$2:$T$1001,10,)</f>
        <v>5</v>
      </c>
      <c r="E129" t="str">
        <f>VLOOKUP(A129,'Remote work mental helath'!A129:T1128,19,FALSE)</f>
        <v>Average</v>
      </c>
      <c r="F129" t="str">
        <f>VLOOKUP(A129,'Remote work mental helath'!$A$2:$T$1001,18,)</f>
        <v>None</v>
      </c>
      <c r="G129">
        <f>VLOOKUP(A129,'Remote work mental helath'!$A$2:$T$1001,15,FALSE)</f>
        <v>2</v>
      </c>
      <c r="H129" t="str">
        <f>VLOOKUP(A129,'Remote work mental helath'!$A$2:$T$1001,14,)</f>
        <v>Decrease</v>
      </c>
      <c r="I129" t="str">
        <f>VLOOKUP(A129,'Remote work mental helath'!$A$2:$T$1001,16,)</f>
        <v>Unsatisfied</v>
      </c>
      <c r="J129" t="str">
        <f>VLOOKUP(A129,'Remote work mental helath'!$A$2:$T$1001,13,)</f>
        <v>Yes</v>
      </c>
      <c r="K129">
        <f>VLOOKUP(A129,'Remote work mental helath'!$A$2:$T$1001,17,FALSE)</f>
        <v>2</v>
      </c>
    </row>
    <row r="130" spans="1:11" x14ac:dyDescent="0.3">
      <c r="A130" t="s">
        <v>179</v>
      </c>
      <c r="B130" t="str">
        <f>VLOOKUP(A130,'Remote work mental helath'!$A$2:$T$1001,12,)</f>
        <v>Burnout</v>
      </c>
      <c r="C130" t="str">
        <f>VLOOKUP(A130,'Remote work mental helath'!$A$2:$T$1001,11,)</f>
        <v>Medium</v>
      </c>
      <c r="D130">
        <f>VLOOKUP('Mental Helath'!A130,'Remote work mental helath'!$A$2:$T$1001,10,)</f>
        <v>4</v>
      </c>
      <c r="E130" t="str">
        <f>VLOOKUP(A130,'Remote work mental helath'!A130:T1129,19,FALSE)</f>
        <v>Poor</v>
      </c>
      <c r="F130" t="str">
        <f>VLOOKUP(A130,'Remote work mental helath'!$A$2:$T$1001,18,)</f>
        <v>Daily</v>
      </c>
      <c r="G130">
        <f>VLOOKUP(A130,'Remote work mental helath'!$A$2:$T$1001,15,FALSE)</f>
        <v>2</v>
      </c>
      <c r="H130" t="str">
        <f>VLOOKUP(A130,'Remote work mental helath'!$A$2:$T$1001,14,)</f>
        <v>No Change</v>
      </c>
      <c r="I130" t="str">
        <f>VLOOKUP(A130,'Remote work mental helath'!$A$2:$T$1001,16,)</f>
        <v>Unsatisfied</v>
      </c>
      <c r="J130" t="str">
        <f>VLOOKUP(A130,'Remote work mental helath'!$A$2:$T$1001,13,)</f>
        <v>No</v>
      </c>
      <c r="K130">
        <f>VLOOKUP(A130,'Remote work mental helath'!$A$2:$T$1001,17,FALSE)</f>
        <v>2</v>
      </c>
    </row>
    <row r="131" spans="1:11" x14ac:dyDescent="0.3">
      <c r="A131" t="s">
        <v>180</v>
      </c>
      <c r="B131" t="str">
        <f>VLOOKUP(A131,'Remote work mental helath'!$A$2:$T$1001,12,)</f>
        <v>None</v>
      </c>
      <c r="C131" t="str">
        <f>VLOOKUP(A131,'Remote work mental helath'!$A$2:$T$1001,11,)</f>
        <v>Low</v>
      </c>
      <c r="D131">
        <f>VLOOKUP('Mental Helath'!A131,'Remote work mental helath'!$A$2:$T$1001,10,)</f>
        <v>3</v>
      </c>
      <c r="E131" t="str">
        <f>VLOOKUP(A131,'Remote work mental helath'!A131:T1130,19,FALSE)</f>
        <v>Average</v>
      </c>
      <c r="F131" t="str">
        <f>VLOOKUP(A131,'Remote work mental helath'!$A$2:$T$1001,18,)</f>
        <v>None</v>
      </c>
      <c r="G131">
        <f>VLOOKUP(A131,'Remote work mental helath'!$A$2:$T$1001,15,FALSE)</f>
        <v>5</v>
      </c>
      <c r="H131" t="str">
        <f>VLOOKUP(A131,'Remote work mental helath'!$A$2:$T$1001,14,)</f>
        <v>Decrease</v>
      </c>
      <c r="I131" t="str">
        <f>VLOOKUP(A131,'Remote work mental helath'!$A$2:$T$1001,16,)</f>
        <v>Unsatisfied</v>
      </c>
      <c r="J131" t="str">
        <f>VLOOKUP(A131,'Remote work mental helath'!$A$2:$T$1001,13,)</f>
        <v>Yes</v>
      </c>
      <c r="K131">
        <f>VLOOKUP(A131,'Remote work mental helath'!$A$2:$T$1001,17,FALSE)</f>
        <v>3</v>
      </c>
    </row>
    <row r="132" spans="1:11" x14ac:dyDescent="0.3">
      <c r="A132" t="s">
        <v>181</v>
      </c>
      <c r="B132" t="str">
        <f>VLOOKUP(A132,'Remote work mental helath'!$A$2:$T$1001,12,)</f>
        <v>None</v>
      </c>
      <c r="C132" t="str">
        <f>VLOOKUP(A132,'Remote work mental helath'!$A$2:$T$1001,11,)</f>
        <v>Medium</v>
      </c>
      <c r="D132">
        <f>VLOOKUP('Mental Helath'!A132,'Remote work mental helath'!$A$2:$T$1001,10,)</f>
        <v>1</v>
      </c>
      <c r="E132" t="str">
        <f>VLOOKUP(A132,'Remote work mental helath'!A132:T1131,19,FALSE)</f>
        <v>Good</v>
      </c>
      <c r="F132" t="str">
        <f>VLOOKUP(A132,'Remote work mental helath'!$A$2:$T$1001,18,)</f>
        <v>Weekly</v>
      </c>
      <c r="G132">
        <f>VLOOKUP(A132,'Remote work mental helath'!$A$2:$T$1001,15,FALSE)</f>
        <v>5</v>
      </c>
      <c r="H132" t="str">
        <f>VLOOKUP(A132,'Remote work mental helath'!$A$2:$T$1001,14,)</f>
        <v>No Change</v>
      </c>
      <c r="I132" t="str">
        <f>VLOOKUP(A132,'Remote work mental helath'!$A$2:$T$1001,16,)</f>
        <v>Neutral</v>
      </c>
      <c r="J132" t="str">
        <f>VLOOKUP(A132,'Remote work mental helath'!$A$2:$T$1001,13,)</f>
        <v>No</v>
      </c>
      <c r="K132">
        <f>VLOOKUP(A132,'Remote work mental helath'!$A$2:$T$1001,17,FALSE)</f>
        <v>5</v>
      </c>
    </row>
    <row r="133" spans="1:11" x14ac:dyDescent="0.3">
      <c r="A133" t="s">
        <v>182</v>
      </c>
      <c r="B133" t="str">
        <f>VLOOKUP(A133,'Remote work mental helath'!$A$2:$T$1001,12,)</f>
        <v>Burnout</v>
      </c>
      <c r="C133" t="str">
        <f>VLOOKUP(A133,'Remote work mental helath'!$A$2:$T$1001,11,)</f>
        <v>Low</v>
      </c>
      <c r="D133">
        <f>VLOOKUP('Mental Helath'!A133,'Remote work mental helath'!$A$2:$T$1001,10,)</f>
        <v>5</v>
      </c>
      <c r="E133" t="str">
        <f>VLOOKUP(A133,'Remote work mental helath'!A133:T1132,19,FALSE)</f>
        <v>Average</v>
      </c>
      <c r="F133" t="str">
        <f>VLOOKUP(A133,'Remote work mental helath'!$A$2:$T$1001,18,)</f>
        <v>Weekly</v>
      </c>
      <c r="G133">
        <f>VLOOKUP(A133,'Remote work mental helath'!$A$2:$T$1001,15,FALSE)</f>
        <v>2</v>
      </c>
      <c r="H133" t="str">
        <f>VLOOKUP(A133,'Remote work mental helath'!$A$2:$T$1001,14,)</f>
        <v>Increase</v>
      </c>
      <c r="I133" t="str">
        <f>VLOOKUP(A133,'Remote work mental helath'!$A$2:$T$1001,16,)</f>
        <v>Unsatisfied</v>
      </c>
      <c r="J133" t="str">
        <f>VLOOKUP(A133,'Remote work mental helath'!$A$2:$T$1001,13,)</f>
        <v>Yes</v>
      </c>
      <c r="K133">
        <f>VLOOKUP(A133,'Remote work mental helath'!$A$2:$T$1001,17,FALSE)</f>
        <v>4</v>
      </c>
    </row>
    <row r="134" spans="1:11" x14ac:dyDescent="0.3">
      <c r="A134" t="s">
        <v>183</v>
      </c>
      <c r="B134" t="str">
        <f>VLOOKUP(A134,'Remote work mental helath'!$A$2:$T$1001,12,)</f>
        <v>None</v>
      </c>
      <c r="C134" t="str">
        <f>VLOOKUP(A134,'Remote work mental helath'!$A$2:$T$1001,11,)</f>
        <v>Medium</v>
      </c>
      <c r="D134">
        <f>VLOOKUP('Mental Helath'!A134,'Remote work mental helath'!$A$2:$T$1001,10,)</f>
        <v>3</v>
      </c>
      <c r="E134" t="str">
        <f>VLOOKUP(A134,'Remote work mental helath'!A134:T1133,19,FALSE)</f>
        <v>Good</v>
      </c>
      <c r="F134" t="str">
        <f>VLOOKUP(A134,'Remote work mental helath'!$A$2:$T$1001,18,)</f>
        <v>Weekly</v>
      </c>
      <c r="G134">
        <f>VLOOKUP(A134,'Remote work mental helath'!$A$2:$T$1001,15,FALSE)</f>
        <v>4</v>
      </c>
      <c r="H134" t="str">
        <f>VLOOKUP(A134,'Remote work mental helath'!$A$2:$T$1001,14,)</f>
        <v>No Change</v>
      </c>
      <c r="I134" t="str">
        <f>VLOOKUP(A134,'Remote work mental helath'!$A$2:$T$1001,16,)</f>
        <v>Neutral</v>
      </c>
      <c r="J134" t="str">
        <f>VLOOKUP(A134,'Remote work mental helath'!$A$2:$T$1001,13,)</f>
        <v>No</v>
      </c>
      <c r="K134">
        <f>VLOOKUP(A134,'Remote work mental helath'!$A$2:$T$1001,17,FALSE)</f>
        <v>2</v>
      </c>
    </row>
    <row r="135" spans="1:11" x14ac:dyDescent="0.3">
      <c r="A135" t="s">
        <v>184</v>
      </c>
      <c r="B135" t="str">
        <f>VLOOKUP(A135,'Remote work mental helath'!$A$2:$T$1001,12,)</f>
        <v>None</v>
      </c>
      <c r="C135" t="str">
        <f>VLOOKUP(A135,'Remote work mental helath'!$A$2:$T$1001,11,)</f>
        <v>Low</v>
      </c>
      <c r="D135">
        <f>VLOOKUP('Mental Helath'!A135,'Remote work mental helath'!$A$2:$T$1001,10,)</f>
        <v>1</v>
      </c>
      <c r="E135" t="str">
        <f>VLOOKUP(A135,'Remote work mental helath'!A135:T1134,19,FALSE)</f>
        <v>Good</v>
      </c>
      <c r="F135" t="str">
        <f>VLOOKUP(A135,'Remote work mental helath'!$A$2:$T$1001,18,)</f>
        <v>Weekly</v>
      </c>
      <c r="G135">
        <f>VLOOKUP(A135,'Remote work mental helath'!$A$2:$T$1001,15,FALSE)</f>
        <v>4</v>
      </c>
      <c r="H135" t="str">
        <f>VLOOKUP(A135,'Remote work mental helath'!$A$2:$T$1001,14,)</f>
        <v>Decrease</v>
      </c>
      <c r="I135" t="str">
        <f>VLOOKUP(A135,'Remote work mental helath'!$A$2:$T$1001,16,)</f>
        <v>Satisfied</v>
      </c>
      <c r="J135" t="str">
        <f>VLOOKUP(A135,'Remote work mental helath'!$A$2:$T$1001,13,)</f>
        <v>Yes</v>
      </c>
      <c r="K135">
        <f>VLOOKUP(A135,'Remote work mental helath'!$A$2:$T$1001,17,FALSE)</f>
        <v>2</v>
      </c>
    </row>
    <row r="136" spans="1:11" x14ac:dyDescent="0.3">
      <c r="A136" t="s">
        <v>185</v>
      </c>
      <c r="B136" t="str">
        <f>VLOOKUP(A136,'Remote work mental helath'!$A$2:$T$1001,12,)</f>
        <v>None</v>
      </c>
      <c r="C136" t="str">
        <f>VLOOKUP(A136,'Remote work mental helath'!$A$2:$T$1001,11,)</f>
        <v>Medium</v>
      </c>
      <c r="D136">
        <f>VLOOKUP('Mental Helath'!A136,'Remote work mental helath'!$A$2:$T$1001,10,)</f>
        <v>4</v>
      </c>
      <c r="E136" t="str">
        <f>VLOOKUP(A136,'Remote work mental helath'!A136:T1135,19,FALSE)</f>
        <v>Poor</v>
      </c>
      <c r="F136" t="str">
        <f>VLOOKUP(A136,'Remote work mental helath'!$A$2:$T$1001,18,)</f>
        <v>Weekly</v>
      </c>
      <c r="G136">
        <f>VLOOKUP(A136,'Remote work mental helath'!$A$2:$T$1001,15,FALSE)</f>
        <v>5</v>
      </c>
      <c r="H136" t="str">
        <f>VLOOKUP(A136,'Remote work mental helath'!$A$2:$T$1001,14,)</f>
        <v>Increase</v>
      </c>
      <c r="I136" t="str">
        <f>VLOOKUP(A136,'Remote work mental helath'!$A$2:$T$1001,16,)</f>
        <v>Unsatisfied</v>
      </c>
      <c r="J136" t="str">
        <f>VLOOKUP(A136,'Remote work mental helath'!$A$2:$T$1001,13,)</f>
        <v>No</v>
      </c>
      <c r="K136">
        <f>VLOOKUP(A136,'Remote work mental helath'!$A$2:$T$1001,17,FALSE)</f>
        <v>2</v>
      </c>
    </row>
    <row r="137" spans="1:11" x14ac:dyDescent="0.3">
      <c r="A137" t="s">
        <v>186</v>
      </c>
      <c r="B137" t="str">
        <f>VLOOKUP(A137,'Remote work mental helath'!$A$2:$T$1001,12,)</f>
        <v>Burnout</v>
      </c>
      <c r="C137" t="str">
        <f>VLOOKUP(A137,'Remote work mental helath'!$A$2:$T$1001,11,)</f>
        <v>Medium</v>
      </c>
      <c r="D137">
        <f>VLOOKUP('Mental Helath'!A137,'Remote work mental helath'!$A$2:$T$1001,10,)</f>
        <v>5</v>
      </c>
      <c r="E137" t="str">
        <f>VLOOKUP(A137,'Remote work mental helath'!A137:T1136,19,FALSE)</f>
        <v>Good</v>
      </c>
      <c r="F137" t="str">
        <f>VLOOKUP(A137,'Remote work mental helath'!$A$2:$T$1001,18,)</f>
        <v>None</v>
      </c>
      <c r="G137">
        <f>VLOOKUP(A137,'Remote work mental helath'!$A$2:$T$1001,15,FALSE)</f>
        <v>4</v>
      </c>
      <c r="H137" t="str">
        <f>VLOOKUP(A137,'Remote work mental helath'!$A$2:$T$1001,14,)</f>
        <v>Increase</v>
      </c>
      <c r="I137" t="str">
        <f>VLOOKUP(A137,'Remote work mental helath'!$A$2:$T$1001,16,)</f>
        <v>Unsatisfied</v>
      </c>
      <c r="J137" t="str">
        <f>VLOOKUP(A137,'Remote work mental helath'!$A$2:$T$1001,13,)</f>
        <v>No</v>
      </c>
      <c r="K137">
        <f>VLOOKUP(A137,'Remote work mental helath'!$A$2:$T$1001,17,FALSE)</f>
        <v>5</v>
      </c>
    </row>
    <row r="138" spans="1:11" x14ac:dyDescent="0.3">
      <c r="A138" t="s">
        <v>187</v>
      </c>
      <c r="B138" t="str">
        <f>VLOOKUP(A138,'Remote work mental helath'!$A$2:$T$1001,12,)</f>
        <v>Burnout</v>
      </c>
      <c r="C138" t="str">
        <f>VLOOKUP(A138,'Remote work mental helath'!$A$2:$T$1001,11,)</f>
        <v>High</v>
      </c>
      <c r="D138">
        <f>VLOOKUP('Mental Helath'!A138,'Remote work mental helath'!$A$2:$T$1001,10,)</f>
        <v>2</v>
      </c>
      <c r="E138" t="str">
        <f>VLOOKUP(A138,'Remote work mental helath'!A138:T1137,19,FALSE)</f>
        <v>Good</v>
      </c>
      <c r="F138" t="str">
        <f>VLOOKUP(A138,'Remote work mental helath'!$A$2:$T$1001,18,)</f>
        <v>Daily</v>
      </c>
      <c r="G138">
        <f>VLOOKUP(A138,'Remote work mental helath'!$A$2:$T$1001,15,FALSE)</f>
        <v>4</v>
      </c>
      <c r="H138" t="str">
        <f>VLOOKUP(A138,'Remote work mental helath'!$A$2:$T$1001,14,)</f>
        <v>No Change</v>
      </c>
      <c r="I138" t="str">
        <f>VLOOKUP(A138,'Remote work mental helath'!$A$2:$T$1001,16,)</f>
        <v>Neutral</v>
      </c>
      <c r="J138" t="str">
        <f>VLOOKUP(A138,'Remote work mental helath'!$A$2:$T$1001,13,)</f>
        <v>No</v>
      </c>
      <c r="K138">
        <f>VLOOKUP(A138,'Remote work mental helath'!$A$2:$T$1001,17,FALSE)</f>
        <v>5</v>
      </c>
    </row>
    <row r="139" spans="1:11" x14ac:dyDescent="0.3">
      <c r="A139" t="s">
        <v>188</v>
      </c>
      <c r="B139" t="str">
        <f>VLOOKUP(A139,'Remote work mental helath'!$A$2:$T$1001,12,)</f>
        <v>None</v>
      </c>
      <c r="C139" t="str">
        <f>VLOOKUP(A139,'Remote work mental helath'!$A$2:$T$1001,11,)</f>
        <v>Medium</v>
      </c>
      <c r="D139">
        <f>VLOOKUP('Mental Helath'!A139,'Remote work mental helath'!$A$2:$T$1001,10,)</f>
        <v>4</v>
      </c>
      <c r="E139" t="str">
        <f>VLOOKUP(A139,'Remote work mental helath'!A139:T1138,19,FALSE)</f>
        <v>Poor</v>
      </c>
      <c r="F139" t="str">
        <f>VLOOKUP(A139,'Remote work mental helath'!$A$2:$T$1001,18,)</f>
        <v>Weekly</v>
      </c>
      <c r="G139">
        <f>VLOOKUP(A139,'Remote work mental helath'!$A$2:$T$1001,15,FALSE)</f>
        <v>5</v>
      </c>
      <c r="H139" t="str">
        <f>VLOOKUP(A139,'Remote work mental helath'!$A$2:$T$1001,14,)</f>
        <v>No Change</v>
      </c>
      <c r="I139" t="str">
        <f>VLOOKUP(A139,'Remote work mental helath'!$A$2:$T$1001,16,)</f>
        <v>Satisfied</v>
      </c>
      <c r="J139" t="str">
        <f>VLOOKUP(A139,'Remote work mental helath'!$A$2:$T$1001,13,)</f>
        <v>Yes</v>
      </c>
      <c r="K139">
        <f>VLOOKUP(A139,'Remote work mental helath'!$A$2:$T$1001,17,FALSE)</f>
        <v>5</v>
      </c>
    </row>
    <row r="140" spans="1:11" x14ac:dyDescent="0.3">
      <c r="A140" t="s">
        <v>189</v>
      </c>
      <c r="B140" t="str">
        <f>VLOOKUP(A140,'Remote work mental helath'!$A$2:$T$1001,12,)</f>
        <v>None</v>
      </c>
      <c r="C140" t="str">
        <f>VLOOKUP(A140,'Remote work mental helath'!$A$2:$T$1001,11,)</f>
        <v>High</v>
      </c>
      <c r="D140">
        <f>VLOOKUP('Mental Helath'!A140,'Remote work mental helath'!$A$2:$T$1001,10,)</f>
        <v>3</v>
      </c>
      <c r="E140" t="str">
        <f>VLOOKUP(A140,'Remote work mental helath'!A140:T1139,19,FALSE)</f>
        <v>Poor</v>
      </c>
      <c r="F140" t="str">
        <f>VLOOKUP(A140,'Remote work mental helath'!$A$2:$T$1001,18,)</f>
        <v>None</v>
      </c>
      <c r="G140">
        <f>VLOOKUP(A140,'Remote work mental helath'!$A$2:$T$1001,15,FALSE)</f>
        <v>3</v>
      </c>
      <c r="H140" t="str">
        <f>VLOOKUP(A140,'Remote work mental helath'!$A$2:$T$1001,14,)</f>
        <v>Increase</v>
      </c>
      <c r="I140" t="str">
        <f>VLOOKUP(A140,'Remote work mental helath'!$A$2:$T$1001,16,)</f>
        <v>Unsatisfied</v>
      </c>
      <c r="J140" t="str">
        <f>VLOOKUP(A140,'Remote work mental helath'!$A$2:$T$1001,13,)</f>
        <v>No</v>
      </c>
      <c r="K140">
        <f>VLOOKUP(A140,'Remote work mental helath'!$A$2:$T$1001,17,FALSE)</f>
        <v>5</v>
      </c>
    </row>
    <row r="141" spans="1:11" x14ac:dyDescent="0.3">
      <c r="A141" t="s">
        <v>190</v>
      </c>
      <c r="B141" t="str">
        <f>VLOOKUP(A141,'Remote work mental helath'!$A$2:$T$1001,12,)</f>
        <v>Anxiety</v>
      </c>
      <c r="C141" t="str">
        <f>VLOOKUP(A141,'Remote work mental helath'!$A$2:$T$1001,11,)</f>
        <v>Low</v>
      </c>
      <c r="D141">
        <f>VLOOKUP('Mental Helath'!A141,'Remote work mental helath'!$A$2:$T$1001,10,)</f>
        <v>5</v>
      </c>
      <c r="E141" t="str">
        <f>VLOOKUP(A141,'Remote work mental helath'!A141:T1140,19,FALSE)</f>
        <v>Average</v>
      </c>
      <c r="F141" t="str">
        <f>VLOOKUP(A141,'Remote work mental helath'!$A$2:$T$1001,18,)</f>
        <v>Weekly</v>
      </c>
      <c r="G141">
        <f>VLOOKUP(A141,'Remote work mental helath'!$A$2:$T$1001,15,FALSE)</f>
        <v>5</v>
      </c>
      <c r="H141" t="str">
        <f>VLOOKUP(A141,'Remote work mental helath'!$A$2:$T$1001,14,)</f>
        <v>Decrease</v>
      </c>
      <c r="I141" t="str">
        <f>VLOOKUP(A141,'Remote work mental helath'!$A$2:$T$1001,16,)</f>
        <v>Satisfied</v>
      </c>
      <c r="J141" t="str">
        <f>VLOOKUP(A141,'Remote work mental helath'!$A$2:$T$1001,13,)</f>
        <v>Yes</v>
      </c>
      <c r="K141">
        <f>VLOOKUP(A141,'Remote work mental helath'!$A$2:$T$1001,17,FALSE)</f>
        <v>1</v>
      </c>
    </row>
    <row r="142" spans="1:11" x14ac:dyDescent="0.3">
      <c r="A142" t="s">
        <v>191</v>
      </c>
      <c r="B142" t="str">
        <f>VLOOKUP(A142,'Remote work mental helath'!$A$2:$T$1001,12,)</f>
        <v>Anxiety</v>
      </c>
      <c r="C142" t="str">
        <f>VLOOKUP(A142,'Remote work mental helath'!$A$2:$T$1001,11,)</f>
        <v>High</v>
      </c>
      <c r="D142">
        <f>VLOOKUP('Mental Helath'!A142,'Remote work mental helath'!$A$2:$T$1001,10,)</f>
        <v>1</v>
      </c>
      <c r="E142" t="str">
        <f>VLOOKUP(A142,'Remote work mental helath'!A142:T1141,19,FALSE)</f>
        <v>Poor</v>
      </c>
      <c r="F142" t="str">
        <f>VLOOKUP(A142,'Remote work mental helath'!$A$2:$T$1001,18,)</f>
        <v>Weekly</v>
      </c>
      <c r="G142">
        <f>VLOOKUP(A142,'Remote work mental helath'!$A$2:$T$1001,15,FALSE)</f>
        <v>1</v>
      </c>
      <c r="H142" t="str">
        <f>VLOOKUP(A142,'Remote work mental helath'!$A$2:$T$1001,14,)</f>
        <v>Decrease</v>
      </c>
      <c r="I142" t="str">
        <f>VLOOKUP(A142,'Remote work mental helath'!$A$2:$T$1001,16,)</f>
        <v>Satisfied</v>
      </c>
      <c r="J142" t="str">
        <f>VLOOKUP(A142,'Remote work mental helath'!$A$2:$T$1001,13,)</f>
        <v>Yes</v>
      </c>
      <c r="K142">
        <f>VLOOKUP(A142,'Remote work mental helath'!$A$2:$T$1001,17,FALSE)</f>
        <v>5</v>
      </c>
    </row>
    <row r="143" spans="1:11" x14ac:dyDescent="0.3">
      <c r="A143" t="s">
        <v>192</v>
      </c>
      <c r="B143" t="str">
        <f>VLOOKUP(A143,'Remote work mental helath'!$A$2:$T$1001,12,)</f>
        <v>Burnout</v>
      </c>
      <c r="C143" t="str">
        <f>VLOOKUP(A143,'Remote work mental helath'!$A$2:$T$1001,11,)</f>
        <v>Low</v>
      </c>
      <c r="D143">
        <f>VLOOKUP('Mental Helath'!A143,'Remote work mental helath'!$A$2:$T$1001,10,)</f>
        <v>5</v>
      </c>
      <c r="E143" t="str">
        <f>VLOOKUP(A143,'Remote work mental helath'!A143:T1142,19,FALSE)</f>
        <v>Poor</v>
      </c>
      <c r="F143" t="str">
        <f>VLOOKUP(A143,'Remote work mental helath'!$A$2:$T$1001,18,)</f>
        <v>None</v>
      </c>
      <c r="G143">
        <f>VLOOKUP(A143,'Remote work mental helath'!$A$2:$T$1001,15,FALSE)</f>
        <v>5</v>
      </c>
      <c r="H143" t="str">
        <f>VLOOKUP(A143,'Remote work mental helath'!$A$2:$T$1001,14,)</f>
        <v>Decrease</v>
      </c>
      <c r="I143" t="str">
        <f>VLOOKUP(A143,'Remote work mental helath'!$A$2:$T$1001,16,)</f>
        <v>Neutral</v>
      </c>
      <c r="J143" t="str">
        <f>VLOOKUP(A143,'Remote work mental helath'!$A$2:$T$1001,13,)</f>
        <v>Yes</v>
      </c>
      <c r="K143">
        <f>VLOOKUP(A143,'Remote work mental helath'!$A$2:$T$1001,17,FALSE)</f>
        <v>4</v>
      </c>
    </row>
    <row r="144" spans="1:11" x14ac:dyDescent="0.3">
      <c r="A144" t="s">
        <v>193</v>
      </c>
      <c r="B144" t="str">
        <f>VLOOKUP(A144,'Remote work mental helath'!$A$2:$T$1001,12,)</f>
        <v>None</v>
      </c>
      <c r="C144" t="str">
        <f>VLOOKUP(A144,'Remote work mental helath'!$A$2:$T$1001,11,)</f>
        <v>High</v>
      </c>
      <c r="D144">
        <f>VLOOKUP('Mental Helath'!A144,'Remote work mental helath'!$A$2:$T$1001,10,)</f>
        <v>5</v>
      </c>
      <c r="E144" t="str">
        <f>VLOOKUP(A144,'Remote work mental helath'!A144:T1143,19,FALSE)</f>
        <v>Poor</v>
      </c>
      <c r="F144" t="str">
        <f>VLOOKUP(A144,'Remote work mental helath'!$A$2:$T$1001,18,)</f>
        <v>Weekly</v>
      </c>
      <c r="G144">
        <f>VLOOKUP(A144,'Remote work mental helath'!$A$2:$T$1001,15,FALSE)</f>
        <v>2</v>
      </c>
      <c r="H144" t="str">
        <f>VLOOKUP(A144,'Remote work mental helath'!$A$2:$T$1001,14,)</f>
        <v>No Change</v>
      </c>
      <c r="I144" t="str">
        <f>VLOOKUP(A144,'Remote work mental helath'!$A$2:$T$1001,16,)</f>
        <v>Unsatisfied</v>
      </c>
      <c r="J144" t="str">
        <f>VLOOKUP(A144,'Remote work mental helath'!$A$2:$T$1001,13,)</f>
        <v>No</v>
      </c>
      <c r="K144">
        <f>VLOOKUP(A144,'Remote work mental helath'!$A$2:$T$1001,17,FALSE)</f>
        <v>1</v>
      </c>
    </row>
    <row r="145" spans="1:11" x14ac:dyDescent="0.3">
      <c r="A145" t="s">
        <v>194</v>
      </c>
      <c r="B145" t="str">
        <f>VLOOKUP(A145,'Remote work mental helath'!$A$2:$T$1001,12,)</f>
        <v>Burnout</v>
      </c>
      <c r="C145" t="str">
        <f>VLOOKUP(A145,'Remote work mental helath'!$A$2:$T$1001,11,)</f>
        <v>Low</v>
      </c>
      <c r="D145">
        <f>VLOOKUP('Mental Helath'!A145,'Remote work mental helath'!$A$2:$T$1001,10,)</f>
        <v>5</v>
      </c>
      <c r="E145" t="str">
        <f>VLOOKUP(A145,'Remote work mental helath'!A145:T1144,19,FALSE)</f>
        <v>Good</v>
      </c>
      <c r="F145" t="str">
        <f>VLOOKUP(A145,'Remote work mental helath'!$A$2:$T$1001,18,)</f>
        <v>Daily</v>
      </c>
      <c r="G145">
        <f>VLOOKUP(A145,'Remote work mental helath'!$A$2:$T$1001,15,FALSE)</f>
        <v>4</v>
      </c>
      <c r="H145" t="str">
        <f>VLOOKUP(A145,'Remote work mental helath'!$A$2:$T$1001,14,)</f>
        <v>No Change</v>
      </c>
      <c r="I145" t="str">
        <f>VLOOKUP(A145,'Remote work mental helath'!$A$2:$T$1001,16,)</f>
        <v>Satisfied</v>
      </c>
      <c r="J145" t="str">
        <f>VLOOKUP(A145,'Remote work mental helath'!$A$2:$T$1001,13,)</f>
        <v>No</v>
      </c>
      <c r="K145">
        <f>VLOOKUP(A145,'Remote work mental helath'!$A$2:$T$1001,17,FALSE)</f>
        <v>2</v>
      </c>
    </row>
    <row r="146" spans="1:11" x14ac:dyDescent="0.3">
      <c r="A146" t="s">
        <v>195</v>
      </c>
      <c r="B146" t="str">
        <f>VLOOKUP(A146,'Remote work mental helath'!$A$2:$T$1001,12,)</f>
        <v>Anxiety</v>
      </c>
      <c r="C146" t="str">
        <f>VLOOKUP(A146,'Remote work mental helath'!$A$2:$T$1001,11,)</f>
        <v>High</v>
      </c>
      <c r="D146">
        <f>VLOOKUP('Mental Helath'!A146,'Remote work mental helath'!$A$2:$T$1001,10,)</f>
        <v>5</v>
      </c>
      <c r="E146" t="str">
        <f>VLOOKUP(A146,'Remote work mental helath'!A146:T1145,19,FALSE)</f>
        <v>Average</v>
      </c>
      <c r="F146" t="str">
        <f>VLOOKUP(A146,'Remote work mental helath'!$A$2:$T$1001,18,)</f>
        <v>Daily</v>
      </c>
      <c r="G146">
        <f>VLOOKUP(A146,'Remote work mental helath'!$A$2:$T$1001,15,FALSE)</f>
        <v>4</v>
      </c>
      <c r="H146" t="str">
        <f>VLOOKUP(A146,'Remote work mental helath'!$A$2:$T$1001,14,)</f>
        <v>No Change</v>
      </c>
      <c r="I146" t="str">
        <f>VLOOKUP(A146,'Remote work mental helath'!$A$2:$T$1001,16,)</f>
        <v>Unsatisfied</v>
      </c>
      <c r="J146" t="str">
        <f>VLOOKUP(A146,'Remote work mental helath'!$A$2:$T$1001,13,)</f>
        <v>No</v>
      </c>
      <c r="K146">
        <f>VLOOKUP(A146,'Remote work mental helath'!$A$2:$T$1001,17,FALSE)</f>
        <v>2</v>
      </c>
    </row>
    <row r="147" spans="1:11" x14ac:dyDescent="0.3">
      <c r="A147" t="s">
        <v>196</v>
      </c>
      <c r="B147" t="str">
        <f>VLOOKUP(A147,'Remote work mental helath'!$A$2:$T$1001,12,)</f>
        <v>Depression</v>
      </c>
      <c r="C147" t="str">
        <f>VLOOKUP(A147,'Remote work mental helath'!$A$2:$T$1001,11,)</f>
        <v>Medium</v>
      </c>
      <c r="D147">
        <f>VLOOKUP('Mental Helath'!A147,'Remote work mental helath'!$A$2:$T$1001,10,)</f>
        <v>3</v>
      </c>
      <c r="E147" t="str">
        <f>VLOOKUP(A147,'Remote work mental helath'!A147:T1146,19,FALSE)</f>
        <v>Poor</v>
      </c>
      <c r="F147" t="str">
        <f>VLOOKUP(A147,'Remote work mental helath'!$A$2:$T$1001,18,)</f>
        <v>Weekly</v>
      </c>
      <c r="G147">
        <f>VLOOKUP(A147,'Remote work mental helath'!$A$2:$T$1001,15,FALSE)</f>
        <v>4</v>
      </c>
      <c r="H147" t="str">
        <f>VLOOKUP(A147,'Remote work mental helath'!$A$2:$T$1001,14,)</f>
        <v>Decrease</v>
      </c>
      <c r="I147" t="str">
        <f>VLOOKUP(A147,'Remote work mental helath'!$A$2:$T$1001,16,)</f>
        <v>Satisfied</v>
      </c>
      <c r="J147" t="str">
        <f>VLOOKUP(A147,'Remote work mental helath'!$A$2:$T$1001,13,)</f>
        <v>Yes</v>
      </c>
      <c r="K147">
        <f>VLOOKUP(A147,'Remote work mental helath'!$A$2:$T$1001,17,FALSE)</f>
        <v>4</v>
      </c>
    </row>
    <row r="148" spans="1:11" x14ac:dyDescent="0.3">
      <c r="A148" t="s">
        <v>197</v>
      </c>
      <c r="B148" t="str">
        <f>VLOOKUP(A148,'Remote work mental helath'!$A$2:$T$1001,12,)</f>
        <v>Depression</v>
      </c>
      <c r="C148" t="str">
        <f>VLOOKUP(A148,'Remote work mental helath'!$A$2:$T$1001,11,)</f>
        <v>Low</v>
      </c>
      <c r="D148">
        <f>VLOOKUP('Mental Helath'!A148,'Remote work mental helath'!$A$2:$T$1001,10,)</f>
        <v>2</v>
      </c>
      <c r="E148" t="str">
        <f>VLOOKUP(A148,'Remote work mental helath'!A148:T1147,19,FALSE)</f>
        <v>Average</v>
      </c>
      <c r="F148" t="str">
        <f>VLOOKUP(A148,'Remote work mental helath'!$A$2:$T$1001,18,)</f>
        <v>Daily</v>
      </c>
      <c r="G148">
        <f>VLOOKUP(A148,'Remote work mental helath'!$A$2:$T$1001,15,FALSE)</f>
        <v>4</v>
      </c>
      <c r="H148" t="str">
        <f>VLOOKUP(A148,'Remote work mental helath'!$A$2:$T$1001,14,)</f>
        <v>Increase</v>
      </c>
      <c r="I148" t="str">
        <f>VLOOKUP(A148,'Remote work mental helath'!$A$2:$T$1001,16,)</f>
        <v>Neutral</v>
      </c>
      <c r="J148" t="str">
        <f>VLOOKUP(A148,'Remote work mental helath'!$A$2:$T$1001,13,)</f>
        <v>No</v>
      </c>
      <c r="K148">
        <f>VLOOKUP(A148,'Remote work mental helath'!$A$2:$T$1001,17,FALSE)</f>
        <v>3</v>
      </c>
    </row>
    <row r="149" spans="1:11" x14ac:dyDescent="0.3">
      <c r="A149" t="s">
        <v>198</v>
      </c>
      <c r="B149" t="str">
        <f>VLOOKUP(A149,'Remote work mental helath'!$A$2:$T$1001,12,)</f>
        <v>Anxiety</v>
      </c>
      <c r="C149" t="str">
        <f>VLOOKUP(A149,'Remote work mental helath'!$A$2:$T$1001,11,)</f>
        <v>Low</v>
      </c>
      <c r="D149">
        <f>VLOOKUP('Mental Helath'!A149,'Remote work mental helath'!$A$2:$T$1001,10,)</f>
        <v>1</v>
      </c>
      <c r="E149" t="str">
        <f>VLOOKUP(A149,'Remote work mental helath'!A149:T1148,19,FALSE)</f>
        <v>Average</v>
      </c>
      <c r="F149" t="str">
        <f>VLOOKUP(A149,'Remote work mental helath'!$A$2:$T$1001,18,)</f>
        <v>Daily</v>
      </c>
      <c r="G149">
        <f>VLOOKUP(A149,'Remote work mental helath'!$A$2:$T$1001,15,FALSE)</f>
        <v>1</v>
      </c>
      <c r="H149" t="str">
        <f>VLOOKUP(A149,'Remote work mental helath'!$A$2:$T$1001,14,)</f>
        <v>No Change</v>
      </c>
      <c r="I149" t="str">
        <f>VLOOKUP(A149,'Remote work mental helath'!$A$2:$T$1001,16,)</f>
        <v>Unsatisfied</v>
      </c>
      <c r="J149" t="str">
        <f>VLOOKUP(A149,'Remote work mental helath'!$A$2:$T$1001,13,)</f>
        <v>Yes</v>
      </c>
      <c r="K149">
        <f>VLOOKUP(A149,'Remote work mental helath'!$A$2:$T$1001,17,FALSE)</f>
        <v>5</v>
      </c>
    </row>
    <row r="150" spans="1:11" x14ac:dyDescent="0.3">
      <c r="A150" t="s">
        <v>199</v>
      </c>
      <c r="B150" t="str">
        <f>VLOOKUP(A150,'Remote work mental helath'!$A$2:$T$1001,12,)</f>
        <v>Depression</v>
      </c>
      <c r="C150" t="str">
        <f>VLOOKUP(A150,'Remote work mental helath'!$A$2:$T$1001,11,)</f>
        <v>High</v>
      </c>
      <c r="D150">
        <f>VLOOKUP('Mental Helath'!A150,'Remote work mental helath'!$A$2:$T$1001,10,)</f>
        <v>4</v>
      </c>
      <c r="E150" t="str">
        <f>VLOOKUP(A150,'Remote work mental helath'!A150:T1149,19,FALSE)</f>
        <v>Good</v>
      </c>
      <c r="F150" t="str">
        <f>VLOOKUP(A150,'Remote work mental helath'!$A$2:$T$1001,18,)</f>
        <v>Daily</v>
      </c>
      <c r="G150">
        <f>VLOOKUP(A150,'Remote work mental helath'!$A$2:$T$1001,15,FALSE)</f>
        <v>3</v>
      </c>
      <c r="H150" t="str">
        <f>VLOOKUP(A150,'Remote work mental helath'!$A$2:$T$1001,14,)</f>
        <v>Decrease</v>
      </c>
      <c r="I150" t="str">
        <f>VLOOKUP(A150,'Remote work mental helath'!$A$2:$T$1001,16,)</f>
        <v>Satisfied</v>
      </c>
      <c r="J150" t="str">
        <f>VLOOKUP(A150,'Remote work mental helath'!$A$2:$T$1001,13,)</f>
        <v>Yes</v>
      </c>
      <c r="K150">
        <f>VLOOKUP(A150,'Remote work mental helath'!$A$2:$T$1001,17,FALSE)</f>
        <v>4</v>
      </c>
    </row>
    <row r="151" spans="1:11" x14ac:dyDescent="0.3">
      <c r="A151" t="s">
        <v>200</v>
      </c>
      <c r="B151" t="str">
        <f>VLOOKUP(A151,'Remote work mental helath'!$A$2:$T$1001,12,)</f>
        <v>Burnout</v>
      </c>
      <c r="C151" t="str">
        <f>VLOOKUP(A151,'Remote work mental helath'!$A$2:$T$1001,11,)</f>
        <v>Low</v>
      </c>
      <c r="D151">
        <f>VLOOKUP('Mental Helath'!A151,'Remote work mental helath'!$A$2:$T$1001,10,)</f>
        <v>2</v>
      </c>
      <c r="E151" t="str">
        <f>VLOOKUP(A151,'Remote work mental helath'!A151:T1150,19,FALSE)</f>
        <v>Good</v>
      </c>
      <c r="F151" t="str">
        <f>VLOOKUP(A151,'Remote work mental helath'!$A$2:$T$1001,18,)</f>
        <v>Weekly</v>
      </c>
      <c r="G151">
        <f>VLOOKUP(A151,'Remote work mental helath'!$A$2:$T$1001,15,FALSE)</f>
        <v>1</v>
      </c>
      <c r="H151" t="str">
        <f>VLOOKUP(A151,'Remote work mental helath'!$A$2:$T$1001,14,)</f>
        <v>Decrease</v>
      </c>
      <c r="I151" t="str">
        <f>VLOOKUP(A151,'Remote work mental helath'!$A$2:$T$1001,16,)</f>
        <v>Unsatisfied</v>
      </c>
      <c r="J151" t="str">
        <f>VLOOKUP(A151,'Remote work mental helath'!$A$2:$T$1001,13,)</f>
        <v>Yes</v>
      </c>
      <c r="K151">
        <f>VLOOKUP(A151,'Remote work mental helath'!$A$2:$T$1001,17,FALSE)</f>
        <v>3</v>
      </c>
    </row>
    <row r="152" spans="1:11" x14ac:dyDescent="0.3">
      <c r="A152" t="s">
        <v>201</v>
      </c>
      <c r="B152" t="str">
        <f>VLOOKUP(A152,'Remote work mental helath'!$A$2:$T$1001,12,)</f>
        <v>Anxiety</v>
      </c>
      <c r="C152" t="str">
        <f>VLOOKUP(A152,'Remote work mental helath'!$A$2:$T$1001,11,)</f>
        <v>High</v>
      </c>
      <c r="D152">
        <f>VLOOKUP('Mental Helath'!A152,'Remote work mental helath'!$A$2:$T$1001,10,)</f>
        <v>3</v>
      </c>
      <c r="E152" t="str">
        <f>VLOOKUP(A152,'Remote work mental helath'!A152:T1151,19,FALSE)</f>
        <v>Average</v>
      </c>
      <c r="F152" t="str">
        <f>VLOOKUP(A152,'Remote work mental helath'!$A$2:$T$1001,18,)</f>
        <v>Weekly</v>
      </c>
      <c r="G152">
        <f>VLOOKUP(A152,'Remote work mental helath'!$A$2:$T$1001,15,FALSE)</f>
        <v>2</v>
      </c>
      <c r="H152" t="str">
        <f>VLOOKUP(A152,'Remote work mental helath'!$A$2:$T$1001,14,)</f>
        <v>Decrease</v>
      </c>
      <c r="I152" t="str">
        <f>VLOOKUP(A152,'Remote work mental helath'!$A$2:$T$1001,16,)</f>
        <v>Unsatisfied</v>
      </c>
      <c r="J152" t="str">
        <f>VLOOKUP(A152,'Remote work mental helath'!$A$2:$T$1001,13,)</f>
        <v>Yes</v>
      </c>
      <c r="K152">
        <f>VLOOKUP(A152,'Remote work mental helath'!$A$2:$T$1001,17,FALSE)</f>
        <v>3</v>
      </c>
    </row>
    <row r="153" spans="1:11" x14ac:dyDescent="0.3">
      <c r="A153" t="s">
        <v>202</v>
      </c>
      <c r="B153" t="str">
        <f>VLOOKUP(A153,'Remote work mental helath'!$A$2:$T$1001,12,)</f>
        <v>Burnout</v>
      </c>
      <c r="C153" t="str">
        <f>VLOOKUP(A153,'Remote work mental helath'!$A$2:$T$1001,11,)</f>
        <v>Low</v>
      </c>
      <c r="D153">
        <f>VLOOKUP('Mental Helath'!A153,'Remote work mental helath'!$A$2:$T$1001,10,)</f>
        <v>4</v>
      </c>
      <c r="E153" t="str">
        <f>VLOOKUP(A153,'Remote work mental helath'!A153:T1152,19,FALSE)</f>
        <v>Poor</v>
      </c>
      <c r="F153" t="str">
        <f>VLOOKUP(A153,'Remote work mental helath'!$A$2:$T$1001,18,)</f>
        <v>Daily</v>
      </c>
      <c r="G153">
        <f>VLOOKUP(A153,'Remote work mental helath'!$A$2:$T$1001,15,FALSE)</f>
        <v>3</v>
      </c>
      <c r="H153" t="str">
        <f>VLOOKUP(A153,'Remote work mental helath'!$A$2:$T$1001,14,)</f>
        <v>No Change</v>
      </c>
      <c r="I153" t="str">
        <f>VLOOKUP(A153,'Remote work mental helath'!$A$2:$T$1001,16,)</f>
        <v>Satisfied</v>
      </c>
      <c r="J153" t="str">
        <f>VLOOKUP(A153,'Remote work mental helath'!$A$2:$T$1001,13,)</f>
        <v>No</v>
      </c>
      <c r="K153">
        <f>VLOOKUP(A153,'Remote work mental helath'!$A$2:$T$1001,17,FALSE)</f>
        <v>4</v>
      </c>
    </row>
    <row r="154" spans="1:11" x14ac:dyDescent="0.3">
      <c r="A154" t="s">
        <v>203</v>
      </c>
      <c r="B154" t="str">
        <f>VLOOKUP(A154,'Remote work mental helath'!$A$2:$T$1001,12,)</f>
        <v>Burnout</v>
      </c>
      <c r="C154" t="str">
        <f>VLOOKUP(A154,'Remote work mental helath'!$A$2:$T$1001,11,)</f>
        <v>Medium</v>
      </c>
      <c r="D154">
        <f>VLOOKUP('Mental Helath'!A154,'Remote work mental helath'!$A$2:$T$1001,10,)</f>
        <v>1</v>
      </c>
      <c r="E154" t="str">
        <f>VLOOKUP(A154,'Remote work mental helath'!A154:T1153,19,FALSE)</f>
        <v>Poor</v>
      </c>
      <c r="F154" t="str">
        <f>VLOOKUP(A154,'Remote work mental helath'!$A$2:$T$1001,18,)</f>
        <v>Weekly</v>
      </c>
      <c r="G154">
        <f>VLOOKUP(A154,'Remote work mental helath'!$A$2:$T$1001,15,FALSE)</f>
        <v>2</v>
      </c>
      <c r="H154" t="str">
        <f>VLOOKUP(A154,'Remote work mental helath'!$A$2:$T$1001,14,)</f>
        <v>Increase</v>
      </c>
      <c r="I154" t="str">
        <f>VLOOKUP(A154,'Remote work mental helath'!$A$2:$T$1001,16,)</f>
        <v>Unsatisfied</v>
      </c>
      <c r="J154" t="str">
        <f>VLOOKUP(A154,'Remote work mental helath'!$A$2:$T$1001,13,)</f>
        <v>No</v>
      </c>
      <c r="K154">
        <f>VLOOKUP(A154,'Remote work mental helath'!$A$2:$T$1001,17,FALSE)</f>
        <v>2</v>
      </c>
    </row>
    <row r="155" spans="1:11" x14ac:dyDescent="0.3">
      <c r="A155" t="s">
        <v>204</v>
      </c>
      <c r="B155" t="str">
        <f>VLOOKUP(A155,'Remote work mental helath'!$A$2:$T$1001,12,)</f>
        <v>Depression</v>
      </c>
      <c r="C155" t="str">
        <f>VLOOKUP(A155,'Remote work mental helath'!$A$2:$T$1001,11,)</f>
        <v>Medium</v>
      </c>
      <c r="D155">
        <f>VLOOKUP('Mental Helath'!A155,'Remote work mental helath'!$A$2:$T$1001,10,)</f>
        <v>1</v>
      </c>
      <c r="E155" t="str">
        <f>VLOOKUP(A155,'Remote work mental helath'!A155:T1154,19,FALSE)</f>
        <v>Poor</v>
      </c>
      <c r="F155" t="str">
        <f>VLOOKUP(A155,'Remote work mental helath'!$A$2:$T$1001,18,)</f>
        <v>None</v>
      </c>
      <c r="G155">
        <f>VLOOKUP(A155,'Remote work mental helath'!$A$2:$T$1001,15,FALSE)</f>
        <v>2</v>
      </c>
      <c r="H155" t="str">
        <f>VLOOKUP(A155,'Remote work mental helath'!$A$2:$T$1001,14,)</f>
        <v>No Change</v>
      </c>
      <c r="I155" t="str">
        <f>VLOOKUP(A155,'Remote work mental helath'!$A$2:$T$1001,16,)</f>
        <v>Unsatisfied</v>
      </c>
      <c r="J155" t="str">
        <f>VLOOKUP(A155,'Remote work mental helath'!$A$2:$T$1001,13,)</f>
        <v>Yes</v>
      </c>
      <c r="K155">
        <f>VLOOKUP(A155,'Remote work mental helath'!$A$2:$T$1001,17,FALSE)</f>
        <v>2</v>
      </c>
    </row>
    <row r="156" spans="1:11" x14ac:dyDescent="0.3">
      <c r="A156" t="s">
        <v>205</v>
      </c>
      <c r="B156" t="str">
        <f>VLOOKUP(A156,'Remote work mental helath'!$A$2:$T$1001,12,)</f>
        <v>None</v>
      </c>
      <c r="C156" t="str">
        <f>VLOOKUP(A156,'Remote work mental helath'!$A$2:$T$1001,11,)</f>
        <v>Low</v>
      </c>
      <c r="D156">
        <f>VLOOKUP('Mental Helath'!A156,'Remote work mental helath'!$A$2:$T$1001,10,)</f>
        <v>1</v>
      </c>
      <c r="E156" t="str">
        <f>VLOOKUP(A156,'Remote work mental helath'!A156:T1155,19,FALSE)</f>
        <v>Average</v>
      </c>
      <c r="F156" t="str">
        <f>VLOOKUP(A156,'Remote work mental helath'!$A$2:$T$1001,18,)</f>
        <v>Weekly</v>
      </c>
      <c r="G156">
        <f>VLOOKUP(A156,'Remote work mental helath'!$A$2:$T$1001,15,FALSE)</f>
        <v>2</v>
      </c>
      <c r="H156" t="str">
        <f>VLOOKUP(A156,'Remote work mental helath'!$A$2:$T$1001,14,)</f>
        <v>No Change</v>
      </c>
      <c r="I156" t="str">
        <f>VLOOKUP(A156,'Remote work mental helath'!$A$2:$T$1001,16,)</f>
        <v>Unsatisfied</v>
      </c>
      <c r="J156" t="str">
        <f>VLOOKUP(A156,'Remote work mental helath'!$A$2:$T$1001,13,)</f>
        <v>Yes</v>
      </c>
      <c r="K156">
        <f>VLOOKUP(A156,'Remote work mental helath'!$A$2:$T$1001,17,FALSE)</f>
        <v>4</v>
      </c>
    </row>
    <row r="157" spans="1:11" x14ac:dyDescent="0.3">
      <c r="A157" t="s">
        <v>206</v>
      </c>
      <c r="B157" t="str">
        <f>VLOOKUP(A157,'Remote work mental helath'!$A$2:$T$1001,12,)</f>
        <v>None</v>
      </c>
      <c r="C157" t="str">
        <f>VLOOKUP(A157,'Remote work mental helath'!$A$2:$T$1001,11,)</f>
        <v>Low</v>
      </c>
      <c r="D157">
        <f>VLOOKUP('Mental Helath'!A157,'Remote work mental helath'!$A$2:$T$1001,10,)</f>
        <v>1</v>
      </c>
      <c r="E157" t="str">
        <f>VLOOKUP(A157,'Remote work mental helath'!A157:T1156,19,FALSE)</f>
        <v>Good</v>
      </c>
      <c r="F157" t="str">
        <f>VLOOKUP(A157,'Remote work mental helath'!$A$2:$T$1001,18,)</f>
        <v>None</v>
      </c>
      <c r="G157">
        <f>VLOOKUP(A157,'Remote work mental helath'!$A$2:$T$1001,15,FALSE)</f>
        <v>4</v>
      </c>
      <c r="H157" t="str">
        <f>VLOOKUP(A157,'Remote work mental helath'!$A$2:$T$1001,14,)</f>
        <v>Decrease</v>
      </c>
      <c r="I157" t="str">
        <f>VLOOKUP(A157,'Remote work mental helath'!$A$2:$T$1001,16,)</f>
        <v>Neutral</v>
      </c>
      <c r="J157" t="str">
        <f>VLOOKUP(A157,'Remote work mental helath'!$A$2:$T$1001,13,)</f>
        <v>No</v>
      </c>
      <c r="K157">
        <f>VLOOKUP(A157,'Remote work mental helath'!$A$2:$T$1001,17,FALSE)</f>
        <v>1</v>
      </c>
    </row>
    <row r="158" spans="1:11" x14ac:dyDescent="0.3">
      <c r="A158" t="s">
        <v>207</v>
      </c>
      <c r="B158" t="str">
        <f>VLOOKUP(A158,'Remote work mental helath'!$A$2:$T$1001,12,)</f>
        <v>None</v>
      </c>
      <c r="C158" t="str">
        <f>VLOOKUP(A158,'Remote work mental helath'!$A$2:$T$1001,11,)</f>
        <v>High</v>
      </c>
      <c r="D158">
        <f>VLOOKUP('Mental Helath'!A158,'Remote work mental helath'!$A$2:$T$1001,10,)</f>
        <v>4</v>
      </c>
      <c r="E158" t="str">
        <f>VLOOKUP(A158,'Remote work mental helath'!A158:T1157,19,FALSE)</f>
        <v>Average</v>
      </c>
      <c r="F158" t="str">
        <f>VLOOKUP(A158,'Remote work mental helath'!$A$2:$T$1001,18,)</f>
        <v>Weekly</v>
      </c>
      <c r="G158">
        <f>VLOOKUP(A158,'Remote work mental helath'!$A$2:$T$1001,15,FALSE)</f>
        <v>1</v>
      </c>
      <c r="H158" t="str">
        <f>VLOOKUP(A158,'Remote work mental helath'!$A$2:$T$1001,14,)</f>
        <v>Decrease</v>
      </c>
      <c r="I158" t="str">
        <f>VLOOKUP(A158,'Remote work mental helath'!$A$2:$T$1001,16,)</f>
        <v>Satisfied</v>
      </c>
      <c r="J158" t="str">
        <f>VLOOKUP(A158,'Remote work mental helath'!$A$2:$T$1001,13,)</f>
        <v>No</v>
      </c>
      <c r="K158">
        <f>VLOOKUP(A158,'Remote work mental helath'!$A$2:$T$1001,17,FALSE)</f>
        <v>2</v>
      </c>
    </row>
    <row r="159" spans="1:11" x14ac:dyDescent="0.3">
      <c r="A159" t="s">
        <v>208</v>
      </c>
      <c r="B159" t="str">
        <f>VLOOKUP(A159,'Remote work mental helath'!$A$2:$T$1001,12,)</f>
        <v>Depression</v>
      </c>
      <c r="C159" t="str">
        <f>VLOOKUP(A159,'Remote work mental helath'!$A$2:$T$1001,11,)</f>
        <v>High</v>
      </c>
      <c r="D159">
        <f>VLOOKUP('Mental Helath'!A159,'Remote work mental helath'!$A$2:$T$1001,10,)</f>
        <v>3</v>
      </c>
      <c r="E159" t="str">
        <f>VLOOKUP(A159,'Remote work mental helath'!A159:T1158,19,FALSE)</f>
        <v>Good</v>
      </c>
      <c r="F159" t="str">
        <f>VLOOKUP(A159,'Remote work mental helath'!$A$2:$T$1001,18,)</f>
        <v>Weekly</v>
      </c>
      <c r="G159">
        <f>VLOOKUP(A159,'Remote work mental helath'!$A$2:$T$1001,15,FALSE)</f>
        <v>4</v>
      </c>
      <c r="H159" t="str">
        <f>VLOOKUP(A159,'Remote work mental helath'!$A$2:$T$1001,14,)</f>
        <v>No Change</v>
      </c>
      <c r="I159" t="str">
        <f>VLOOKUP(A159,'Remote work mental helath'!$A$2:$T$1001,16,)</f>
        <v>Neutral</v>
      </c>
      <c r="J159" t="str">
        <f>VLOOKUP(A159,'Remote work mental helath'!$A$2:$T$1001,13,)</f>
        <v>No</v>
      </c>
      <c r="K159">
        <f>VLOOKUP(A159,'Remote work mental helath'!$A$2:$T$1001,17,FALSE)</f>
        <v>3</v>
      </c>
    </row>
    <row r="160" spans="1:11" x14ac:dyDescent="0.3">
      <c r="A160" t="s">
        <v>209</v>
      </c>
      <c r="B160" t="str">
        <f>VLOOKUP(A160,'Remote work mental helath'!$A$2:$T$1001,12,)</f>
        <v>Depression</v>
      </c>
      <c r="C160" t="str">
        <f>VLOOKUP(A160,'Remote work mental helath'!$A$2:$T$1001,11,)</f>
        <v>Low</v>
      </c>
      <c r="D160">
        <f>VLOOKUP('Mental Helath'!A160,'Remote work mental helath'!$A$2:$T$1001,10,)</f>
        <v>3</v>
      </c>
      <c r="E160" t="str">
        <f>VLOOKUP(A160,'Remote work mental helath'!A160:T1159,19,FALSE)</f>
        <v>Average</v>
      </c>
      <c r="F160" t="str">
        <f>VLOOKUP(A160,'Remote work mental helath'!$A$2:$T$1001,18,)</f>
        <v>Daily</v>
      </c>
      <c r="G160">
        <f>VLOOKUP(A160,'Remote work mental helath'!$A$2:$T$1001,15,FALSE)</f>
        <v>1</v>
      </c>
      <c r="H160" t="str">
        <f>VLOOKUP(A160,'Remote work mental helath'!$A$2:$T$1001,14,)</f>
        <v>Increase</v>
      </c>
      <c r="I160" t="str">
        <f>VLOOKUP(A160,'Remote work mental helath'!$A$2:$T$1001,16,)</f>
        <v>Unsatisfied</v>
      </c>
      <c r="J160" t="str">
        <f>VLOOKUP(A160,'Remote work mental helath'!$A$2:$T$1001,13,)</f>
        <v>Yes</v>
      </c>
      <c r="K160">
        <f>VLOOKUP(A160,'Remote work mental helath'!$A$2:$T$1001,17,FALSE)</f>
        <v>3</v>
      </c>
    </row>
    <row r="161" spans="1:11" x14ac:dyDescent="0.3">
      <c r="A161" t="s">
        <v>210</v>
      </c>
      <c r="B161" t="str">
        <f>VLOOKUP(A161,'Remote work mental helath'!$A$2:$T$1001,12,)</f>
        <v>Burnout</v>
      </c>
      <c r="C161" t="str">
        <f>VLOOKUP(A161,'Remote work mental helath'!$A$2:$T$1001,11,)</f>
        <v>High</v>
      </c>
      <c r="D161">
        <f>VLOOKUP('Mental Helath'!A161,'Remote work mental helath'!$A$2:$T$1001,10,)</f>
        <v>5</v>
      </c>
      <c r="E161" t="str">
        <f>VLOOKUP(A161,'Remote work mental helath'!A161:T1160,19,FALSE)</f>
        <v>Good</v>
      </c>
      <c r="F161" t="str">
        <f>VLOOKUP(A161,'Remote work mental helath'!$A$2:$T$1001,18,)</f>
        <v>Weekly</v>
      </c>
      <c r="G161">
        <f>VLOOKUP(A161,'Remote work mental helath'!$A$2:$T$1001,15,FALSE)</f>
        <v>2</v>
      </c>
      <c r="H161" t="str">
        <f>VLOOKUP(A161,'Remote work mental helath'!$A$2:$T$1001,14,)</f>
        <v>Increase</v>
      </c>
      <c r="I161" t="str">
        <f>VLOOKUP(A161,'Remote work mental helath'!$A$2:$T$1001,16,)</f>
        <v>Satisfied</v>
      </c>
      <c r="J161" t="str">
        <f>VLOOKUP(A161,'Remote work mental helath'!$A$2:$T$1001,13,)</f>
        <v>No</v>
      </c>
      <c r="K161">
        <f>VLOOKUP(A161,'Remote work mental helath'!$A$2:$T$1001,17,FALSE)</f>
        <v>3</v>
      </c>
    </row>
    <row r="162" spans="1:11" x14ac:dyDescent="0.3">
      <c r="A162" t="s">
        <v>211</v>
      </c>
      <c r="B162" t="str">
        <f>VLOOKUP(A162,'Remote work mental helath'!$A$2:$T$1001,12,)</f>
        <v>Anxiety</v>
      </c>
      <c r="C162" t="str">
        <f>VLOOKUP(A162,'Remote work mental helath'!$A$2:$T$1001,11,)</f>
        <v>Medium</v>
      </c>
      <c r="D162">
        <f>VLOOKUP('Mental Helath'!A162,'Remote work mental helath'!$A$2:$T$1001,10,)</f>
        <v>4</v>
      </c>
      <c r="E162" t="str">
        <f>VLOOKUP(A162,'Remote work mental helath'!A162:T1161,19,FALSE)</f>
        <v>Average</v>
      </c>
      <c r="F162" t="str">
        <f>VLOOKUP(A162,'Remote work mental helath'!$A$2:$T$1001,18,)</f>
        <v>None</v>
      </c>
      <c r="G162">
        <f>VLOOKUP(A162,'Remote work mental helath'!$A$2:$T$1001,15,FALSE)</f>
        <v>2</v>
      </c>
      <c r="H162" t="str">
        <f>VLOOKUP(A162,'Remote work mental helath'!$A$2:$T$1001,14,)</f>
        <v>Decrease</v>
      </c>
      <c r="I162" t="str">
        <f>VLOOKUP(A162,'Remote work mental helath'!$A$2:$T$1001,16,)</f>
        <v>Satisfied</v>
      </c>
      <c r="J162" t="str">
        <f>VLOOKUP(A162,'Remote work mental helath'!$A$2:$T$1001,13,)</f>
        <v>No</v>
      </c>
      <c r="K162">
        <f>VLOOKUP(A162,'Remote work mental helath'!$A$2:$T$1001,17,FALSE)</f>
        <v>1</v>
      </c>
    </row>
    <row r="163" spans="1:11" x14ac:dyDescent="0.3">
      <c r="A163" t="s">
        <v>212</v>
      </c>
      <c r="B163" t="str">
        <f>VLOOKUP(A163,'Remote work mental helath'!$A$2:$T$1001,12,)</f>
        <v>None</v>
      </c>
      <c r="C163" t="str">
        <f>VLOOKUP(A163,'Remote work mental helath'!$A$2:$T$1001,11,)</f>
        <v>High</v>
      </c>
      <c r="D163">
        <f>VLOOKUP('Mental Helath'!A163,'Remote work mental helath'!$A$2:$T$1001,10,)</f>
        <v>3</v>
      </c>
      <c r="E163" t="str">
        <f>VLOOKUP(A163,'Remote work mental helath'!A163:T1162,19,FALSE)</f>
        <v>Average</v>
      </c>
      <c r="F163" t="str">
        <f>VLOOKUP(A163,'Remote work mental helath'!$A$2:$T$1001,18,)</f>
        <v>None</v>
      </c>
      <c r="G163">
        <f>VLOOKUP(A163,'Remote work mental helath'!$A$2:$T$1001,15,FALSE)</f>
        <v>4</v>
      </c>
      <c r="H163" t="str">
        <f>VLOOKUP(A163,'Remote work mental helath'!$A$2:$T$1001,14,)</f>
        <v>No Change</v>
      </c>
      <c r="I163" t="str">
        <f>VLOOKUP(A163,'Remote work mental helath'!$A$2:$T$1001,16,)</f>
        <v>Neutral</v>
      </c>
      <c r="J163" t="str">
        <f>VLOOKUP(A163,'Remote work mental helath'!$A$2:$T$1001,13,)</f>
        <v>Yes</v>
      </c>
      <c r="K163">
        <f>VLOOKUP(A163,'Remote work mental helath'!$A$2:$T$1001,17,FALSE)</f>
        <v>1</v>
      </c>
    </row>
    <row r="164" spans="1:11" x14ac:dyDescent="0.3">
      <c r="A164" t="s">
        <v>213</v>
      </c>
      <c r="B164" t="str">
        <f>VLOOKUP(A164,'Remote work mental helath'!$A$2:$T$1001,12,)</f>
        <v>Depression</v>
      </c>
      <c r="C164" t="str">
        <f>VLOOKUP(A164,'Remote work mental helath'!$A$2:$T$1001,11,)</f>
        <v>High</v>
      </c>
      <c r="D164">
        <f>VLOOKUP('Mental Helath'!A164,'Remote work mental helath'!$A$2:$T$1001,10,)</f>
        <v>1</v>
      </c>
      <c r="E164" t="str">
        <f>VLOOKUP(A164,'Remote work mental helath'!A164:T1163,19,FALSE)</f>
        <v>Poor</v>
      </c>
      <c r="F164" t="str">
        <f>VLOOKUP(A164,'Remote work mental helath'!$A$2:$T$1001,18,)</f>
        <v>Weekly</v>
      </c>
      <c r="G164">
        <f>VLOOKUP(A164,'Remote work mental helath'!$A$2:$T$1001,15,FALSE)</f>
        <v>1</v>
      </c>
      <c r="H164" t="str">
        <f>VLOOKUP(A164,'Remote work mental helath'!$A$2:$T$1001,14,)</f>
        <v>Increase</v>
      </c>
      <c r="I164" t="str">
        <f>VLOOKUP(A164,'Remote work mental helath'!$A$2:$T$1001,16,)</f>
        <v>Unsatisfied</v>
      </c>
      <c r="J164" t="str">
        <f>VLOOKUP(A164,'Remote work mental helath'!$A$2:$T$1001,13,)</f>
        <v>No</v>
      </c>
      <c r="K164">
        <f>VLOOKUP(A164,'Remote work mental helath'!$A$2:$T$1001,17,FALSE)</f>
        <v>2</v>
      </c>
    </row>
    <row r="165" spans="1:11" x14ac:dyDescent="0.3">
      <c r="A165" t="s">
        <v>214</v>
      </c>
      <c r="B165" t="str">
        <f>VLOOKUP(A165,'Remote work mental helath'!$A$2:$T$1001,12,)</f>
        <v>None</v>
      </c>
      <c r="C165" t="str">
        <f>VLOOKUP(A165,'Remote work mental helath'!$A$2:$T$1001,11,)</f>
        <v>Medium</v>
      </c>
      <c r="D165">
        <f>VLOOKUP('Mental Helath'!A165,'Remote work mental helath'!$A$2:$T$1001,10,)</f>
        <v>1</v>
      </c>
      <c r="E165" t="str">
        <f>VLOOKUP(A165,'Remote work mental helath'!A165:T1164,19,FALSE)</f>
        <v>Average</v>
      </c>
      <c r="F165" t="str">
        <f>VLOOKUP(A165,'Remote work mental helath'!$A$2:$T$1001,18,)</f>
        <v>Weekly</v>
      </c>
      <c r="G165">
        <f>VLOOKUP(A165,'Remote work mental helath'!$A$2:$T$1001,15,FALSE)</f>
        <v>3</v>
      </c>
      <c r="H165" t="str">
        <f>VLOOKUP(A165,'Remote work mental helath'!$A$2:$T$1001,14,)</f>
        <v>Increase</v>
      </c>
      <c r="I165" t="str">
        <f>VLOOKUP(A165,'Remote work mental helath'!$A$2:$T$1001,16,)</f>
        <v>Neutral</v>
      </c>
      <c r="J165" t="str">
        <f>VLOOKUP(A165,'Remote work mental helath'!$A$2:$T$1001,13,)</f>
        <v>No</v>
      </c>
      <c r="K165">
        <f>VLOOKUP(A165,'Remote work mental helath'!$A$2:$T$1001,17,FALSE)</f>
        <v>1</v>
      </c>
    </row>
    <row r="166" spans="1:11" x14ac:dyDescent="0.3">
      <c r="A166" t="s">
        <v>215</v>
      </c>
      <c r="B166" t="str">
        <f>VLOOKUP(A166,'Remote work mental helath'!$A$2:$T$1001,12,)</f>
        <v>Burnout</v>
      </c>
      <c r="C166" t="str">
        <f>VLOOKUP(A166,'Remote work mental helath'!$A$2:$T$1001,11,)</f>
        <v>Medium</v>
      </c>
      <c r="D166">
        <f>VLOOKUP('Mental Helath'!A166,'Remote work mental helath'!$A$2:$T$1001,10,)</f>
        <v>1</v>
      </c>
      <c r="E166" t="str">
        <f>VLOOKUP(A166,'Remote work mental helath'!A166:T1165,19,FALSE)</f>
        <v>Good</v>
      </c>
      <c r="F166" t="str">
        <f>VLOOKUP(A166,'Remote work mental helath'!$A$2:$T$1001,18,)</f>
        <v>None</v>
      </c>
      <c r="G166">
        <f>VLOOKUP(A166,'Remote work mental helath'!$A$2:$T$1001,15,FALSE)</f>
        <v>5</v>
      </c>
      <c r="H166" t="str">
        <f>VLOOKUP(A166,'Remote work mental helath'!$A$2:$T$1001,14,)</f>
        <v>Increase</v>
      </c>
      <c r="I166" t="str">
        <f>VLOOKUP(A166,'Remote work mental helath'!$A$2:$T$1001,16,)</f>
        <v>Neutral</v>
      </c>
      <c r="J166" t="str">
        <f>VLOOKUP(A166,'Remote work mental helath'!$A$2:$T$1001,13,)</f>
        <v>No</v>
      </c>
      <c r="K166">
        <f>VLOOKUP(A166,'Remote work mental helath'!$A$2:$T$1001,17,FALSE)</f>
        <v>1</v>
      </c>
    </row>
    <row r="167" spans="1:11" x14ac:dyDescent="0.3">
      <c r="A167" t="s">
        <v>216</v>
      </c>
      <c r="B167" t="str">
        <f>VLOOKUP(A167,'Remote work mental helath'!$A$2:$T$1001,12,)</f>
        <v>Anxiety</v>
      </c>
      <c r="C167" t="str">
        <f>VLOOKUP(A167,'Remote work mental helath'!$A$2:$T$1001,11,)</f>
        <v>Low</v>
      </c>
      <c r="D167">
        <f>VLOOKUP('Mental Helath'!A167,'Remote work mental helath'!$A$2:$T$1001,10,)</f>
        <v>2</v>
      </c>
      <c r="E167" t="str">
        <f>VLOOKUP(A167,'Remote work mental helath'!A167:T1166,19,FALSE)</f>
        <v>Poor</v>
      </c>
      <c r="F167" t="str">
        <f>VLOOKUP(A167,'Remote work mental helath'!$A$2:$T$1001,18,)</f>
        <v>Daily</v>
      </c>
      <c r="G167">
        <f>VLOOKUP(A167,'Remote work mental helath'!$A$2:$T$1001,15,FALSE)</f>
        <v>1</v>
      </c>
      <c r="H167" t="str">
        <f>VLOOKUP(A167,'Remote work mental helath'!$A$2:$T$1001,14,)</f>
        <v>Increase</v>
      </c>
      <c r="I167" t="str">
        <f>VLOOKUP(A167,'Remote work mental helath'!$A$2:$T$1001,16,)</f>
        <v>Neutral</v>
      </c>
      <c r="J167" t="str">
        <f>VLOOKUP(A167,'Remote work mental helath'!$A$2:$T$1001,13,)</f>
        <v>Yes</v>
      </c>
      <c r="K167">
        <f>VLOOKUP(A167,'Remote work mental helath'!$A$2:$T$1001,17,FALSE)</f>
        <v>5</v>
      </c>
    </row>
    <row r="168" spans="1:11" x14ac:dyDescent="0.3">
      <c r="A168" t="s">
        <v>217</v>
      </c>
      <c r="B168" t="str">
        <f>VLOOKUP(A168,'Remote work mental helath'!$A$2:$T$1001,12,)</f>
        <v>Depression</v>
      </c>
      <c r="C168" t="str">
        <f>VLOOKUP(A168,'Remote work mental helath'!$A$2:$T$1001,11,)</f>
        <v>Low</v>
      </c>
      <c r="D168">
        <f>VLOOKUP('Mental Helath'!A168,'Remote work mental helath'!$A$2:$T$1001,10,)</f>
        <v>2</v>
      </c>
      <c r="E168" t="str">
        <f>VLOOKUP(A168,'Remote work mental helath'!A168:T1167,19,FALSE)</f>
        <v>Average</v>
      </c>
      <c r="F168" t="str">
        <f>VLOOKUP(A168,'Remote work mental helath'!$A$2:$T$1001,18,)</f>
        <v>None</v>
      </c>
      <c r="G168">
        <f>VLOOKUP(A168,'Remote work mental helath'!$A$2:$T$1001,15,FALSE)</f>
        <v>3</v>
      </c>
      <c r="H168" t="str">
        <f>VLOOKUP(A168,'Remote work mental helath'!$A$2:$T$1001,14,)</f>
        <v>No Change</v>
      </c>
      <c r="I168" t="str">
        <f>VLOOKUP(A168,'Remote work mental helath'!$A$2:$T$1001,16,)</f>
        <v>Satisfied</v>
      </c>
      <c r="J168" t="str">
        <f>VLOOKUP(A168,'Remote work mental helath'!$A$2:$T$1001,13,)</f>
        <v>Yes</v>
      </c>
      <c r="K168">
        <f>VLOOKUP(A168,'Remote work mental helath'!$A$2:$T$1001,17,FALSE)</f>
        <v>2</v>
      </c>
    </row>
    <row r="169" spans="1:11" x14ac:dyDescent="0.3">
      <c r="A169" t="s">
        <v>218</v>
      </c>
      <c r="B169" t="str">
        <f>VLOOKUP(A169,'Remote work mental helath'!$A$2:$T$1001,12,)</f>
        <v>Anxiety</v>
      </c>
      <c r="C169" t="str">
        <f>VLOOKUP(A169,'Remote work mental helath'!$A$2:$T$1001,11,)</f>
        <v>High</v>
      </c>
      <c r="D169">
        <f>VLOOKUP('Mental Helath'!A169,'Remote work mental helath'!$A$2:$T$1001,10,)</f>
        <v>2</v>
      </c>
      <c r="E169" t="str">
        <f>VLOOKUP(A169,'Remote work mental helath'!A169:T1168,19,FALSE)</f>
        <v>Poor</v>
      </c>
      <c r="F169" t="str">
        <f>VLOOKUP(A169,'Remote work mental helath'!$A$2:$T$1001,18,)</f>
        <v>Daily</v>
      </c>
      <c r="G169">
        <f>VLOOKUP(A169,'Remote work mental helath'!$A$2:$T$1001,15,FALSE)</f>
        <v>3</v>
      </c>
      <c r="H169" t="str">
        <f>VLOOKUP(A169,'Remote work mental helath'!$A$2:$T$1001,14,)</f>
        <v>No Change</v>
      </c>
      <c r="I169" t="str">
        <f>VLOOKUP(A169,'Remote work mental helath'!$A$2:$T$1001,16,)</f>
        <v>Satisfied</v>
      </c>
      <c r="J169" t="str">
        <f>VLOOKUP(A169,'Remote work mental helath'!$A$2:$T$1001,13,)</f>
        <v>No</v>
      </c>
      <c r="K169">
        <f>VLOOKUP(A169,'Remote work mental helath'!$A$2:$T$1001,17,FALSE)</f>
        <v>3</v>
      </c>
    </row>
    <row r="170" spans="1:11" x14ac:dyDescent="0.3">
      <c r="A170" t="s">
        <v>219</v>
      </c>
      <c r="B170" t="str">
        <f>VLOOKUP(A170,'Remote work mental helath'!$A$2:$T$1001,12,)</f>
        <v>None</v>
      </c>
      <c r="C170" t="str">
        <f>VLOOKUP(A170,'Remote work mental helath'!$A$2:$T$1001,11,)</f>
        <v>Medium</v>
      </c>
      <c r="D170">
        <f>VLOOKUP('Mental Helath'!A170,'Remote work mental helath'!$A$2:$T$1001,10,)</f>
        <v>2</v>
      </c>
      <c r="E170" t="str">
        <f>VLOOKUP(A170,'Remote work mental helath'!A170:T1169,19,FALSE)</f>
        <v>Average</v>
      </c>
      <c r="F170" t="str">
        <f>VLOOKUP(A170,'Remote work mental helath'!$A$2:$T$1001,18,)</f>
        <v>Daily</v>
      </c>
      <c r="G170">
        <f>VLOOKUP(A170,'Remote work mental helath'!$A$2:$T$1001,15,FALSE)</f>
        <v>3</v>
      </c>
      <c r="H170" t="str">
        <f>VLOOKUP(A170,'Remote work mental helath'!$A$2:$T$1001,14,)</f>
        <v>No Change</v>
      </c>
      <c r="I170" t="str">
        <f>VLOOKUP(A170,'Remote work mental helath'!$A$2:$T$1001,16,)</f>
        <v>Satisfied</v>
      </c>
      <c r="J170" t="str">
        <f>VLOOKUP(A170,'Remote work mental helath'!$A$2:$T$1001,13,)</f>
        <v>Yes</v>
      </c>
      <c r="K170">
        <f>VLOOKUP(A170,'Remote work mental helath'!$A$2:$T$1001,17,FALSE)</f>
        <v>2</v>
      </c>
    </row>
    <row r="171" spans="1:11" x14ac:dyDescent="0.3">
      <c r="A171" t="s">
        <v>220</v>
      </c>
      <c r="B171" t="str">
        <f>VLOOKUP(A171,'Remote work mental helath'!$A$2:$T$1001,12,)</f>
        <v>Burnout</v>
      </c>
      <c r="C171" t="str">
        <f>VLOOKUP(A171,'Remote work mental helath'!$A$2:$T$1001,11,)</f>
        <v>Low</v>
      </c>
      <c r="D171">
        <f>VLOOKUP('Mental Helath'!A171,'Remote work mental helath'!$A$2:$T$1001,10,)</f>
        <v>1</v>
      </c>
      <c r="E171" t="str">
        <f>VLOOKUP(A171,'Remote work mental helath'!A171:T1170,19,FALSE)</f>
        <v>Poor</v>
      </c>
      <c r="F171" t="str">
        <f>VLOOKUP(A171,'Remote work mental helath'!$A$2:$T$1001,18,)</f>
        <v>Daily</v>
      </c>
      <c r="G171">
        <f>VLOOKUP(A171,'Remote work mental helath'!$A$2:$T$1001,15,FALSE)</f>
        <v>5</v>
      </c>
      <c r="H171" t="str">
        <f>VLOOKUP(A171,'Remote work mental helath'!$A$2:$T$1001,14,)</f>
        <v>Increase</v>
      </c>
      <c r="I171" t="str">
        <f>VLOOKUP(A171,'Remote work mental helath'!$A$2:$T$1001,16,)</f>
        <v>Satisfied</v>
      </c>
      <c r="J171" t="str">
        <f>VLOOKUP(A171,'Remote work mental helath'!$A$2:$T$1001,13,)</f>
        <v>Yes</v>
      </c>
      <c r="K171">
        <f>VLOOKUP(A171,'Remote work mental helath'!$A$2:$T$1001,17,FALSE)</f>
        <v>3</v>
      </c>
    </row>
    <row r="172" spans="1:11" x14ac:dyDescent="0.3">
      <c r="A172" t="s">
        <v>221</v>
      </c>
      <c r="B172" t="str">
        <f>VLOOKUP(A172,'Remote work mental helath'!$A$2:$T$1001,12,)</f>
        <v>None</v>
      </c>
      <c r="C172" t="str">
        <f>VLOOKUP(A172,'Remote work mental helath'!$A$2:$T$1001,11,)</f>
        <v>Low</v>
      </c>
      <c r="D172">
        <f>VLOOKUP('Mental Helath'!A172,'Remote work mental helath'!$A$2:$T$1001,10,)</f>
        <v>1</v>
      </c>
      <c r="E172" t="str">
        <f>VLOOKUP(A172,'Remote work mental helath'!A172:T1171,19,FALSE)</f>
        <v>Poor</v>
      </c>
      <c r="F172" t="str">
        <f>VLOOKUP(A172,'Remote work mental helath'!$A$2:$T$1001,18,)</f>
        <v>None</v>
      </c>
      <c r="G172">
        <f>VLOOKUP(A172,'Remote work mental helath'!$A$2:$T$1001,15,FALSE)</f>
        <v>4</v>
      </c>
      <c r="H172" t="str">
        <f>VLOOKUP(A172,'Remote work mental helath'!$A$2:$T$1001,14,)</f>
        <v>Increase</v>
      </c>
      <c r="I172" t="str">
        <f>VLOOKUP(A172,'Remote work mental helath'!$A$2:$T$1001,16,)</f>
        <v>Neutral</v>
      </c>
      <c r="J172" t="str">
        <f>VLOOKUP(A172,'Remote work mental helath'!$A$2:$T$1001,13,)</f>
        <v>No</v>
      </c>
      <c r="K172">
        <f>VLOOKUP(A172,'Remote work mental helath'!$A$2:$T$1001,17,FALSE)</f>
        <v>3</v>
      </c>
    </row>
    <row r="173" spans="1:11" x14ac:dyDescent="0.3">
      <c r="A173" t="s">
        <v>222</v>
      </c>
      <c r="B173" t="str">
        <f>VLOOKUP(A173,'Remote work mental helath'!$A$2:$T$1001,12,)</f>
        <v>Depression</v>
      </c>
      <c r="C173" t="str">
        <f>VLOOKUP(A173,'Remote work mental helath'!$A$2:$T$1001,11,)</f>
        <v>Medium</v>
      </c>
      <c r="D173">
        <f>VLOOKUP('Mental Helath'!A173,'Remote work mental helath'!$A$2:$T$1001,10,)</f>
        <v>4</v>
      </c>
      <c r="E173" t="str">
        <f>VLOOKUP(A173,'Remote work mental helath'!A173:T1172,19,FALSE)</f>
        <v>Good</v>
      </c>
      <c r="F173" t="str">
        <f>VLOOKUP(A173,'Remote work mental helath'!$A$2:$T$1001,18,)</f>
        <v>None</v>
      </c>
      <c r="G173">
        <f>VLOOKUP(A173,'Remote work mental helath'!$A$2:$T$1001,15,FALSE)</f>
        <v>3</v>
      </c>
      <c r="H173" t="str">
        <f>VLOOKUP(A173,'Remote work mental helath'!$A$2:$T$1001,14,)</f>
        <v>Decrease</v>
      </c>
      <c r="I173" t="str">
        <f>VLOOKUP(A173,'Remote work mental helath'!$A$2:$T$1001,16,)</f>
        <v>Unsatisfied</v>
      </c>
      <c r="J173" t="str">
        <f>VLOOKUP(A173,'Remote work mental helath'!$A$2:$T$1001,13,)</f>
        <v>No</v>
      </c>
      <c r="K173">
        <f>VLOOKUP(A173,'Remote work mental helath'!$A$2:$T$1001,17,FALSE)</f>
        <v>4</v>
      </c>
    </row>
    <row r="174" spans="1:11" x14ac:dyDescent="0.3">
      <c r="A174" t="s">
        <v>223</v>
      </c>
      <c r="B174" t="str">
        <f>VLOOKUP(A174,'Remote work mental helath'!$A$2:$T$1001,12,)</f>
        <v>Burnout</v>
      </c>
      <c r="C174" t="str">
        <f>VLOOKUP(A174,'Remote work mental helath'!$A$2:$T$1001,11,)</f>
        <v>Medium</v>
      </c>
      <c r="D174">
        <f>VLOOKUP('Mental Helath'!A174,'Remote work mental helath'!$A$2:$T$1001,10,)</f>
        <v>1</v>
      </c>
      <c r="E174" t="str">
        <f>VLOOKUP(A174,'Remote work mental helath'!A174:T1173,19,FALSE)</f>
        <v>Good</v>
      </c>
      <c r="F174" t="str">
        <f>VLOOKUP(A174,'Remote work mental helath'!$A$2:$T$1001,18,)</f>
        <v>Weekly</v>
      </c>
      <c r="G174">
        <f>VLOOKUP(A174,'Remote work mental helath'!$A$2:$T$1001,15,FALSE)</f>
        <v>4</v>
      </c>
      <c r="H174" t="str">
        <f>VLOOKUP(A174,'Remote work mental helath'!$A$2:$T$1001,14,)</f>
        <v>No Change</v>
      </c>
      <c r="I174" t="str">
        <f>VLOOKUP(A174,'Remote work mental helath'!$A$2:$T$1001,16,)</f>
        <v>Satisfied</v>
      </c>
      <c r="J174" t="str">
        <f>VLOOKUP(A174,'Remote work mental helath'!$A$2:$T$1001,13,)</f>
        <v>No</v>
      </c>
      <c r="K174">
        <f>VLOOKUP(A174,'Remote work mental helath'!$A$2:$T$1001,17,FALSE)</f>
        <v>3</v>
      </c>
    </row>
    <row r="175" spans="1:11" x14ac:dyDescent="0.3">
      <c r="A175" t="s">
        <v>224</v>
      </c>
      <c r="B175" t="str">
        <f>VLOOKUP(A175,'Remote work mental helath'!$A$2:$T$1001,12,)</f>
        <v>None</v>
      </c>
      <c r="C175" t="str">
        <f>VLOOKUP(A175,'Remote work mental helath'!$A$2:$T$1001,11,)</f>
        <v>High</v>
      </c>
      <c r="D175">
        <f>VLOOKUP('Mental Helath'!A175,'Remote work mental helath'!$A$2:$T$1001,10,)</f>
        <v>2</v>
      </c>
      <c r="E175" t="str">
        <f>VLOOKUP(A175,'Remote work mental helath'!A175:T1174,19,FALSE)</f>
        <v>Good</v>
      </c>
      <c r="F175" t="str">
        <f>VLOOKUP(A175,'Remote work mental helath'!$A$2:$T$1001,18,)</f>
        <v>Weekly</v>
      </c>
      <c r="G175">
        <f>VLOOKUP(A175,'Remote work mental helath'!$A$2:$T$1001,15,FALSE)</f>
        <v>1</v>
      </c>
      <c r="H175" t="str">
        <f>VLOOKUP(A175,'Remote work mental helath'!$A$2:$T$1001,14,)</f>
        <v>Increase</v>
      </c>
      <c r="I175" t="str">
        <f>VLOOKUP(A175,'Remote work mental helath'!$A$2:$T$1001,16,)</f>
        <v>Neutral</v>
      </c>
      <c r="J175" t="str">
        <f>VLOOKUP(A175,'Remote work mental helath'!$A$2:$T$1001,13,)</f>
        <v>Yes</v>
      </c>
      <c r="K175">
        <f>VLOOKUP(A175,'Remote work mental helath'!$A$2:$T$1001,17,FALSE)</f>
        <v>4</v>
      </c>
    </row>
    <row r="176" spans="1:11" x14ac:dyDescent="0.3">
      <c r="A176" t="s">
        <v>225</v>
      </c>
      <c r="B176" t="str">
        <f>VLOOKUP(A176,'Remote work mental helath'!$A$2:$T$1001,12,)</f>
        <v>None</v>
      </c>
      <c r="C176" t="str">
        <f>VLOOKUP(A176,'Remote work mental helath'!$A$2:$T$1001,11,)</f>
        <v>Low</v>
      </c>
      <c r="D176">
        <f>VLOOKUP('Mental Helath'!A176,'Remote work mental helath'!$A$2:$T$1001,10,)</f>
        <v>2</v>
      </c>
      <c r="E176" t="str">
        <f>VLOOKUP(A176,'Remote work mental helath'!A176:T1175,19,FALSE)</f>
        <v>Good</v>
      </c>
      <c r="F176" t="str">
        <f>VLOOKUP(A176,'Remote work mental helath'!$A$2:$T$1001,18,)</f>
        <v>Daily</v>
      </c>
      <c r="G176">
        <f>VLOOKUP(A176,'Remote work mental helath'!$A$2:$T$1001,15,FALSE)</f>
        <v>3</v>
      </c>
      <c r="H176" t="str">
        <f>VLOOKUP(A176,'Remote work mental helath'!$A$2:$T$1001,14,)</f>
        <v>Decrease</v>
      </c>
      <c r="I176" t="str">
        <f>VLOOKUP(A176,'Remote work mental helath'!$A$2:$T$1001,16,)</f>
        <v>Unsatisfied</v>
      </c>
      <c r="J176" t="str">
        <f>VLOOKUP(A176,'Remote work mental helath'!$A$2:$T$1001,13,)</f>
        <v>Yes</v>
      </c>
      <c r="K176">
        <f>VLOOKUP(A176,'Remote work mental helath'!$A$2:$T$1001,17,FALSE)</f>
        <v>5</v>
      </c>
    </row>
    <row r="177" spans="1:11" x14ac:dyDescent="0.3">
      <c r="A177" t="s">
        <v>226</v>
      </c>
      <c r="B177" t="str">
        <f>VLOOKUP(A177,'Remote work mental helath'!$A$2:$T$1001,12,)</f>
        <v>Anxiety</v>
      </c>
      <c r="C177" t="str">
        <f>VLOOKUP(A177,'Remote work mental helath'!$A$2:$T$1001,11,)</f>
        <v>Low</v>
      </c>
      <c r="D177">
        <f>VLOOKUP('Mental Helath'!A177,'Remote work mental helath'!$A$2:$T$1001,10,)</f>
        <v>3</v>
      </c>
      <c r="E177" t="str">
        <f>VLOOKUP(A177,'Remote work mental helath'!A177:T1176,19,FALSE)</f>
        <v>Average</v>
      </c>
      <c r="F177" t="str">
        <f>VLOOKUP(A177,'Remote work mental helath'!$A$2:$T$1001,18,)</f>
        <v>Daily</v>
      </c>
      <c r="G177">
        <f>VLOOKUP(A177,'Remote work mental helath'!$A$2:$T$1001,15,FALSE)</f>
        <v>5</v>
      </c>
      <c r="H177" t="str">
        <f>VLOOKUP(A177,'Remote work mental helath'!$A$2:$T$1001,14,)</f>
        <v>No Change</v>
      </c>
      <c r="I177" t="str">
        <f>VLOOKUP(A177,'Remote work mental helath'!$A$2:$T$1001,16,)</f>
        <v>Satisfied</v>
      </c>
      <c r="J177" t="str">
        <f>VLOOKUP(A177,'Remote work mental helath'!$A$2:$T$1001,13,)</f>
        <v>Yes</v>
      </c>
      <c r="K177">
        <f>VLOOKUP(A177,'Remote work mental helath'!$A$2:$T$1001,17,FALSE)</f>
        <v>4</v>
      </c>
    </row>
    <row r="178" spans="1:11" x14ac:dyDescent="0.3">
      <c r="A178" t="s">
        <v>227</v>
      </c>
      <c r="B178" t="str">
        <f>VLOOKUP(A178,'Remote work mental helath'!$A$2:$T$1001,12,)</f>
        <v>Depression</v>
      </c>
      <c r="C178" t="str">
        <f>VLOOKUP(A178,'Remote work mental helath'!$A$2:$T$1001,11,)</f>
        <v>Medium</v>
      </c>
      <c r="D178">
        <f>VLOOKUP('Mental Helath'!A178,'Remote work mental helath'!$A$2:$T$1001,10,)</f>
        <v>3</v>
      </c>
      <c r="E178" t="str">
        <f>VLOOKUP(A178,'Remote work mental helath'!A178:T1177,19,FALSE)</f>
        <v>Good</v>
      </c>
      <c r="F178" t="str">
        <f>VLOOKUP(A178,'Remote work mental helath'!$A$2:$T$1001,18,)</f>
        <v>None</v>
      </c>
      <c r="G178">
        <f>VLOOKUP(A178,'Remote work mental helath'!$A$2:$T$1001,15,FALSE)</f>
        <v>5</v>
      </c>
      <c r="H178" t="str">
        <f>VLOOKUP(A178,'Remote work mental helath'!$A$2:$T$1001,14,)</f>
        <v>No Change</v>
      </c>
      <c r="I178" t="str">
        <f>VLOOKUP(A178,'Remote work mental helath'!$A$2:$T$1001,16,)</f>
        <v>Satisfied</v>
      </c>
      <c r="J178" t="str">
        <f>VLOOKUP(A178,'Remote work mental helath'!$A$2:$T$1001,13,)</f>
        <v>No</v>
      </c>
      <c r="K178">
        <f>VLOOKUP(A178,'Remote work mental helath'!$A$2:$T$1001,17,FALSE)</f>
        <v>4</v>
      </c>
    </row>
    <row r="179" spans="1:11" x14ac:dyDescent="0.3">
      <c r="A179" t="s">
        <v>228</v>
      </c>
      <c r="B179" t="str">
        <f>VLOOKUP(A179,'Remote work mental helath'!$A$2:$T$1001,12,)</f>
        <v>None</v>
      </c>
      <c r="C179" t="str">
        <f>VLOOKUP(A179,'Remote work mental helath'!$A$2:$T$1001,11,)</f>
        <v>Medium</v>
      </c>
      <c r="D179">
        <f>VLOOKUP('Mental Helath'!A179,'Remote work mental helath'!$A$2:$T$1001,10,)</f>
        <v>1</v>
      </c>
      <c r="E179" t="str">
        <f>VLOOKUP(A179,'Remote work mental helath'!A179:T1178,19,FALSE)</f>
        <v>Good</v>
      </c>
      <c r="F179" t="str">
        <f>VLOOKUP(A179,'Remote work mental helath'!$A$2:$T$1001,18,)</f>
        <v>Weekly</v>
      </c>
      <c r="G179">
        <f>VLOOKUP(A179,'Remote work mental helath'!$A$2:$T$1001,15,FALSE)</f>
        <v>3</v>
      </c>
      <c r="H179" t="str">
        <f>VLOOKUP(A179,'Remote work mental helath'!$A$2:$T$1001,14,)</f>
        <v>Decrease</v>
      </c>
      <c r="I179" t="str">
        <f>VLOOKUP(A179,'Remote work mental helath'!$A$2:$T$1001,16,)</f>
        <v>Neutral</v>
      </c>
      <c r="J179" t="str">
        <f>VLOOKUP(A179,'Remote work mental helath'!$A$2:$T$1001,13,)</f>
        <v>No</v>
      </c>
      <c r="K179">
        <f>VLOOKUP(A179,'Remote work mental helath'!$A$2:$T$1001,17,FALSE)</f>
        <v>2</v>
      </c>
    </row>
    <row r="180" spans="1:11" x14ac:dyDescent="0.3">
      <c r="A180" t="s">
        <v>229</v>
      </c>
      <c r="B180" t="str">
        <f>VLOOKUP(A180,'Remote work mental helath'!$A$2:$T$1001,12,)</f>
        <v>None</v>
      </c>
      <c r="C180" t="str">
        <f>VLOOKUP(A180,'Remote work mental helath'!$A$2:$T$1001,11,)</f>
        <v>High</v>
      </c>
      <c r="D180">
        <f>VLOOKUP('Mental Helath'!A180,'Remote work mental helath'!$A$2:$T$1001,10,)</f>
        <v>4</v>
      </c>
      <c r="E180" t="str">
        <f>VLOOKUP(A180,'Remote work mental helath'!A180:T1179,19,FALSE)</f>
        <v>Good</v>
      </c>
      <c r="F180" t="str">
        <f>VLOOKUP(A180,'Remote work mental helath'!$A$2:$T$1001,18,)</f>
        <v>None</v>
      </c>
      <c r="G180">
        <f>VLOOKUP(A180,'Remote work mental helath'!$A$2:$T$1001,15,FALSE)</f>
        <v>4</v>
      </c>
      <c r="H180" t="str">
        <f>VLOOKUP(A180,'Remote work mental helath'!$A$2:$T$1001,14,)</f>
        <v>Increase</v>
      </c>
      <c r="I180" t="str">
        <f>VLOOKUP(A180,'Remote work mental helath'!$A$2:$T$1001,16,)</f>
        <v>Satisfied</v>
      </c>
      <c r="J180" t="str">
        <f>VLOOKUP(A180,'Remote work mental helath'!$A$2:$T$1001,13,)</f>
        <v>No</v>
      </c>
      <c r="K180">
        <f>VLOOKUP(A180,'Remote work mental helath'!$A$2:$T$1001,17,FALSE)</f>
        <v>4</v>
      </c>
    </row>
    <row r="181" spans="1:11" x14ac:dyDescent="0.3">
      <c r="A181" t="s">
        <v>230</v>
      </c>
      <c r="B181" t="str">
        <f>VLOOKUP(A181,'Remote work mental helath'!$A$2:$T$1001,12,)</f>
        <v>None</v>
      </c>
      <c r="C181" t="str">
        <f>VLOOKUP(A181,'Remote work mental helath'!$A$2:$T$1001,11,)</f>
        <v>Medium</v>
      </c>
      <c r="D181">
        <f>VLOOKUP('Mental Helath'!A181,'Remote work mental helath'!$A$2:$T$1001,10,)</f>
        <v>2</v>
      </c>
      <c r="E181" t="str">
        <f>VLOOKUP(A181,'Remote work mental helath'!A181:T1180,19,FALSE)</f>
        <v>Good</v>
      </c>
      <c r="F181" t="str">
        <f>VLOOKUP(A181,'Remote work mental helath'!$A$2:$T$1001,18,)</f>
        <v>None</v>
      </c>
      <c r="G181">
        <f>VLOOKUP(A181,'Remote work mental helath'!$A$2:$T$1001,15,FALSE)</f>
        <v>3</v>
      </c>
      <c r="H181" t="str">
        <f>VLOOKUP(A181,'Remote work mental helath'!$A$2:$T$1001,14,)</f>
        <v>Decrease</v>
      </c>
      <c r="I181" t="str">
        <f>VLOOKUP(A181,'Remote work mental helath'!$A$2:$T$1001,16,)</f>
        <v>Unsatisfied</v>
      </c>
      <c r="J181" t="str">
        <f>VLOOKUP(A181,'Remote work mental helath'!$A$2:$T$1001,13,)</f>
        <v>Yes</v>
      </c>
      <c r="K181">
        <f>VLOOKUP(A181,'Remote work mental helath'!$A$2:$T$1001,17,FALSE)</f>
        <v>1</v>
      </c>
    </row>
    <row r="182" spans="1:11" x14ac:dyDescent="0.3">
      <c r="A182" t="s">
        <v>231</v>
      </c>
      <c r="B182" t="str">
        <f>VLOOKUP(A182,'Remote work mental helath'!$A$2:$T$1001,12,)</f>
        <v>Burnout</v>
      </c>
      <c r="C182" t="str">
        <f>VLOOKUP(A182,'Remote work mental helath'!$A$2:$T$1001,11,)</f>
        <v>Medium</v>
      </c>
      <c r="D182">
        <f>VLOOKUP('Mental Helath'!A182,'Remote work mental helath'!$A$2:$T$1001,10,)</f>
        <v>1</v>
      </c>
      <c r="E182" t="str">
        <f>VLOOKUP(A182,'Remote work mental helath'!A182:T1181,19,FALSE)</f>
        <v>Poor</v>
      </c>
      <c r="F182" t="str">
        <f>VLOOKUP(A182,'Remote work mental helath'!$A$2:$T$1001,18,)</f>
        <v>Daily</v>
      </c>
      <c r="G182">
        <f>VLOOKUP(A182,'Remote work mental helath'!$A$2:$T$1001,15,FALSE)</f>
        <v>5</v>
      </c>
      <c r="H182" t="str">
        <f>VLOOKUP(A182,'Remote work mental helath'!$A$2:$T$1001,14,)</f>
        <v>Decrease</v>
      </c>
      <c r="I182" t="str">
        <f>VLOOKUP(A182,'Remote work mental helath'!$A$2:$T$1001,16,)</f>
        <v>Neutral</v>
      </c>
      <c r="J182" t="str">
        <f>VLOOKUP(A182,'Remote work mental helath'!$A$2:$T$1001,13,)</f>
        <v>Yes</v>
      </c>
      <c r="K182">
        <f>VLOOKUP(A182,'Remote work mental helath'!$A$2:$T$1001,17,FALSE)</f>
        <v>2</v>
      </c>
    </row>
    <row r="183" spans="1:11" x14ac:dyDescent="0.3">
      <c r="A183" t="s">
        <v>232</v>
      </c>
      <c r="B183" t="str">
        <f>VLOOKUP(A183,'Remote work mental helath'!$A$2:$T$1001,12,)</f>
        <v>None</v>
      </c>
      <c r="C183" t="str">
        <f>VLOOKUP(A183,'Remote work mental helath'!$A$2:$T$1001,11,)</f>
        <v>Low</v>
      </c>
      <c r="D183">
        <f>VLOOKUP('Mental Helath'!A183,'Remote work mental helath'!$A$2:$T$1001,10,)</f>
        <v>5</v>
      </c>
      <c r="E183" t="str">
        <f>VLOOKUP(A183,'Remote work mental helath'!A183:T1182,19,FALSE)</f>
        <v>Good</v>
      </c>
      <c r="F183" t="str">
        <f>VLOOKUP(A183,'Remote work mental helath'!$A$2:$T$1001,18,)</f>
        <v>Weekly</v>
      </c>
      <c r="G183">
        <f>VLOOKUP(A183,'Remote work mental helath'!$A$2:$T$1001,15,FALSE)</f>
        <v>4</v>
      </c>
      <c r="H183" t="str">
        <f>VLOOKUP(A183,'Remote work mental helath'!$A$2:$T$1001,14,)</f>
        <v>Decrease</v>
      </c>
      <c r="I183" t="str">
        <f>VLOOKUP(A183,'Remote work mental helath'!$A$2:$T$1001,16,)</f>
        <v>Unsatisfied</v>
      </c>
      <c r="J183" t="str">
        <f>VLOOKUP(A183,'Remote work mental helath'!$A$2:$T$1001,13,)</f>
        <v>Yes</v>
      </c>
      <c r="K183">
        <f>VLOOKUP(A183,'Remote work mental helath'!$A$2:$T$1001,17,FALSE)</f>
        <v>4</v>
      </c>
    </row>
    <row r="184" spans="1:11" x14ac:dyDescent="0.3">
      <c r="A184" t="s">
        <v>233</v>
      </c>
      <c r="B184" t="str">
        <f>VLOOKUP(A184,'Remote work mental helath'!$A$2:$T$1001,12,)</f>
        <v>Burnout</v>
      </c>
      <c r="C184" t="str">
        <f>VLOOKUP(A184,'Remote work mental helath'!$A$2:$T$1001,11,)</f>
        <v>Low</v>
      </c>
      <c r="D184">
        <f>VLOOKUP('Mental Helath'!A184,'Remote work mental helath'!$A$2:$T$1001,10,)</f>
        <v>2</v>
      </c>
      <c r="E184" t="str">
        <f>VLOOKUP(A184,'Remote work mental helath'!A184:T1183,19,FALSE)</f>
        <v>Average</v>
      </c>
      <c r="F184" t="str">
        <f>VLOOKUP(A184,'Remote work mental helath'!$A$2:$T$1001,18,)</f>
        <v>Weekly</v>
      </c>
      <c r="G184">
        <f>VLOOKUP(A184,'Remote work mental helath'!$A$2:$T$1001,15,FALSE)</f>
        <v>4</v>
      </c>
      <c r="H184" t="str">
        <f>VLOOKUP(A184,'Remote work mental helath'!$A$2:$T$1001,14,)</f>
        <v>Increase</v>
      </c>
      <c r="I184" t="str">
        <f>VLOOKUP(A184,'Remote work mental helath'!$A$2:$T$1001,16,)</f>
        <v>Satisfied</v>
      </c>
      <c r="J184" t="str">
        <f>VLOOKUP(A184,'Remote work mental helath'!$A$2:$T$1001,13,)</f>
        <v>Yes</v>
      </c>
      <c r="K184">
        <f>VLOOKUP(A184,'Remote work mental helath'!$A$2:$T$1001,17,FALSE)</f>
        <v>1</v>
      </c>
    </row>
    <row r="185" spans="1:11" x14ac:dyDescent="0.3">
      <c r="A185" t="s">
        <v>234</v>
      </c>
      <c r="B185" t="str">
        <f>VLOOKUP(A185,'Remote work mental helath'!$A$2:$T$1001,12,)</f>
        <v>Depression</v>
      </c>
      <c r="C185" t="str">
        <f>VLOOKUP(A185,'Remote work mental helath'!$A$2:$T$1001,11,)</f>
        <v>High</v>
      </c>
      <c r="D185">
        <f>VLOOKUP('Mental Helath'!A185,'Remote work mental helath'!$A$2:$T$1001,10,)</f>
        <v>3</v>
      </c>
      <c r="E185" t="str">
        <f>VLOOKUP(A185,'Remote work mental helath'!A185:T1184,19,FALSE)</f>
        <v>Good</v>
      </c>
      <c r="F185" t="str">
        <f>VLOOKUP(A185,'Remote work mental helath'!$A$2:$T$1001,18,)</f>
        <v>Daily</v>
      </c>
      <c r="G185">
        <f>VLOOKUP(A185,'Remote work mental helath'!$A$2:$T$1001,15,FALSE)</f>
        <v>3</v>
      </c>
      <c r="H185" t="str">
        <f>VLOOKUP(A185,'Remote work mental helath'!$A$2:$T$1001,14,)</f>
        <v>No Change</v>
      </c>
      <c r="I185" t="str">
        <f>VLOOKUP(A185,'Remote work mental helath'!$A$2:$T$1001,16,)</f>
        <v>Neutral</v>
      </c>
      <c r="J185" t="str">
        <f>VLOOKUP(A185,'Remote work mental helath'!$A$2:$T$1001,13,)</f>
        <v>No</v>
      </c>
      <c r="K185">
        <f>VLOOKUP(A185,'Remote work mental helath'!$A$2:$T$1001,17,FALSE)</f>
        <v>2</v>
      </c>
    </row>
    <row r="186" spans="1:11" x14ac:dyDescent="0.3">
      <c r="A186" t="s">
        <v>235</v>
      </c>
      <c r="B186" t="str">
        <f>VLOOKUP(A186,'Remote work mental helath'!$A$2:$T$1001,12,)</f>
        <v>Depression</v>
      </c>
      <c r="C186" t="str">
        <f>VLOOKUP(A186,'Remote work mental helath'!$A$2:$T$1001,11,)</f>
        <v>Medium</v>
      </c>
      <c r="D186">
        <f>VLOOKUP('Mental Helath'!A186,'Remote work mental helath'!$A$2:$T$1001,10,)</f>
        <v>5</v>
      </c>
      <c r="E186" t="str">
        <f>VLOOKUP(A186,'Remote work mental helath'!A186:T1185,19,FALSE)</f>
        <v>Good</v>
      </c>
      <c r="F186" t="str">
        <f>VLOOKUP(A186,'Remote work mental helath'!$A$2:$T$1001,18,)</f>
        <v>Daily</v>
      </c>
      <c r="G186">
        <f>VLOOKUP(A186,'Remote work mental helath'!$A$2:$T$1001,15,FALSE)</f>
        <v>1</v>
      </c>
      <c r="H186" t="str">
        <f>VLOOKUP(A186,'Remote work mental helath'!$A$2:$T$1001,14,)</f>
        <v>Decrease</v>
      </c>
      <c r="I186" t="str">
        <f>VLOOKUP(A186,'Remote work mental helath'!$A$2:$T$1001,16,)</f>
        <v>Neutral</v>
      </c>
      <c r="J186" t="str">
        <f>VLOOKUP(A186,'Remote work mental helath'!$A$2:$T$1001,13,)</f>
        <v>No</v>
      </c>
      <c r="K186">
        <f>VLOOKUP(A186,'Remote work mental helath'!$A$2:$T$1001,17,FALSE)</f>
        <v>2</v>
      </c>
    </row>
    <row r="187" spans="1:11" x14ac:dyDescent="0.3">
      <c r="A187" t="s">
        <v>236</v>
      </c>
      <c r="B187" t="str">
        <f>VLOOKUP(A187,'Remote work mental helath'!$A$2:$T$1001,12,)</f>
        <v>Depression</v>
      </c>
      <c r="C187" t="str">
        <f>VLOOKUP(A187,'Remote work mental helath'!$A$2:$T$1001,11,)</f>
        <v>Medium</v>
      </c>
      <c r="D187">
        <f>VLOOKUP('Mental Helath'!A187,'Remote work mental helath'!$A$2:$T$1001,10,)</f>
        <v>1</v>
      </c>
      <c r="E187" t="str">
        <f>VLOOKUP(A187,'Remote work mental helath'!A187:T1186,19,FALSE)</f>
        <v>Average</v>
      </c>
      <c r="F187" t="str">
        <f>VLOOKUP(A187,'Remote work mental helath'!$A$2:$T$1001,18,)</f>
        <v>None</v>
      </c>
      <c r="G187">
        <f>VLOOKUP(A187,'Remote work mental helath'!$A$2:$T$1001,15,FALSE)</f>
        <v>1</v>
      </c>
      <c r="H187" t="str">
        <f>VLOOKUP(A187,'Remote work mental helath'!$A$2:$T$1001,14,)</f>
        <v>No Change</v>
      </c>
      <c r="I187" t="str">
        <f>VLOOKUP(A187,'Remote work mental helath'!$A$2:$T$1001,16,)</f>
        <v>Unsatisfied</v>
      </c>
      <c r="J187" t="str">
        <f>VLOOKUP(A187,'Remote work mental helath'!$A$2:$T$1001,13,)</f>
        <v>No</v>
      </c>
      <c r="K187">
        <f>VLOOKUP(A187,'Remote work mental helath'!$A$2:$T$1001,17,FALSE)</f>
        <v>1</v>
      </c>
    </row>
    <row r="188" spans="1:11" x14ac:dyDescent="0.3">
      <c r="A188" t="s">
        <v>237</v>
      </c>
      <c r="B188" t="str">
        <f>VLOOKUP(A188,'Remote work mental helath'!$A$2:$T$1001,12,)</f>
        <v>Anxiety</v>
      </c>
      <c r="C188" t="str">
        <f>VLOOKUP(A188,'Remote work mental helath'!$A$2:$T$1001,11,)</f>
        <v>Medium</v>
      </c>
      <c r="D188">
        <f>VLOOKUP('Mental Helath'!A188,'Remote work mental helath'!$A$2:$T$1001,10,)</f>
        <v>5</v>
      </c>
      <c r="E188" t="str">
        <f>VLOOKUP(A188,'Remote work mental helath'!A188:T1187,19,FALSE)</f>
        <v>Average</v>
      </c>
      <c r="F188" t="str">
        <f>VLOOKUP(A188,'Remote work mental helath'!$A$2:$T$1001,18,)</f>
        <v>Weekly</v>
      </c>
      <c r="G188">
        <f>VLOOKUP(A188,'Remote work mental helath'!$A$2:$T$1001,15,FALSE)</f>
        <v>5</v>
      </c>
      <c r="H188" t="str">
        <f>VLOOKUP(A188,'Remote work mental helath'!$A$2:$T$1001,14,)</f>
        <v>Decrease</v>
      </c>
      <c r="I188" t="str">
        <f>VLOOKUP(A188,'Remote work mental helath'!$A$2:$T$1001,16,)</f>
        <v>Unsatisfied</v>
      </c>
      <c r="J188" t="str">
        <f>VLOOKUP(A188,'Remote work mental helath'!$A$2:$T$1001,13,)</f>
        <v>Yes</v>
      </c>
      <c r="K188">
        <f>VLOOKUP(A188,'Remote work mental helath'!$A$2:$T$1001,17,FALSE)</f>
        <v>4</v>
      </c>
    </row>
    <row r="189" spans="1:11" x14ac:dyDescent="0.3">
      <c r="A189" t="s">
        <v>238</v>
      </c>
      <c r="B189" t="str">
        <f>VLOOKUP(A189,'Remote work mental helath'!$A$2:$T$1001,12,)</f>
        <v>None</v>
      </c>
      <c r="C189" t="str">
        <f>VLOOKUP(A189,'Remote work mental helath'!$A$2:$T$1001,11,)</f>
        <v>High</v>
      </c>
      <c r="D189">
        <f>VLOOKUP('Mental Helath'!A189,'Remote work mental helath'!$A$2:$T$1001,10,)</f>
        <v>5</v>
      </c>
      <c r="E189" t="str">
        <f>VLOOKUP(A189,'Remote work mental helath'!A189:T1188,19,FALSE)</f>
        <v>Good</v>
      </c>
      <c r="F189" t="str">
        <f>VLOOKUP(A189,'Remote work mental helath'!$A$2:$T$1001,18,)</f>
        <v>Daily</v>
      </c>
      <c r="G189">
        <f>VLOOKUP(A189,'Remote work mental helath'!$A$2:$T$1001,15,FALSE)</f>
        <v>5</v>
      </c>
      <c r="H189" t="str">
        <f>VLOOKUP(A189,'Remote work mental helath'!$A$2:$T$1001,14,)</f>
        <v>No Change</v>
      </c>
      <c r="I189" t="str">
        <f>VLOOKUP(A189,'Remote work mental helath'!$A$2:$T$1001,16,)</f>
        <v>Neutral</v>
      </c>
      <c r="J189" t="str">
        <f>VLOOKUP(A189,'Remote work mental helath'!$A$2:$T$1001,13,)</f>
        <v>No</v>
      </c>
      <c r="K189">
        <f>VLOOKUP(A189,'Remote work mental helath'!$A$2:$T$1001,17,FALSE)</f>
        <v>5</v>
      </c>
    </row>
    <row r="190" spans="1:11" x14ac:dyDescent="0.3">
      <c r="A190" t="s">
        <v>239</v>
      </c>
      <c r="B190" t="str">
        <f>VLOOKUP(A190,'Remote work mental helath'!$A$2:$T$1001,12,)</f>
        <v>Burnout</v>
      </c>
      <c r="C190" t="str">
        <f>VLOOKUP(A190,'Remote work mental helath'!$A$2:$T$1001,11,)</f>
        <v>High</v>
      </c>
      <c r="D190">
        <f>VLOOKUP('Mental Helath'!A190,'Remote work mental helath'!$A$2:$T$1001,10,)</f>
        <v>5</v>
      </c>
      <c r="E190" t="str">
        <f>VLOOKUP(A190,'Remote work mental helath'!A190:T1189,19,FALSE)</f>
        <v>Average</v>
      </c>
      <c r="F190" t="str">
        <f>VLOOKUP(A190,'Remote work mental helath'!$A$2:$T$1001,18,)</f>
        <v>Weekly</v>
      </c>
      <c r="G190">
        <f>VLOOKUP(A190,'Remote work mental helath'!$A$2:$T$1001,15,FALSE)</f>
        <v>2</v>
      </c>
      <c r="H190" t="str">
        <f>VLOOKUP(A190,'Remote work mental helath'!$A$2:$T$1001,14,)</f>
        <v>No Change</v>
      </c>
      <c r="I190" t="str">
        <f>VLOOKUP(A190,'Remote work mental helath'!$A$2:$T$1001,16,)</f>
        <v>Unsatisfied</v>
      </c>
      <c r="J190" t="str">
        <f>VLOOKUP(A190,'Remote work mental helath'!$A$2:$T$1001,13,)</f>
        <v>No</v>
      </c>
      <c r="K190">
        <f>VLOOKUP(A190,'Remote work mental helath'!$A$2:$T$1001,17,FALSE)</f>
        <v>3</v>
      </c>
    </row>
    <row r="191" spans="1:11" x14ac:dyDescent="0.3">
      <c r="A191" t="s">
        <v>240</v>
      </c>
      <c r="B191" t="str">
        <f>VLOOKUP(A191,'Remote work mental helath'!$A$2:$T$1001,12,)</f>
        <v>Burnout</v>
      </c>
      <c r="C191" t="str">
        <f>VLOOKUP(A191,'Remote work mental helath'!$A$2:$T$1001,11,)</f>
        <v>Low</v>
      </c>
      <c r="D191">
        <f>VLOOKUP('Mental Helath'!A191,'Remote work mental helath'!$A$2:$T$1001,10,)</f>
        <v>1</v>
      </c>
      <c r="E191" t="str">
        <f>VLOOKUP(A191,'Remote work mental helath'!A191:T1190,19,FALSE)</f>
        <v>Poor</v>
      </c>
      <c r="F191" t="str">
        <f>VLOOKUP(A191,'Remote work mental helath'!$A$2:$T$1001,18,)</f>
        <v>None</v>
      </c>
      <c r="G191">
        <f>VLOOKUP(A191,'Remote work mental helath'!$A$2:$T$1001,15,FALSE)</f>
        <v>4</v>
      </c>
      <c r="H191" t="str">
        <f>VLOOKUP(A191,'Remote work mental helath'!$A$2:$T$1001,14,)</f>
        <v>No Change</v>
      </c>
      <c r="I191" t="str">
        <f>VLOOKUP(A191,'Remote work mental helath'!$A$2:$T$1001,16,)</f>
        <v>Satisfied</v>
      </c>
      <c r="J191" t="str">
        <f>VLOOKUP(A191,'Remote work mental helath'!$A$2:$T$1001,13,)</f>
        <v>Yes</v>
      </c>
      <c r="K191">
        <f>VLOOKUP(A191,'Remote work mental helath'!$A$2:$T$1001,17,FALSE)</f>
        <v>2</v>
      </c>
    </row>
    <row r="192" spans="1:11" x14ac:dyDescent="0.3">
      <c r="A192" t="s">
        <v>241</v>
      </c>
      <c r="B192" t="str">
        <f>VLOOKUP(A192,'Remote work mental helath'!$A$2:$T$1001,12,)</f>
        <v>None</v>
      </c>
      <c r="C192" t="str">
        <f>VLOOKUP(A192,'Remote work mental helath'!$A$2:$T$1001,11,)</f>
        <v>Low</v>
      </c>
      <c r="D192">
        <f>VLOOKUP('Mental Helath'!A192,'Remote work mental helath'!$A$2:$T$1001,10,)</f>
        <v>3</v>
      </c>
      <c r="E192" t="str">
        <f>VLOOKUP(A192,'Remote work mental helath'!A192:T1191,19,FALSE)</f>
        <v>Average</v>
      </c>
      <c r="F192" t="str">
        <f>VLOOKUP(A192,'Remote work mental helath'!$A$2:$T$1001,18,)</f>
        <v>Daily</v>
      </c>
      <c r="G192">
        <f>VLOOKUP(A192,'Remote work mental helath'!$A$2:$T$1001,15,FALSE)</f>
        <v>5</v>
      </c>
      <c r="H192" t="str">
        <f>VLOOKUP(A192,'Remote work mental helath'!$A$2:$T$1001,14,)</f>
        <v>Decrease</v>
      </c>
      <c r="I192" t="str">
        <f>VLOOKUP(A192,'Remote work mental helath'!$A$2:$T$1001,16,)</f>
        <v>Satisfied</v>
      </c>
      <c r="J192" t="str">
        <f>VLOOKUP(A192,'Remote work mental helath'!$A$2:$T$1001,13,)</f>
        <v>No</v>
      </c>
      <c r="K192">
        <f>VLOOKUP(A192,'Remote work mental helath'!$A$2:$T$1001,17,FALSE)</f>
        <v>2</v>
      </c>
    </row>
    <row r="193" spans="1:11" x14ac:dyDescent="0.3">
      <c r="A193" t="s">
        <v>242</v>
      </c>
      <c r="B193" t="str">
        <f>VLOOKUP(A193,'Remote work mental helath'!$A$2:$T$1001,12,)</f>
        <v>Anxiety</v>
      </c>
      <c r="C193" t="str">
        <f>VLOOKUP(A193,'Remote work mental helath'!$A$2:$T$1001,11,)</f>
        <v>Medium</v>
      </c>
      <c r="D193">
        <f>VLOOKUP('Mental Helath'!A193,'Remote work mental helath'!$A$2:$T$1001,10,)</f>
        <v>1</v>
      </c>
      <c r="E193" t="str">
        <f>VLOOKUP(A193,'Remote work mental helath'!A193:T1192,19,FALSE)</f>
        <v>Poor</v>
      </c>
      <c r="F193" t="str">
        <f>VLOOKUP(A193,'Remote work mental helath'!$A$2:$T$1001,18,)</f>
        <v>Weekly</v>
      </c>
      <c r="G193">
        <f>VLOOKUP(A193,'Remote work mental helath'!$A$2:$T$1001,15,FALSE)</f>
        <v>4</v>
      </c>
      <c r="H193" t="str">
        <f>VLOOKUP(A193,'Remote work mental helath'!$A$2:$T$1001,14,)</f>
        <v>No Change</v>
      </c>
      <c r="I193" t="str">
        <f>VLOOKUP(A193,'Remote work mental helath'!$A$2:$T$1001,16,)</f>
        <v>Unsatisfied</v>
      </c>
      <c r="J193" t="str">
        <f>VLOOKUP(A193,'Remote work mental helath'!$A$2:$T$1001,13,)</f>
        <v>Yes</v>
      </c>
      <c r="K193">
        <f>VLOOKUP(A193,'Remote work mental helath'!$A$2:$T$1001,17,FALSE)</f>
        <v>3</v>
      </c>
    </row>
    <row r="194" spans="1:11" x14ac:dyDescent="0.3">
      <c r="A194" t="s">
        <v>243</v>
      </c>
      <c r="B194" t="str">
        <f>VLOOKUP(A194,'Remote work mental helath'!$A$2:$T$1001,12,)</f>
        <v>Depression</v>
      </c>
      <c r="C194" t="str">
        <f>VLOOKUP(A194,'Remote work mental helath'!$A$2:$T$1001,11,)</f>
        <v>Medium</v>
      </c>
      <c r="D194">
        <f>VLOOKUP('Mental Helath'!A194,'Remote work mental helath'!$A$2:$T$1001,10,)</f>
        <v>5</v>
      </c>
      <c r="E194" t="str">
        <f>VLOOKUP(A194,'Remote work mental helath'!A194:T1193,19,FALSE)</f>
        <v>Average</v>
      </c>
      <c r="F194" t="str">
        <f>VLOOKUP(A194,'Remote work mental helath'!$A$2:$T$1001,18,)</f>
        <v>Weekly</v>
      </c>
      <c r="G194">
        <f>VLOOKUP(A194,'Remote work mental helath'!$A$2:$T$1001,15,FALSE)</f>
        <v>4</v>
      </c>
      <c r="H194" t="str">
        <f>VLOOKUP(A194,'Remote work mental helath'!$A$2:$T$1001,14,)</f>
        <v>No Change</v>
      </c>
      <c r="I194" t="str">
        <f>VLOOKUP(A194,'Remote work mental helath'!$A$2:$T$1001,16,)</f>
        <v>Unsatisfied</v>
      </c>
      <c r="J194" t="str">
        <f>VLOOKUP(A194,'Remote work mental helath'!$A$2:$T$1001,13,)</f>
        <v>No</v>
      </c>
      <c r="K194">
        <f>VLOOKUP(A194,'Remote work mental helath'!$A$2:$T$1001,17,FALSE)</f>
        <v>2</v>
      </c>
    </row>
    <row r="195" spans="1:11" x14ac:dyDescent="0.3">
      <c r="A195" t="s">
        <v>244</v>
      </c>
      <c r="B195" t="str">
        <f>VLOOKUP(A195,'Remote work mental helath'!$A$2:$T$1001,12,)</f>
        <v>Depression</v>
      </c>
      <c r="C195" t="str">
        <f>VLOOKUP(A195,'Remote work mental helath'!$A$2:$T$1001,11,)</f>
        <v>Medium</v>
      </c>
      <c r="D195">
        <f>VLOOKUP('Mental Helath'!A195,'Remote work mental helath'!$A$2:$T$1001,10,)</f>
        <v>2</v>
      </c>
      <c r="E195" t="str">
        <f>VLOOKUP(A195,'Remote work mental helath'!A195:T1194,19,FALSE)</f>
        <v>Average</v>
      </c>
      <c r="F195" t="str">
        <f>VLOOKUP(A195,'Remote work mental helath'!$A$2:$T$1001,18,)</f>
        <v>Daily</v>
      </c>
      <c r="G195">
        <f>VLOOKUP(A195,'Remote work mental helath'!$A$2:$T$1001,15,FALSE)</f>
        <v>5</v>
      </c>
      <c r="H195" t="str">
        <f>VLOOKUP(A195,'Remote work mental helath'!$A$2:$T$1001,14,)</f>
        <v>Decrease</v>
      </c>
      <c r="I195" t="str">
        <f>VLOOKUP(A195,'Remote work mental helath'!$A$2:$T$1001,16,)</f>
        <v>Neutral</v>
      </c>
      <c r="J195" t="str">
        <f>VLOOKUP(A195,'Remote work mental helath'!$A$2:$T$1001,13,)</f>
        <v>No</v>
      </c>
      <c r="K195">
        <f>VLOOKUP(A195,'Remote work mental helath'!$A$2:$T$1001,17,FALSE)</f>
        <v>1</v>
      </c>
    </row>
    <row r="196" spans="1:11" x14ac:dyDescent="0.3">
      <c r="A196" t="s">
        <v>245</v>
      </c>
      <c r="B196" t="str">
        <f>VLOOKUP(A196,'Remote work mental helath'!$A$2:$T$1001,12,)</f>
        <v>Burnout</v>
      </c>
      <c r="C196" t="str">
        <f>VLOOKUP(A196,'Remote work mental helath'!$A$2:$T$1001,11,)</f>
        <v>Medium</v>
      </c>
      <c r="D196">
        <f>VLOOKUP('Mental Helath'!A196,'Remote work mental helath'!$A$2:$T$1001,10,)</f>
        <v>1</v>
      </c>
      <c r="E196" t="str">
        <f>VLOOKUP(A196,'Remote work mental helath'!A196:T1195,19,FALSE)</f>
        <v>Good</v>
      </c>
      <c r="F196" t="str">
        <f>VLOOKUP(A196,'Remote work mental helath'!$A$2:$T$1001,18,)</f>
        <v>None</v>
      </c>
      <c r="G196">
        <f>VLOOKUP(A196,'Remote work mental helath'!$A$2:$T$1001,15,FALSE)</f>
        <v>4</v>
      </c>
      <c r="H196" t="str">
        <f>VLOOKUP(A196,'Remote work mental helath'!$A$2:$T$1001,14,)</f>
        <v>No Change</v>
      </c>
      <c r="I196" t="str">
        <f>VLOOKUP(A196,'Remote work mental helath'!$A$2:$T$1001,16,)</f>
        <v>Neutral</v>
      </c>
      <c r="J196" t="str">
        <f>VLOOKUP(A196,'Remote work mental helath'!$A$2:$T$1001,13,)</f>
        <v>No</v>
      </c>
      <c r="K196">
        <f>VLOOKUP(A196,'Remote work mental helath'!$A$2:$T$1001,17,FALSE)</f>
        <v>4</v>
      </c>
    </row>
    <row r="197" spans="1:11" x14ac:dyDescent="0.3">
      <c r="A197" t="s">
        <v>246</v>
      </c>
      <c r="B197" t="str">
        <f>VLOOKUP(A197,'Remote work mental helath'!$A$2:$T$1001,12,)</f>
        <v>None</v>
      </c>
      <c r="C197" t="str">
        <f>VLOOKUP(A197,'Remote work mental helath'!$A$2:$T$1001,11,)</f>
        <v>Medium</v>
      </c>
      <c r="D197">
        <f>VLOOKUP('Mental Helath'!A197,'Remote work mental helath'!$A$2:$T$1001,10,)</f>
        <v>2</v>
      </c>
      <c r="E197" t="str">
        <f>VLOOKUP(A197,'Remote work mental helath'!A197:T1196,19,FALSE)</f>
        <v>Poor</v>
      </c>
      <c r="F197" t="str">
        <f>VLOOKUP(A197,'Remote work mental helath'!$A$2:$T$1001,18,)</f>
        <v>None</v>
      </c>
      <c r="G197">
        <f>VLOOKUP(A197,'Remote work mental helath'!$A$2:$T$1001,15,FALSE)</f>
        <v>5</v>
      </c>
      <c r="H197" t="str">
        <f>VLOOKUP(A197,'Remote work mental helath'!$A$2:$T$1001,14,)</f>
        <v>Decrease</v>
      </c>
      <c r="I197" t="str">
        <f>VLOOKUP(A197,'Remote work mental helath'!$A$2:$T$1001,16,)</f>
        <v>Neutral</v>
      </c>
      <c r="J197" t="str">
        <f>VLOOKUP(A197,'Remote work mental helath'!$A$2:$T$1001,13,)</f>
        <v>No</v>
      </c>
      <c r="K197">
        <f>VLOOKUP(A197,'Remote work mental helath'!$A$2:$T$1001,17,FALSE)</f>
        <v>4</v>
      </c>
    </row>
    <row r="198" spans="1:11" x14ac:dyDescent="0.3">
      <c r="A198" t="s">
        <v>247</v>
      </c>
      <c r="B198" t="str">
        <f>VLOOKUP(A198,'Remote work mental helath'!$A$2:$T$1001,12,)</f>
        <v>Anxiety</v>
      </c>
      <c r="C198" t="str">
        <f>VLOOKUP(A198,'Remote work mental helath'!$A$2:$T$1001,11,)</f>
        <v>Low</v>
      </c>
      <c r="D198">
        <f>VLOOKUP('Mental Helath'!A198,'Remote work mental helath'!$A$2:$T$1001,10,)</f>
        <v>1</v>
      </c>
      <c r="E198" t="str">
        <f>VLOOKUP(A198,'Remote work mental helath'!A198:T1197,19,FALSE)</f>
        <v>Good</v>
      </c>
      <c r="F198" t="str">
        <f>VLOOKUP(A198,'Remote work mental helath'!$A$2:$T$1001,18,)</f>
        <v>None</v>
      </c>
      <c r="G198">
        <f>VLOOKUP(A198,'Remote work mental helath'!$A$2:$T$1001,15,FALSE)</f>
        <v>3</v>
      </c>
      <c r="H198" t="str">
        <f>VLOOKUP(A198,'Remote work mental helath'!$A$2:$T$1001,14,)</f>
        <v>Increase</v>
      </c>
      <c r="I198" t="str">
        <f>VLOOKUP(A198,'Remote work mental helath'!$A$2:$T$1001,16,)</f>
        <v>Neutral</v>
      </c>
      <c r="J198" t="str">
        <f>VLOOKUP(A198,'Remote work mental helath'!$A$2:$T$1001,13,)</f>
        <v>Yes</v>
      </c>
      <c r="K198">
        <f>VLOOKUP(A198,'Remote work mental helath'!$A$2:$T$1001,17,FALSE)</f>
        <v>5</v>
      </c>
    </row>
    <row r="199" spans="1:11" x14ac:dyDescent="0.3">
      <c r="A199" t="s">
        <v>248</v>
      </c>
      <c r="B199" t="str">
        <f>VLOOKUP(A199,'Remote work mental helath'!$A$2:$T$1001,12,)</f>
        <v>None</v>
      </c>
      <c r="C199" t="str">
        <f>VLOOKUP(A199,'Remote work mental helath'!$A$2:$T$1001,11,)</f>
        <v>Low</v>
      </c>
      <c r="D199">
        <f>VLOOKUP('Mental Helath'!A199,'Remote work mental helath'!$A$2:$T$1001,10,)</f>
        <v>1</v>
      </c>
      <c r="E199" t="str">
        <f>VLOOKUP(A199,'Remote work mental helath'!A199:T1198,19,FALSE)</f>
        <v>Average</v>
      </c>
      <c r="F199" t="str">
        <f>VLOOKUP(A199,'Remote work mental helath'!$A$2:$T$1001,18,)</f>
        <v>Weekly</v>
      </c>
      <c r="G199">
        <f>VLOOKUP(A199,'Remote work mental helath'!$A$2:$T$1001,15,FALSE)</f>
        <v>1</v>
      </c>
      <c r="H199" t="str">
        <f>VLOOKUP(A199,'Remote work mental helath'!$A$2:$T$1001,14,)</f>
        <v>Decrease</v>
      </c>
      <c r="I199" t="str">
        <f>VLOOKUP(A199,'Remote work mental helath'!$A$2:$T$1001,16,)</f>
        <v>Neutral</v>
      </c>
      <c r="J199" t="str">
        <f>VLOOKUP(A199,'Remote work mental helath'!$A$2:$T$1001,13,)</f>
        <v>Yes</v>
      </c>
      <c r="K199">
        <f>VLOOKUP(A199,'Remote work mental helath'!$A$2:$T$1001,17,FALSE)</f>
        <v>4</v>
      </c>
    </row>
    <row r="200" spans="1:11" x14ac:dyDescent="0.3">
      <c r="A200" t="s">
        <v>249</v>
      </c>
      <c r="B200" t="str">
        <f>VLOOKUP(A200,'Remote work mental helath'!$A$2:$T$1001,12,)</f>
        <v>Burnout</v>
      </c>
      <c r="C200" t="str">
        <f>VLOOKUP(A200,'Remote work mental helath'!$A$2:$T$1001,11,)</f>
        <v>High</v>
      </c>
      <c r="D200">
        <f>VLOOKUP('Mental Helath'!A200,'Remote work mental helath'!$A$2:$T$1001,10,)</f>
        <v>4</v>
      </c>
      <c r="E200" t="str">
        <f>VLOOKUP(A200,'Remote work mental helath'!A200:T1199,19,FALSE)</f>
        <v>Poor</v>
      </c>
      <c r="F200" t="str">
        <f>VLOOKUP(A200,'Remote work mental helath'!$A$2:$T$1001,18,)</f>
        <v>Daily</v>
      </c>
      <c r="G200">
        <f>VLOOKUP(A200,'Remote work mental helath'!$A$2:$T$1001,15,FALSE)</f>
        <v>1</v>
      </c>
      <c r="H200" t="str">
        <f>VLOOKUP(A200,'Remote work mental helath'!$A$2:$T$1001,14,)</f>
        <v>Decrease</v>
      </c>
      <c r="I200" t="str">
        <f>VLOOKUP(A200,'Remote work mental helath'!$A$2:$T$1001,16,)</f>
        <v>Unsatisfied</v>
      </c>
      <c r="J200" t="str">
        <f>VLOOKUP(A200,'Remote work mental helath'!$A$2:$T$1001,13,)</f>
        <v>Yes</v>
      </c>
      <c r="K200">
        <f>VLOOKUP(A200,'Remote work mental helath'!$A$2:$T$1001,17,FALSE)</f>
        <v>3</v>
      </c>
    </row>
    <row r="201" spans="1:11" x14ac:dyDescent="0.3">
      <c r="A201" t="s">
        <v>250</v>
      </c>
      <c r="B201" t="str">
        <f>VLOOKUP(A201,'Remote work mental helath'!$A$2:$T$1001,12,)</f>
        <v>Burnout</v>
      </c>
      <c r="C201" t="str">
        <f>VLOOKUP(A201,'Remote work mental helath'!$A$2:$T$1001,11,)</f>
        <v>High</v>
      </c>
      <c r="D201">
        <f>VLOOKUP('Mental Helath'!A201,'Remote work mental helath'!$A$2:$T$1001,10,)</f>
        <v>3</v>
      </c>
      <c r="E201" t="str">
        <f>VLOOKUP(A201,'Remote work mental helath'!A201:T1200,19,FALSE)</f>
        <v>Average</v>
      </c>
      <c r="F201" t="str">
        <f>VLOOKUP(A201,'Remote work mental helath'!$A$2:$T$1001,18,)</f>
        <v>Daily</v>
      </c>
      <c r="G201">
        <f>VLOOKUP(A201,'Remote work mental helath'!$A$2:$T$1001,15,FALSE)</f>
        <v>2</v>
      </c>
      <c r="H201" t="str">
        <f>VLOOKUP(A201,'Remote work mental helath'!$A$2:$T$1001,14,)</f>
        <v>Decrease</v>
      </c>
      <c r="I201" t="str">
        <f>VLOOKUP(A201,'Remote work mental helath'!$A$2:$T$1001,16,)</f>
        <v>Unsatisfied</v>
      </c>
      <c r="J201" t="str">
        <f>VLOOKUP(A201,'Remote work mental helath'!$A$2:$T$1001,13,)</f>
        <v>No</v>
      </c>
      <c r="K201">
        <f>VLOOKUP(A201,'Remote work mental helath'!$A$2:$T$1001,17,FALSE)</f>
        <v>2</v>
      </c>
    </row>
    <row r="202" spans="1:11" x14ac:dyDescent="0.3">
      <c r="A202" t="s">
        <v>251</v>
      </c>
      <c r="B202" t="str">
        <f>VLOOKUP(A202,'Remote work mental helath'!$A$2:$T$1001,12,)</f>
        <v>Burnout</v>
      </c>
      <c r="C202" t="str">
        <f>VLOOKUP(A202,'Remote work mental helath'!$A$2:$T$1001,11,)</f>
        <v>Medium</v>
      </c>
      <c r="D202">
        <f>VLOOKUP('Mental Helath'!A202,'Remote work mental helath'!$A$2:$T$1001,10,)</f>
        <v>4</v>
      </c>
      <c r="E202" t="str">
        <f>VLOOKUP(A202,'Remote work mental helath'!A202:T1201,19,FALSE)</f>
        <v>Average</v>
      </c>
      <c r="F202" t="str">
        <f>VLOOKUP(A202,'Remote work mental helath'!$A$2:$T$1001,18,)</f>
        <v>Daily</v>
      </c>
      <c r="G202">
        <f>VLOOKUP(A202,'Remote work mental helath'!$A$2:$T$1001,15,FALSE)</f>
        <v>4</v>
      </c>
      <c r="H202" t="str">
        <f>VLOOKUP(A202,'Remote work mental helath'!$A$2:$T$1001,14,)</f>
        <v>Increase</v>
      </c>
      <c r="I202" t="str">
        <f>VLOOKUP(A202,'Remote work mental helath'!$A$2:$T$1001,16,)</f>
        <v>Neutral</v>
      </c>
      <c r="J202" t="str">
        <f>VLOOKUP(A202,'Remote work mental helath'!$A$2:$T$1001,13,)</f>
        <v>No</v>
      </c>
      <c r="K202">
        <f>VLOOKUP(A202,'Remote work mental helath'!$A$2:$T$1001,17,FALSE)</f>
        <v>1</v>
      </c>
    </row>
    <row r="203" spans="1:11" x14ac:dyDescent="0.3">
      <c r="A203" t="s">
        <v>252</v>
      </c>
      <c r="B203" t="str">
        <f>VLOOKUP(A203,'Remote work mental helath'!$A$2:$T$1001,12,)</f>
        <v>Anxiety</v>
      </c>
      <c r="C203" t="str">
        <f>VLOOKUP(A203,'Remote work mental helath'!$A$2:$T$1001,11,)</f>
        <v>Medium</v>
      </c>
      <c r="D203">
        <f>VLOOKUP('Mental Helath'!A203,'Remote work mental helath'!$A$2:$T$1001,10,)</f>
        <v>2</v>
      </c>
      <c r="E203" t="str">
        <f>VLOOKUP(A203,'Remote work mental helath'!A203:T1202,19,FALSE)</f>
        <v>Good</v>
      </c>
      <c r="F203" t="str">
        <f>VLOOKUP(A203,'Remote work mental helath'!$A$2:$T$1001,18,)</f>
        <v>Weekly</v>
      </c>
      <c r="G203">
        <f>VLOOKUP(A203,'Remote work mental helath'!$A$2:$T$1001,15,FALSE)</f>
        <v>2</v>
      </c>
      <c r="H203" t="str">
        <f>VLOOKUP(A203,'Remote work mental helath'!$A$2:$T$1001,14,)</f>
        <v>Decrease</v>
      </c>
      <c r="I203" t="str">
        <f>VLOOKUP(A203,'Remote work mental helath'!$A$2:$T$1001,16,)</f>
        <v>Neutral</v>
      </c>
      <c r="J203" t="str">
        <f>VLOOKUP(A203,'Remote work mental helath'!$A$2:$T$1001,13,)</f>
        <v>No</v>
      </c>
      <c r="K203">
        <f>VLOOKUP(A203,'Remote work mental helath'!$A$2:$T$1001,17,FALSE)</f>
        <v>3</v>
      </c>
    </row>
    <row r="204" spans="1:11" x14ac:dyDescent="0.3">
      <c r="A204" t="s">
        <v>253</v>
      </c>
      <c r="B204" t="str">
        <f>VLOOKUP(A204,'Remote work mental helath'!$A$2:$T$1001,12,)</f>
        <v>Depression</v>
      </c>
      <c r="C204" t="str">
        <f>VLOOKUP(A204,'Remote work mental helath'!$A$2:$T$1001,11,)</f>
        <v>Low</v>
      </c>
      <c r="D204">
        <f>VLOOKUP('Mental Helath'!A204,'Remote work mental helath'!$A$2:$T$1001,10,)</f>
        <v>5</v>
      </c>
      <c r="E204" t="str">
        <f>VLOOKUP(A204,'Remote work mental helath'!A204:T1203,19,FALSE)</f>
        <v>Poor</v>
      </c>
      <c r="F204" t="str">
        <f>VLOOKUP(A204,'Remote work mental helath'!$A$2:$T$1001,18,)</f>
        <v>None</v>
      </c>
      <c r="G204">
        <f>VLOOKUP(A204,'Remote work mental helath'!$A$2:$T$1001,15,FALSE)</f>
        <v>2</v>
      </c>
      <c r="H204" t="str">
        <f>VLOOKUP(A204,'Remote work mental helath'!$A$2:$T$1001,14,)</f>
        <v>Decrease</v>
      </c>
      <c r="I204" t="str">
        <f>VLOOKUP(A204,'Remote work mental helath'!$A$2:$T$1001,16,)</f>
        <v>Satisfied</v>
      </c>
      <c r="J204" t="str">
        <f>VLOOKUP(A204,'Remote work mental helath'!$A$2:$T$1001,13,)</f>
        <v>No</v>
      </c>
      <c r="K204">
        <f>VLOOKUP(A204,'Remote work mental helath'!$A$2:$T$1001,17,FALSE)</f>
        <v>1</v>
      </c>
    </row>
    <row r="205" spans="1:11" x14ac:dyDescent="0.3">
      <c r="A205" t="s">
        <v>254</v>
      </c>
      <c r="B205" t="str">
        <f>VLOOKUP(A205,'Remote work mental helath'!$A$2:$T$1001,12,)</f>
        <v>Burnout</v>
      </c>
      <c r="C205" t="str">
        <f>VLOOKUP(A205,'Remote work mental helath'!$A$2:$T$1001,11,)</f>
        <v>Low</v>
      </c>
      <c r="D205">
        <f>VLOOKUP('Mental Helath'!A205,'Remote work mental helath'!$A$2:$T$1001,10,)</f>
        <v>3</v>
      </c>
      <c r="E205" t="str">
        <f>VLOOKUP(A205,'Remote work mental helath'!A205:T1204,19,FALSE)</f>
        <v>Good</v>
      </c>
      <c r="F205" t="str">
        <f>VLOOKUP(A205,'Remote work mental helath'!$A$2:$T$1001,18,)</f>
        <v>Weekly</v>
      </c>
      <c r="G205">
        <f>VLOOKUP(A205,'Remote work mental helath'!$A$2:$T$1001,15,FALSE)</f>
        <v>3</v>
      </c>
      <c r="H205" t="str">
        <f>VLOOKUP(A205,'Remote work mental helath'!$A$2:$T$1001,14,)</f>
        <v>No Change</v>
      </c>
      <c r="I205" t="str">
        <f>VLOOKUP(A205,'Remote work mental helath'!$A$2:$T$1001,16,)</f>
        <v>Neutral</v>
      </c>
      <c r="J205" t="str">
        <f>VLOOKUP(A205,'Remote work mental helath'!$A$2:$T$1001,13,)</f>
        <v>No</v>
      </c>
      <c r="K205">
        <f>VLOOKUP(A205,'Remote work mental helath'!$A$2:$T$1001,17,FALSE)</f>
        <v>1</v>
      </c>
    </row>
    <row r="206" spans="1:11" x14ac:dyDescent="0.3">
      <c r="A206" t="s">
        <v>255</v>
      </c>
      <c r="B206" t="str">
        <f>VLOOKUP(A206,'Remote work mental helath'!$A$2:$T$1001,12,)</f>
        <v>Burnout</v>
      </c>
      <c r="C206" t="str">
        <f>VLOOKUP(A206,'Remote work mental helath'!$A$2:$T$1001,11,)</f>
        <v>Medium</v>
      </c>
      <c r="D206">
        <f>VLOOKUP('Mental Helath'!A206,'Remote work mental helath'!$A$2:$T$1001,10,)</f>
        <v>5</v>
      </c>
      <c r="E206" t="str">
        <f>VLOOKUP(A206,'Remote work mental helath'!A206:T1205,19,FALSE)</f>
        <v>Good</v>
      </c>
      <c r="F206" t="str">
        <f>VLOOKUP(A206,'Remote work mental helath'!$A$2:$T$1001,18,)</f>
        <v>None</v>
      </c>
      <c r="G206">
        <f>VLOOKUP(A206,'Remote work mental helath'!$A$2:$T$1001,15,FALSE)</f>
        <v>4</v>
      </c>
      <c r="H206" t="str">
        <f>VLOOKUP(A206,'Remote work mental helath'!$A$2:$T$1001,14,)</f>
        <v>No Change</v>
      </c>
      <c r="I206" t="str">
        <f>VLOOKUP(A206,'Remote work mental helath'!$A$2:$T$1001,16,)</f>
        <v>Unsatisfied</v>
      </c>
      <c r="J206" t="str">
        <f>VLOOKUP(A206,'Remote work mental helath'!$A$2:$T$1001,13,)</f>
        <v>No</v>
      </c>
      <c r="K206">
        <f>VLOOKUP(A206,'Remote work mental helath'!$A$2:$T$1001,17,FALSE)</f>
        <v>2</v>
      </c>
    </row>
    <row r="207" spans="1:11" x14ac:dyDescent="0.3">
      <c r="A207" t="s">
        <v>256</v>
      </c>
      <c r="B207" t="str">
        <f>VLOOKUP(A207,'Remote work mental helath'!$A$2:$T$1001,12,)</f>
        <v>Burnout</v>
      </c>
      <c r="C207" t="str">
        <f>VLOOKUP(A207,'Remote work mental helath'!$A$2:$T$1001,11,)</f>
        <v>Low</v>
      </c>
      <c r="D207">
        <f>VLOOKUP('Mental Helath'!A207,'Remote work mental helath'!$A$2:$T$1001,10,)</f>
        <v>5</v>
      </c>
      <c r="E207" t="str">
        <f>VLOOKUP(A207,'Remote work mental helath'!A207:T1206,19,FALSE)</f>
        <v>Poor</v>
      </c>
      <c r="F207" t="str">
        <f>VLOOKUP(A207,'Remote work mental helath'!$A$2:$T$1001,18,)</f>
        <v>Daily</v>
      </c>
      <c r="G207">
        <f>VLOOKUP(A207,'Remote work mental helath'!$A$2:$T$1001,15,FALSE)</f>
        <v>4</v>
      </c>
      <c r="H207" t="str">
        <f>VLOOKUP(A207,'Remote work mental helath'!$A$2:$T$1001,14,)</f>
        <v>Increase</v>
      </c>
      <c r="I207" t="str">
        <f>VLOOKUP(A207,'Remote work mental helath'!$A$2:$T$1001,16,)</f>
        <v>Satisfied</v>
      </c>
      <c r="J207" t="str">
        <f>VLOOKUP(A207,'Remote work mental helath'!$A$2:$T$1001,13,)</f>
        <v>Yes</v>
      </c>
      <c r="K207">
        <f>VLOOKUP(A207,'Remote work mental helath'!$A$2:$T$1001,17,FALSE)</f>
        <v>5</v>
      </c>
    </row>
    <row r="208" spans="1:11" x14ac:dyDescent="0.3">
      <c r="A208" t="s">
        <v>257</v>
      </c>
      <c r="B208" t="str">
        <f>VLOOKUP(A208,'Remote work mental helath'!$A$2:$T$1001,12,)</f>
        <v>Burnout</v>
      </c>
      <c r="C208" t="str">
        <f>VLOOKUP(A208,'Remote work mental helath'!$A$2:$T$1001,11,)</f>
        <v>Low</v>
      </c>
      <c r="D208">
        <f>VLOOKUP('Mental Helath'!A208,'Remote work mental helath'!$A$2:$T$1001,10,)</f>
        <v>3</v>
      </c>
      <c r="E208" t="str">
        <f>VLOOKUP(A208,'Remote work mental helath'!A208:T1207,19,FALSE)</f>
        <v>Good</v>
      </c>
      <c r="F208" t="str">
        <f>VLOOKUP(A208,'Remote work mental helath'!$A$2:$T$1001,18,)</f>
        <v>Daily</v>
      </c>
      <c r="G208">
        <f>VLOOKUP(A208,'Remote work mental helath'!$A$2:$T$1001,15,FALSE)</f>
        <v>2</v>
      </c>
      <c r="H208" t="str">
        <f>VLOOKUP(A208,'Remote work mental helath'!$A$2:$T$1001,14,)</f>
        <v>No Change</v>
      </c>
      <c r="I208" t="str">
        <f>VLOOKUP(A208,'Remote work mental helath'!$A$2:$T$1001,16,)</f>
        <v>Unsatisfied</v>
      </c>
      <c r="J208" t="str">
        <f>VLOOKUP(A208,'Remote work mental helath'!$A$2:$T$1001,13,)</f>
        <v>Yes</v>
      </c>
      <c r="K208">
        <f>VLOOKUP(A208,'Remote work mental helath'!$A$2:$T$1001,17,FALSE)</f>
        <v>5</v>
      </c>
    </row>
    <row r="209" spans="1:11" x14ac:dyDescent="0.3">
      <c r="A209" t="s">
        <v>258</v>
      </c>
      <c r="B209" t="str">
        <f>VLOOKUP(A209,'Remote work mental helath'!$A$2:$T$1001,12,)</f>
        <v>Burnout</v>
      </c>
      <c r="C209" t="str">
        <f>VLOOKUP(A209,'Remote work mental helath'!$A$2:$T$1001,11,)</f>
        <v>Low</v>
      </c>
      <c r="D209">
        <f>VLOOKUP('Mental Helath'!A209,'Remote work mental helath'!$A$2:$T$1001,10,)</f>
        <v>3</v>
      </c>
      <c r="E209" t="str">
        <f>VLOOKUP(A209,'Remote work mental helath'!A209:T1208,19,FALSE)</f>
        <v>Good</v>
      </c>
      <c r="F209" t="str">
        <f>VLOOKUP(A209,'Remote work mental helath'!$A$2:$T$1001,18,)</f>
        <v>Weekly</v>
      </c>
      <c r="G209">
        <f>VLOOKUP(A209,'Remote work mental helath'!$A$2:$T$1001,15,FALSE)</f>
        <v>5</v>
      </c>
      <c r="H209" t="str">
        <f>VLOOKUP(A209,'Remote work mental helath'!$A$2:$T$1001,14,)</f>
        <v>Decrease</v>
      </c>
      <c r="I209" t="str">
        <f>VLOOKUP(A209,'Remote work mental helath'!$A$2:$T$1001,16,)</f>
        <v>Unsatisfied</v>
      </c>
      <c r="J209" t="str">
        <f>VLOOKUP(A209,'Remote work mental helath'!$A$2:$T$1001,13,)</f>
        <v>No</v>
      </c>
      <c r="K209">
        <f>VLOOKUP(A209,'Remote work mental helath'!$A$2:$T$1001,17,FALSE)</f>
        <v>2</v>
      </c>
    </row>
    <row r="210" spans="1:11" x14ac:dyDescent="0.3">
      <c r="A210" t="s">
        <v>259</v>
      </c>
      <c r="B210" t="str">
        <f>VLOOKUP(A210,'Remote work mental helath'!$A$2:$T$1001,12,)</f>
        <v>Anxiety</v>
      </c>
      <c r="C210" t="str">
        <f>VLOOKUP(A210,'Remote work mental helath'!$A$2:$T$1001,11,)</f>
        <v>High</v>
      </c>
      <c r="D210">
        <f>VLOOKUP('Mental Helath'!A210,'Remote work mental helath'!$A$2:$T$1001,10,)</f>
        <v>4</v>
      </c>
      <c r="E210" t="str">
        <f>VLOOKUP(A210,'Remote work mental helath'!A210:T1209,19,FALSE)</f>
        <v>Average</v>
      </c>
      <c r="F210" t="str">
        <f>VLOOKUP(A210,'Remote work mental helath'!$A$2:$T$1001,18,)</f>
        <v>Weekly</v>
      </c>
      <c r="G210">
        <f>VLOOKUP(A210,'Remote work mental helath'!$A$2:$T$1001,15,FALSE)</f>
        <v>1</v>
      </c>
      <c r="H210" t="str">
        <f>VLOOKUP(A210,'Remote work mental helath'!$A$2:$T$1001,14,)</f>
        <v>Decrease</v>
      </c>
      <c r="I210" t="str">
        <f>VLOOKUP(A210,'Remote work mental helath'!$A$2:$T$1001,16,)</f>
        <v>Satisfied</v>
      </c>
      <c r="J210" t="str">
        <f>VLOOKUP(A210,'Remote work mental helath'!$A$2:$T$1001,13,)</f>
        <v>Yes</v>
      </c>
      <c r="K210">
        <f>VLOOKUP(A210,'Remote work mental helath'!$A$2:$T$1001,17,FALSE)</f>
        <v>4</v>
      </c>
    </row>
    <row r="211" spans="1:11" x14ac:dyDescent="0.3">
      <c r="A211" t="s">
        <v>260</v>
      </c>
      <c r="B211" t="str">
        <f>VLOOKUP(A211,'Remote work mental helath'!$A$2:$T$1001,12,)</f>
        <v>Anxiety</v>
      </c>
      <c r="C211" t="str">
        <f>VLOOKUP(A211,'Remote work mental helath'!$A$2:$T$1001,11,)</f>
        <v>Medium</v>
      </c>
      <c r="D211">
        <f>VLOOKUP('Mental Helath'!A211,'Remote work mental helath'!$A$2:$T$1001,10,)</f>
        <v>2</v>
      </c>
      <c r="E211" t="str">
        <f>VLOOKUP(A211,'Remote work mental helath'!A211:T1210,19,FALSE)</f>
        <v>Average</v>
      </c>
      <c r="F211" t="str">
        <f>VLOOKUP(A211,'Remote work mental helath'!$A$2:$T$1001,18,)</f>
        <v>None</v>
      </c>
      <c r="G211">
        <f>VLOOKUP(A211,'Remote work mental helath'!$A$2:$T$1001,15,FALSE)</f>
        <v>3</v>
      </c>
      <c r="H211" t="str">
        <f>VLOOKUP(A211,'Remote work mental helath'!$A$2:$T$1001,14,)</f>
        <v>No Change</v>
      </c>
      <c r="I211" t="str">
        <f>VLOOKUP(A211,'Remote work mental helath'!$A$2:$T$1001,16,)</f>
        <v>Unsatisfied</v>
      </c>
      <c r="J211" t="str">
        <f>VLOOKUP(A211,'Remote work mental helath'!$A$2:$T$1001,13,)</f>
        <v>No</v>
      </c>
      <c r="K211">
        <f>VLOOKUP(A211,'Remote work mental helath'!$A$2:$T$1001,17,FALSE)</f>
        <v>5</v>
      </c>
    </row>
    <row r="212" spans="1:11" x14ac:dyDescent="0.3">
      <c r="A212" t="s">
        <v>261</v>
      </c>
      <c r="B212" t="str">
        <f>VLOOKUP(A212,'Remote work mental helath'!$A$2:$T$1001,12,)</f>
        <v>Anxiety</v>
      </c>
      <c r="C212" t="str">
        <f>VLOOKUP(A212,'Remote work mental helath'!$A$2:$T$1001,11,)</f>
        <v>High</v>
      </c>
      <c r="D212">
        <f>VLOOKUP('Mental Helath'!A212,'Remote work mental helath'!$A$2:$T$1001,10,)</f>
        <v>5</v>
      </c>
      <c r="E212" t="str">
        <f>VLOOKUP(A212,'Remote work mental helath'!A212:T1211,19,FALSE)</f>
        <v>Poor</v>
      </c>
      <c r="F212" t="str">
        <f>VLOOKUP(A212,'Remote work mental helath'!$A$2:$T$1001,18,)</f>
        <v>Daily</v>
      </c>
      <c r="G212">
        <f>VLOOKUP(A212,'Remote work mental helath'!$A$2:$T$1001,15,FALSE)</f>
        <v>1</v>
      </c>
      <c r="H212" t="str">
        <f>VLOOKUP(A212,'Remote work mental helath'!$A$2:$T$1001,14,)</f>
        <v>No Change</v>
      </c>
      <c r="I212" t="str">
        <f>VLOOKUP(A212,'Remote work mental helath'!$A$2:$T$1001,16,)</f>
        <v>Satisfied</v>
      </c>
      <c r="J212" t="str">
        <f>VLOOKUP(A212,'Remote work mental helath'!$A$2:$T$1001,13,)</f>
        <v>Yes</v>
      </c>
      <c r="K212">
        <f>VLOOKUP(A212,'Remote work mental helath'!$A$2:$T$1001,17,FALSE)</f>
        <v>4</v>
      </c>
    </row>
    <row r="213" spans="1:11" x14ac:dyDescent="0.3">
      <c r="A213" t="s">
        <v>262</v>
      </c>
      <c r="B213" t="str">
        <f>VLOOKUP(A213,'Remote work mental helath'!$A$2:$T$1001,12,)</f>
        <v>Burnout</v>
      </c>
      <c r="C213" t="str">
        <f>VLOOKUP(A213,'Remote work mental helath'!$A$2:$T$1001,11,)</f>
        <v>Low</v>
      </c>
      <c r="D213">
        <f>VLOOKUP('Mental Helath'!A213,'Remote work mental helath'!$A$2:$T$1001,10,)</f>
        <v>4</v>
      </c>
      <c r="E213" t="str">
        <f>VLOOKUP(A213,'Remote work mental helath'!A213:T1212,19,FALSE)</f>
        <v>Poor</v>
      </c>
      <c r="F213" t="str">
        <f>VLOOKUP(A213,'Remote work mental helath'!$A$2:$T$1001,18,)</f>
        <v>None</v>
      </c>
      <c r="G213">
        <f>VLOOKUP(A213,'Remote work mental helath'!$A$2:$T$1001,15,FALSE)</f>
        <v>2</v>
      </c>
      <c r="H213" t="str">
        <f>VLOOKUP(A213,'Remote work mental helath'!$A$2:$T$1001,14,)</f>
        <v>No Change</v>
      </c>
      <c r="I213" t="str">
        <f>VLOOKUP(A213,'Remote work mental helath'!$A$2:$T$1001,16,)</f>
        <v>Satisfied</v>
      </c>
      <c r="J213" t="str">
        <f>VLOOKUP(A213,'Remote work mental helath'!$A$2:$T$1001,13,)</f>
        <v>No</v>
      </c>
      <c r="K213">
        <f>VLOOKUP(A213,'Remote work mental helath'!$A$2:$T$1001,17,FALSE)</f>
        <v>4</v>
      </c>
    </row>
    <row r="214" spans="1:11" x14ac:dyDescent="0.3">
      <c r="A214" t="s">
        <v>263</v>
      </c>
      <c r="B214" t="str">
        <f>VLOOKUP(A214,'Remote work mental helath'!$A$2:$T$1001,12,)</f>
        <v>None</v>
      </c>
      <c r="C214" t="str">
        <f>VLOOKUP(A214,'Remote work mental helath'!$A$2:$T$1001,11,)</f>
        <v>High</v>
      </c>
      <c r="D214">
        <f>VLOOKUP('Mental Helath'!A214,'Remote work mental helath'!$A$2:$T$1001,10,)</f>
        <v>1</v>
      </c>
      <c r="E214" t="str">
        <f>VLOOKUP(A214,'Remote work mental helath'!A214:T1213,19,FALSE)</f>
        <v>Good</v>
      </c>
      <c r="F214" t="str">
        <f>VLOOKUP(A214,'Remote work mental helath'!$A$2:$T$1001,18,)</f>
        <v>None</v>
      </c>
      <c r="G214">
        <f>VLOOKUP(A214,'Remote work mental helath'!$A$2:$T$1001,15,FALSE)</f>
        <v>2</v>
      </c>
      <c r="H214" t="str">
        <f>VLOOKUP(A214,'Remote work mental helath'!$A$2:$T$1001,14,)</f>
        <v>No Change</v>
      </c>
      <c r="I214" t="str">
        <f>VLOOKUP(A214,'Remote work mental helath'!$A$2:$T$1001,16,)</f>
        <v>Satisfied</v>
      </c>
      <c r="J214" t="str">
        <f>VLOOKUP(A214,'Remote work mental helath'!$A$2:$T$1001,13,)</f>
        <v>No</v>
      </c>
      <c r="K214">
        <f>VLOOKUP(A214,'Remote work mental helath'!$A$2:$T$1001,17,FALSE)</f>
        <v>4</v>
      </c>
    </row>
    <row r="215" spans="1:11" x14ac:dyDescent="0.3">
      <c r="A215" t="s">
        <v>264</v>
      </c>
      <c r="B215" t="str">
        <f>VLOOKUP(A215,'Remote work mental helath'!$A$2:$T$1001,12,)</f>
        <v>Anxiety</v>
      </c>
      <c r="C215" t="str">
        <f>VLOOKUP(A215,'Remote work mental helath'!$A$2:$T$1001,11,)</f>
        <v>Low</v>
      </c>
      <c r="D215">
        <f>VLOOKUP('Mental Helath'!A215,'Remote work mental helath'!$A$2:$T$1001,10,)</f>
        <v>1</v>
      </c>
      <c r="E215" t="str">
        <f>VLOOKUP(A215,'Remote work mental helath'!A215:T1214,19,FALSE)</f>
        <v>Good</v>
      </c>
      <c r="F215" t="str">
        <f>VLOOKUP(A215,'Remote work mental helath'!$A$2:$T$1001,18,)</f>
        <v>Weekly</v>
      </c>
      <c r="G215">
        <f>VLOOKUP(A215,'Remote work mental helath'!$A$2:$T$1001,15,FALSE)</f>
        <v>4</v>
      </c>
      <c r="H215" t="str">
        <f>VLOOKUP(A215,'Remote work mental helath'!$A$2:$T$1001,14,)</f>
        <v>Decrease</v>
      </c>
      <c r="I215" t="str">
        <f>VLOOKUP(A215,'Remote work mental helath'!$A$2:$T$1001,16,)</f>
        <v>Satisfied</v>
      </c>
      <c r="J215" t="str">
        <f>VLOOKUP(A215,'Remote work mental helath'!$A$2:$T$1001,13,)</f>
        <v>Yes</v>
      </c>
      <c r="K215">
        <f>VLOOKUP(A215,'Remote work mental helath'!$A$2:$T$1001,17,FALSE)</f>
        <v>5</v>
      </c>
    </row>
    <row r="216" spans="1:11" x14ac:dyDescent="0.3">
      <c r="A216" t="s">
        <v>265</v>
      </c>
      <c r="B216" t="str">
        <f>VLOOKUP(A216,'Remote work mental helath'!$A$2:$T$1001,12,)</f>
        <v>Depression</v>
      </c>
      <c r="C216" t="str">
        <f>VLOOKUP(A216,'Remote work mental helath'!$A$2:$T$1001,11,)</f>
        <v>Low</v>
      </c>
      <c r="D216">
        <f>VLOOKUP('Mental Helath'!A216,'Remote work mental helath'!$A$2:$T$1001,10,)</f>
        <v>1</v>
      </c>
      <c r="E216" t="str">
        <f>VLOOKUP(A216,'Remote work mental helath'!A216:T1215,19,FALSE)</f>
        <v>Average</v>
      </c>
      <c r="F216" t="str">
        <f>VLOOKUP(A216,'Remote work mental helath'!$A$2:$T$1001,18,)</f>
        <v>Daily</v>
      </c>
      <c r="G216">
        <f>VLOOKUP(A216,'Remote work mental helath'!$A$2:$T$1001,15,FALSE)</f>
        <v>3</v>
      </c>
      <c r="H216" t="str">
        <f>VLOOKUP(A216,'Remote work mental helath'!$A$2:$T$1001,14,)</f>
        <v>Increase</v>
      </c>
      <c r="I216" t="str">
        <f>VLOOKUP(A216,'Remote work mental helath'!$A$2:$T$1001,16,)</f>
        <v>Neutral</v>
      </c>
      <c r="J216" t="str">
        <f>VLOOKUP(A216,'Remote work mental helath'!$A$2:$T$1001,13,)</f>
        <v>No</v>
      </c>
      <c r="K216">
        <f>VLOOKUP(A216,'Remote work mental helath'!$A$2:$T$1001,17,FALSE)</f>
        <v>4</v>
      </c>
    </row>
    <row r="217" spans="1:11" x14ac:dyDescent="0.3">
      <c r="A217" t="s">
        <v>266</v>
      </c>
      <c r="B217" t="str">
        <f>VLOOKUP(A217,'Remote work mental helath'!$A$2:$T$1001,12,)</f>
        <v>Burnout</v>
      </c>
      <c r="C217" t="str">
        <f>VLOOKUP(A217,'Remote work mental helath'!$A$2:$T$1001,11,)</f>
        <v>Medium</v>
      </c>
      <c r="D217">
        <f>VLOOKUP('Mental Helath'!A217,'Remote work mental helath'!$A$2:$T$1001,10,)</f>
        <v>2</v>
      </c>
      <c r="E217" t="str">
        <f>VLOOKUP(A217,'Remote work mental helath'!A217:T1216,19,FALSE)</f>
        <v>Good</v>
      </c>
      <c r="F217" t="str">
        <f>VLOOKUP(A217,'Remote work mental helath'!$A$2:$T$1001,18,)</f>
        <v>None</v>
      </c>
      <c r="G217">
        <f>VLOOKUP(A217,'Remote work mental helath'!$A$2:$T$1001,15,FALSE)</f>
        <v>1</v>
      </c>
      <c r="H217" t="str">
        <f>VLOOKUP(A217,'Remote work mental helath'!$A$2:$T$1001,14,)</f>
        <v>Decrease</v>
      </c>
      <c r="I217" t="str">
        <f>VLOOKUP(A217,'Remote work mental helath'!$A$2:$T$1001,16,)</f>
        <v>Neutral</v>
      </c>
      <c r="J217" t="str">
        <f>VLOOKUP(A217,'Remote work mental helath'!$A$2:$T$1001,13,)</f>
        <v>No</v>
      </c>
      <c r="K217">
        <f>VLOOKUP(A217,'Remote work mental helath'!$A$2:$T$1001,17,FALSE)</f>
        <v>4</v>
      </c>
    </row>
    <row r="218" spans="1:11" x14ac:dyDescent="0.3">
      <c r="A218" t="s">
        <v>267</v>
      </c>
      <c r="B218" t="str">
        <f>VLOOKUP(A218,'Remote work mental helath'!$A$2:$T$1001,12,)</f>
        <v>Depression</v>
      </c>
      <c r="C218" t="str">
        <f>VLOOKUP(A218,'Remote work mental helath'!$A$2:$T$1001,11,)</f>
        <v>Medium</v>
      </c>
      <c r="D218">
        <f>VLOOKUP('Mental Helath'!A218,'Remote work mental helath'!$A$2:$T$1001,10,)</f>
        <v>3</v>
      </c>
      <c r="E218" t="str">
        <f>VLOOKUP(A218,'Remote work mental helath'!A218:T1217,19,FALSE)</f>
        <v>Poor</v>
      </c>
      <c r="F218" t="str">
        <f>VLOOKUP(A218,'Remote work mental helath'!$A$2:$T$1001,18,)</f>
        <v>None</v>
      </c>
      <c r="G218">
        <f>VLOOKUP(A218,'Remote work mental helath'!$A$2:$T$1001,15,FALSE)</f>
        <v>4</v>
      </c>
      <c r="H218" t="str">
        <f>VLOOKUP(A218,'Remote work mental helath'!$A$2:$T$1001,14,)</f>
        <v>Increase</v>
      </c>
      <c r="I218" t="str">
        <f>VLOOKUP(A218,'Remote work mental helath'!$A$2:$T$1001,16,)</f>
        <v>Satisfied</v>
      </c>
      <c r="J218" t="str">
        <f>VLOOKUP(A218,'Remote work mental helath'!$A$2:$T$1001,13,)</f>
        <v>No</v>
      </c>
      <c r="K218">
        <f>VLOOKUP(A218,'Remote work mental helath'!$A$2:$T$1001,17,FALSE)</f>
        <v>4</v>
      </c>
    </row>
    <row r="219" spans="1:11" x14ac:dyDescent="0.3">
      <c r="A219" t="s">
        <v>268</v>
      </c>
      <c r="B219" t="str">
        <f>VLOOKUP(A219,'Remote work mental helath'!$A$2:$T$1001,12,)</f>
        <v>Anxiety</v>
      </c>
      <c r="C219" t="str">
        <f>VLOOKUP(A219,'Remote work mental helath'!$A$2:$T$1001,11,)</f>
        <v>Low</v>
      </c>
      <c r="D219">
        <f>VLOOKUP('Mental Helath'!A219,'Remote work mental helath'!$A$2:$T$1001,10,)</f>
        <v>2</v>
      </c>
      <c r="E219" t="str">
        <f>VLOOKUP(A219,'Remote work mental helath'!A219:T1218,19,FALSE)</f>
        <v>Average</v>
      </c>
      <c r="F219" t="str">
        <f>VLOOKUP(A219,'Remote work mental helath'!$A$2:$T$1001,18,)</f>
        <v>Daily</v>
      </c>
      <c r="G219">
        <f>VLOOKUP(A219,'Remote work mental helath'!$A$2:$T$1001,15,FALSE)</f>
        <v>2</v>
      </c>
      <c r="H219" t="str">
        <f>VLOOKUP(A219,'Remote work mental helath'!$A$2:$T$1001,14,)</f>
        <v>Increase</v>
      </c>
      <c r="I219" t="str">
        <f>VLOOKUP(A219,'Remote work mental helath'!$A$2:$T$1001,16,)</f>
        <v>Neutral</v>
      </c>
      <c r="J219" t="str">
        <f>VLOOKUP(A219,'Remote work mental helath'!$A$2:$T$1001,13,)</f>
        <v>Yes</v>
      </c>
      <c r="K219">
        <f>VLOOKUP(A219,'Remote work mental helath'!$A$2:$T$1001,17,FALSE)</f>
        <v>2</v>
      </c>
    </row>
    <row r="220" spans="1:11" x14ac:dyDescent="0.3">
      <c r="A220" t="s">
        <v>269</v>
      </c>
      <c r="B220" t="str">
        <f>VLOOKUP(A220,'Remote work mental helath'!$A$2:$T$1001,12,)</f>
        <v>Anxiety</v>
      </c>
      <c r="C220" t="str">
        <f>VLOOKUP(A220,'Remote work mental helath'!$A$2:$T$1001,11,)</f>
        <v>Low</v>
      </c>
      <c r="D220">
        <f>VLOOKUP('Mental Helath'!A220,'Remote work mental helath'!$A$2:$T$1001,10,)</f>
        <v>3</v>
      </c>
      <c r="E220" t="str">
        <f>VLOOKUP(A220,'Remote work mental helath'!A220:T1219,19,FALSE)</f>
        <v>Average</v>
      </c>
      <c r="F220" t="str">
        <f>VLOOKUP(A220,'Remote work mental helath'!$A$2:$T$1001,18,)</f>
        <v>Weekly</v>
      </c>
      <c r="G220">
        <f>VLOOKUP(A220,'Remote work mental helath'!$A$2:$T$1001,15,FALSE)</f>
        <v>1</v>
      </c>
      <c r="H220" t="str">
        <f>VLOOKUP(A220,'Remote work mental helath'!$A$2:$T$1001,14,)</f>
        <v>No Change</v>
      </c>
      <c r="I220" t="str">
        <f>VLOOKUP(A220,'Remote work mental helath'!$A$2:$T$1001,16,)</f>
        <v>Satisfied</v>
      </c>
      <c r="J220" t="str">
        <f>VLOOKUP(A220,'Remote work mental helath'!$A$2:$T$1001,13,)</f>
        <v>No</v>
      </c>
      <c r="K220">
        <f>VLOOKUP(A220,'Remote work mental helath'!$A$2:$T$1001,17,FALSE)</f>
        <v>4</v>
      </c>
    </row>
    <row r="221" spans="1:11" x14ac:dyDescent="0.3">
      <c r="A221" t="s">
        <v>270</v>
      </c>
      <c r="B221" t="str">
        <f>VLOOKUP(A221,'Remote work mental helath'!$A$2:$T$1001,12,)</f>
        <v>Burnout</v>
      </c>
      <c r="C221" t="str">
        <f>VLOOKUP(A221,'Remote work mental helath'!$A$2:$T$1001,11,)</f>
        <v>Low</v>
      </c>
      <c r="D221">
        <f>VLOOKUP('Mental Helath'!A221,'Remote work mental helath'!$A$2:$T$1001,10,)</f>
        <v>4</v>
      </c>
      <c r="E221" t="str">
        <f>VLOOKUP(A221,'Remote work mental helath'!A221:T1220,19,FALSE)</f>
        <v>Good</v>
      </c>
      <c r="F221" t="str">
        <f>VLOOKUP(A221,'Remote work mental helath'!$A$2:$T$1001,18,)</f>
        <v>Weekly</v>
      </c>
      <c r="G221">
        <f>VLOOKUP(A221,'Remote work mental helath'!$A$2:$T$1001,15,FALSE)</f>
        <v>2</v>
      </c>
      <c r="H221" t="str">
        <f>VLOOKUP(A221,'Remote work mental helath'!$A$2:$T$1001,14,)</f>
        <v>No Change</v>
      </c>
      <c r="I221" t="str">
        <f>VLOOKUP(A221,'Remote work mental helath'!$A$2:$T$1001,16,)</f>
        <v>Unsatisfied</v>
      </c>
      <c r="J221" t="str">
        <f>VLOOKUP(A221,'Remote work mental helath'!$A$2:$T$1001,13,)</f>
        <v>No</v>
      </c>
      <c r="K221">
        <f>VLOOKUP(A221,'Remote work mental helath'!$A$2:$T$1001,17,FALSE)</f>
        <v>1</v>
      </c>
    </row>
    <row r="222" spans="1:11" x14ac:dyDescent="0.3">
      <c r="A222" t="s">
        <v>271</v>
      </c>
      <c r="B222" t="str">
        <f>VLOOKUP(A222,'Remote work mental helath'!$A$2:$T$1001,12,)</f>
        <v>None</v>
      </c>
      <c r="C222" t="str">
        <f>VLOOKUP(A222,'Remote work mental helath'!$A$2:$T$1001,11,)</f>
        <v>Medium</v>
      </c>
      <c r="D222">
        <f>VLOOKUP('Mental Helath'!A222,'Remote work mental helath'!$A$2:$T$1001,10,)</f>
        <v>5</v>
      </c>
      <c r="E222" t="str">
        <f>VLOOKUP(A222,'Remote work mental helath'!A222:T1221,19,FALSE)</f>
        <v>Good</v>
      </c>
      <c r="F222" t="str">
        <f>VLOOKUP(A222,'Remote work mental helath'!$A$2:$T$1001,18,)</f>
        <v>None</v>
      </c>
      <c r="G222">
        <f>VLOOKUP(A222,'Remote work mental helath'!$A$2:$T$1001,15,FALSE)</f>
        <v>1</v>
      </c>
      <c r="H222" t="str">
        <f>VLOOKUP(A222,'Remote work mental helath'!$A$2:$T$1001,14,)</f>
        <v>Decrease</v>
      </c>
      <c r="I222" t="str">
        <f>VLOOKUP(A222,'Remote work mental helath'!$A$2:$T$1001,16,)</f>
        <v>Satisfied</v>
      </c>
      <c r="J222" t="str">
        <f>VLOOKUP(A222,'Remote work mental helath'!$A$2:$T$1001,13,)</f>
        <v>No</v>
      </c>
      <c r="K222">
        <f>VLOOKUP(A222,'Remote work mental helath'!$A$2:$T$1001,17,FALSE)</f>
        <v>5</v>
      </c>
    </row>
    <row r="223" spans="1:11" x14ac:dyDescent="0.3">
      <c r="A223" t="s">
        <v>272</v>
      </c>
      <c r="B223" t="str">
        <f>VLOOKUP(A223,'Remote work mental helath'!$A$2:$T$1001,12,)</f>
        <v>None</v>
      </c>
      <c r="C223" t="str">
        <f>VLOOKUP(A223,'Remote work mental helath'!$A$2:$T$1001,11,)</f>
        <v>High</v>
      </c>
      <c r="D223">
        <f>VLOOKUP('Mental Helath'!A223,'Remote work mental helath'!$A$2:$T$1001,10,)</f>
        <v>4</v>
      </c>
      <c r="E223" t="str">
        <f>VLOOKUP(A223,'Remote work mental helath'!A223:T1222,19,FALSE)</f>
        <v>Average</v>
      </c>
      <c r="F223" t="str">
        <f>VLOOKUP(A223,'Remote work mental helath'!$A$2:$T$1001,18,)</f>
        <v>None</v>
      </c>
      <c r="G223">
        <f>VLOOKUP(A223,'Remote work mental helath'!$A$2:$T$1001,15,FALSE)</f>
        <v>3</v>
      </c>
      <c r="H223" t="str">
        <f>VLOOKUP(A223,'Remote work mental helath'!$A$2:$T$1001,14,)</f>
        <v>Increase</v>
      </c>
      <c r="I223" t="str">
        <f>VLOOKUP(A223,'Remote work mental helath'!$A$2:$T$1001,16,)</f>
        <v>Neutral</v>
      </c>
      <c r="J223" t="str">
        <f>VLOOKUP(A223,'Remote work mental helath'!$A$2:$T$1001,13,)</f>
        <v>No</v>
      </c>
      <c r="K223">
        <f>VLOOKUP(A223,'Remote work mental helath'!$A$2:$T$1001,17,FALSE)</f>
        <v>5</v>
      </c>
    </row>
    <row r="224" spans="1:11" x14ac:dyDescent="0.3">
      <c r="A224" t="s">
        <v>273</v>
      </c>
      <c r="B224" t="str">
        <f>VLOOKUP(A224,'Remote work mental helath'!$A$2:$T$1001,12,)</f>
        <v>Anxiety</v>
      </c>
      <c r="C224" t="str">
        <f>VLOOKUP(A224,'Remote work mental helath'!$A$2:$T$1001,11,)</f>
        <v>High</v>
      </c>
      <c r="D224">
        <f>VLOOKUP('Mental Helath'!A224,'Remote work mental helath'!$A$2:$T$1001,10,)</f>
        <v>3</v>
      </c>
      <c r="E224" t="str">
        <f>VLOOKUP(A224,'Remote work mental helath'!A224:T1223,19,FALSE)</f>
        <v>Good</v>
      </c>
      <c r="F224" t="str">
        <f>VLOOKUP(A224,'Remote work mental helath'!$A$2:$T$1001,18,)</f>
        <v>Weekly</v>
      </c>
      <c r="G224">
        <f>VLOOKUP(A224,'Remote work mental helath'!$A$2:$T$1001,15,FALSE)</f>
        <v>5</v>
      </c>
      <c r="H224" t="str">
        <f>VLOOKUP(A224,'Remote work mental helath'!$A$2:$T$1001,14,)</f>
        <v>No Change</v>
      </c>
      <c r="I224" t="str">
        <f>VLOOKUP(A224,'Remote work mental helath'!$A$2:$T$1001,16,)</f>
        <v>Unsatisfied</v>
      </c>
      <c r="J224" t="str">
        <f>VLOOKUP(A224,'Remote work mental helath'!$A$2:$T$1001,13,)</f>
        <v>Yes</v>
      </c>
      <c r="K224">
        <f>VLOOKUP(A224,'Remote work mental helath'!$A$2:$T$1001,17,FALSE)</f>
        <v>2</v>
      </c>
    </row>
    <row r="225" spans="1:11" x14ac:dyDescent="0.3">
      <c r="A225" t="s">
        <v>274</v>
      </c>
      <c r="B225" t="str">
        <f>VLOOKUP(A225,'Remote work mental helath'!$A$2:$T$1001,12,)</f>
        <v>Anxiety</v>
      </c>
      <c r="C225" t="str">
        <f>VLOOKUP(A225,'Remote work mental helath'!$A$2:$T$1001,11,)</f>
        <v>High</v>
      </c>
      <c r="D225">
        <f>VLOOKUP('Mental Helath'!A225,'Remote work mental helath'!$A$2:$T$1001,10,)</f>
        <v>3</v>
      </c>
      <c r="E225" t="str">
        <f>VLOOKUP(A225,'Remote work mental helath'!A225:T1224,19,FALSE)</f>
        <v>Average</v>
      </c>
      <c r="F225" t="str">
        <f>VLOOKUP(A225,'Remote work mental helath'!$A$2:$T$1001,18,)</f>
        <v>None</v>
      </c>
      <c r="G225">
        <f>VLOOKUP(A225,'Remote work mental helath'!$A$2:$T$1001,15,FALSE)</f>
        <v>4</v>
      </c>
      <c r="H225" t="str">
        <f>VLOOKUP(A225,'Remote work mental helath'!$A$2:$T$1001,14,)</f>
        <v>Decrease</v>
      </c>
      <c r="I225" t="str">
        <f>VLOOKUP(A225,'Remote work mental helath'!$A$2:$T$1001,16,)</f>
        <v>Satisfied</v>
      </c>
      <c r="J225" t="str">
        <f>VLOOKUP(A225,'Remote work mental helath'!$A$2:$T$1001,13,)</f>
        <v>Yes</v>
      </c>
      <c r="K225">
        <f>VLOOKUP(A225,'Remote work mental helath'!$A$2:$T$1001,17,FALSE)</f>
        <v>1</v>
      </c>
    </row>
    <row r="226" spans="1:11" x14ac:dyDescent="0.3">
      <c r="A226" t="s">
        <v>275</v>
      </c>
      <c r="B226" t="str">
        <f>VLOOKUP(A226,'Remote work mental helath'!$A$2:$T$1001,12,)</f>
        <v>Anxiety</v>
      </c>
      <c r="C226" t="str">
        <f>VLOOKUP(A226,'Remote work mental helath'!$A$2:$T$1001,11,)</f>
        <v>Low</v>
      </c>
      <c r="D226">
        <f>VLOOKUP('Mental Helath'!A226,'Remote work mental helath'!$A$2:$T$1001,10,)</f>
        <v>1</v>
      </c>
      <c r="E226" t="str">
        <f>VLOOKUP(A226,'Remote work mental helath'!A226:T1225,19,FALSE)</f>
        <v>Average</v>
      </c>
      <c r="F226" t="str">
        <f>VLOOKUP(A226,'Remote work mental helath'!$A$2:$T$1001,18,)</f>
        <v>Daily</v>
      </c>
      <c r="G226">
        <f>VLOOKUP(A226,'Remote work mental helath'!$A$2:$T$1001,15,FALSE)</f>
        <v>2</v>
      </c>
      <c r="H226" t="str">
        <f>VLOOKUP(A226,'Remote work mental helath'!$A$2:$T$1001,14,)</f>
        <v>Increase</v>
      </c>
      <c r="I226" t="str">
        <f>VLOOKUP(A226,'Remote work mental helath'!$A$2:$T$1001,16,)</f>
        <v>Unsatisfied</v>
      </c>
      <c r="J226" t="str">
        <f>VLOOKUP(A226,'Remote work mental helath'!$A$2:$T$1001,13,)</f>
        <v>No</v>
      </c>
      <c r="K226">
        <f>VLOOKUP(A226,'Remote work mental helath'!$A$2:$T$1001,17,FALSE)</f>
        <v>2</v>
      </c>
    </row>
    <row r="227" spans="1:11" x14ac:dyDescent="0.3">
      <c r="A227" t="s">
        <v>276</v>
      </c>
      <c r="B227" t="str">
        <f>VLOOKUP(A227,'Remote work mental helath'!$A$2:$T$1001,12,)</f>
        <v>None</v>
      </c>
      <c r="C227" t="str">
        <f>VLOOKUP(A227,'Remote work mental helath'!$A$2:$T$1001,11,)</f>
        <v>Low</v>
      </c>
      <c r="D227">
        <f>VLOOKUP('Mental Helath'!A227,'Remote work mental helath'!$A$2:$T$1001,10,)</f>
        <v>1</v>
      </c>
      <c r="E227" t="str">
        <f>VLOOKUP(A227,'Remote work mental helath'!A227:T1226,19,FALSE)</f>
        <v>Good</v>
      </c>
      <c r="F227" t="str">
        <f>VLOOKUP(A227,'Remote work mental helath'!$A$2:$T$1001,18,)</f>
        <v>Weekly</v>
      </c>
      <c r="G227">
        <f>VLOOKUP(A227,'Remote work mental helath'!$A$2:$T$1001,15,FALSE)</f>
        <v>3</v>
      </c>
      <c r="H227" t="str">
        <f>VLOOKUP(A227,'Remote work mental helath'!$A$2:$T$1001,14,)</f>
        <v>Increase</v>
      </c>
      <c r="I227" t="str">
        <f>VLOOKUP(A227,'Remote work mental helath'!$A$2:$T$1001,16,)</f>
        <v>Neutral</v>
      </c>
      <c r="J227" t="str">
        <f>VLOOKUP(A227,'Remote work mental helath'!$A$2:$T$1001,13,)</f>
        <v>Yes</v>
      </c>
      <c r="K227">
        <f>VLOOKUP(A227,'Remote work mental helath'!$A$2:$T$1001,17,FALSE)</f>
        <v>1</v>
      </c>
    </row>
    <row r="228" spans="1:11" x14ac:dyDescent="0.3">
      <c r="A228" t="s">
        <v>277</v>
      </c>
      <c r="B228" t="str">
        <f>VLOOKUP(A228,'Remote work mental helath'!$A$2:$T$1001,12,)</f>
        <v>None</v>
      </c>
      <c r="C228" t="str">
        <f>VLOOKUP(A228,'Remote work mental helath'!$A$2:$T$1001,11,)</f>
        <v>Medium</v>
      </c>
      <c r="D228">
        <f>VLOOKUP('Mental Helath'!A228,'Remote work mental helath'!$A$2:$T$1001,10,)</f>
        <v>5</v>
      </c>
      <c r="E228" t="str">
        <f>VLOOKUP(A228,'Remote work mental helath'!A228:T1227,19,FALSE)</f>
        <v>Average</v>
      </c>
      <c r="F228" t="str">
        <f>VLOOKUP(A228,'Remote work mental helath'!$A$2:$T$1001,18,)</f>
        <v>Weekly</v>
      </c>
      <c r="G228">
        <f>VLOOKUP(A228,'Remote work mental helath'!$A$2:$T$1001,15,FALSE)</f>
        <v>4</v>
      </c>
      <c r="H228" t="str">
        <f>VLOOKUP(A228,'Remote work mental helath'!$A$2:$T$1001,14,)</f>
        <v>Increase</v>
      </c>
      <c r="I228" t="str">
        <f>VLOOKUP(A228,'Remote work mental helath'!$A$2:$T$1001,16,)</f>
        <v>Satisfied</v>
      </c>
      <c r="J228" t="str">
        <f>VLOOKUP(A228,'Remote work mental helath'!$A$2:$T$1001,13,)</f>
        <v>Yes</v>
      </c>
      <c r="K228">
        <f>VLOOKUP(A228,'Remote work mental helath'!$A$2:$T$1001,17,FALSE)</f>
        <v>4</v>
      </c>
    </row>
    <row r="229" spans="1:11" x14ac:dyDescent="0.3">
      <c r="A229" t="s">
        <v>278</v>
      </c>
      <c r="B229" t="str">
        <f>VLOOKUP(A229,'Remote work mental helath'!$A$2:$T$1001,12,)</f>
        <v>Depression</v>
      </c>
      <c r="C229" t="str">
        <f>VLOOKUP(A229,'Remote work mental helath'!$A$2:$T$1001,11,)</f>
        <v>Medium</v>
      </c>
      <c r="D229">
        <f>VLOOKUP('Mental Helath'!A229,'Remote work mental helath'!$A$2:$T$1001,10,)</f>
        <v>2</v>
      </c>
      <c r="E229" t="str">
        <f>VLOOKUP(A229,'Remote work mental helath'!A229:T1228,19,FALSE)</f>
        <v>Poor</v>
      </c>
      <c r="F229" t="str">
        <f>VLOOKUP(A229,'Remote work mental helath'!$A$2:$T$1001,18,)</f>
        <v>Weekly</v>
      </c>
      <c r="G229">
        <f>VLOOKUP(A229,'Remote work mental helath'!$A$2:$T$1001,15,FALSE)</f>
        <v>3</v>
      </c>
      <c r="H229" t="str">
        <f>VLOOKUP(A229,'Remote work mental helath'!$A$2:$T$1001,14,)</f>
        <v>Increase</v>
      </c>
      <c r="I229" t="str">
        <f>VLOOKUP(A229,'Remote work mental helath'!$A$2:$T$1001,16,)</f>
        <v>Satisfied</v>
      </c>
      <c r="J229" t="str">
        <f>VLOOKUP(A229,'Remote work mental helath'!$A$2:$T$1001,13,)</f>
        <v>Yes</v>
      </c>
      <c r="K229">
        <f>VLOOKUP(A229,'Remote work mental helath'!$A$2:$T$1001,17,FALSE)</f>
        <v>3</v>
      </c>
    </row>
    <row r="230" spans="1:11" x14ac:dyDescent="0.3">
      <c r="A230" t="s">
        <v>279</v>
      </c>
      <c r="B230" t="str">
        <f>VLOOKUP(A230,'Remote work mental helath'!$A$2:$T$1001,12,)</f>
        <v>Burnout</v>
      </c>
      <c r="C230" t="str">
        <f>VLOOKUP(A230,'Remote work mental helath'!$A$2:$T$1001,11,)</f>
        <v>Medium</v>
      </c>
      <c r="D230">
        <f>VLOOKUP('Mental Helath'!A230,'Remote work mental helath'!$A$2:$T$1001,10,)</f>
        <v>3</v>
      </c>
      <c r="E230" t="str">
        <f>VLOOKUP(A230,'Remote work mental helath'!A230:T1229,19,FALSE)</f>
        <v>Good</v>
      </c>
      <c r="F230" t="str">
        <f>VLOOKUP(A230,'Remote work mental helath'!$A$2:$T$1001,18,)</f>
        <v>Weekly</v>
      </c>
      <c r="G230">
        <f>VLOOKUP(A230,'Remote work mental helath'!$A$2:$T$1001,15,FALSE)</f>
        <v>3</v>
      </c>
      <c r="H230" t="str">
        <f>VLOOKUP(A230,'Remote work mental helath'!$A$2:$T$1001,14,)</f>
        <v>Decrease</v>
      </c>
      <c r="I230" t="str">
        <f>VLOOKUP(A230,'Remote work mental helath'!$A$2:$T$1001,16,)</f>
        <v>Neutral</v>
      </c>
      <c r="J230" t="str">
        <f>VLOOKUP(A230,'Remote work mental helath'!$A$2:$T$1001,13,)</f>
        <v>No</v>
      </c>
      <c r="K230">
        <f>VLOOKUP(A230,'Remote work mental helath'!$A$2:$T$1001,17,FALSE)</f>
        <v>5</v>
      </c>
    </row>
    <row r="231" spans="1:11" x14ac:dyDescent="0.3">
      <c r="A231" t="s">
        <v>280</v>
      </c>
      <c r="B231" t="str">
        <f>VLOOKUP(A231,'Remote work mental helath'!$A$2:$T$1001,12,)</f>
        <v>Burnout</v>
      </c>
      <c r="C231" t="str">
        <f>VLOOKUP(A231,'Remote work mental helath'!$A$2:$T$1001,11,)</f>
        <v>Low</v>
      </c>
      <c r="D231">
        <f>VLOOKUP('Mental Helath'!A231,'Remote work mental helath'!$A$2:$T$1001,10,)</f>
        <v>2</v>
      </c>
      <c r="E231" t="str">
        <f>VLOOKUP(A231,'Remote work mental helath'!A231:T1230,19,FALSE)</f>
        <v>Good</v>
      </c>
      <c r="F231" t="str">
        <f>VLOOKUP(A231,'Remote work mental helath'!$A$2:$T$1001,18,)</f>
        <v>Weekly</v>
      </c>
      <c r="G231">
        <f>VLOOKUP(A231,'Remote work mental helath'!$A$2:$T$1001,15,FALSE)</f>
        <v>3</v>
      </c>
      <c r="H231" t="str">
        <f>VLOOKUP(A231,'Remote work mental helath'!$A$2:$T$1001,14,)</f>
        <v>Decrease</v>
      </c>
      <c r="I231" t="str">
        <f>VLOOKUP(A231,'Remote work mental helath'!$A$2:$T$1001,16,)</f>
        <v>Satisfied</v>
      </c>
      <c r="J231" t="str">
        <f>VLOOKUP(A231,'Remote work mental helath'!$A$2:$T$1001,13,)</f>
        <v>Yes</v>
      </c>
      <c r="K231">
        <f>VLOOKUP(A231,'Remote work mental helath'!$A$2:$T$1001,17,FALSE)</f>
        <v>1</v>
      </c>
    </row>
    <row r="232" spans="1:11" x14ac:dyDescent="0.3">
      <c r="A232" t="s">
        <v>281</v>
      </c>
      <c r="B232" t="str">
        <f>VLOOKUP(A232,'Remote work mental helath'!$A$2:$T$1001,12,)</f>
        <v>Burnout</v>
      </c>
      <c r="C232" t="str">
        <f>VLOOKUP(A232,'Remote work mental helath'!$A$2:$T$1001,11,)</f>
        <v>Medium</v>
      </c>
      <c r="D232">
        <f>VLOOKUP('Mental Helath'!A232,'Remote work mental helath'!$A$2:$T$1001,10,)</f>
        <v>1</v>
      </c>
      <c r="E232" t="str">
        <f>VLOOKUP(A232,'Remote work mental helath'!A232:T1231,19,FALSE)</f>
        <v>Average</v>
      </c>
      <c r="F232" t="str">
        <f>VLOOKUP(A232,'Remote work mental helath'!$A$2:$T$1001,18,)</f>
        <v>Daily</v>
      </c>
      <c r="G232">
        <f>VLOOKUP(A232,'Remote work mental helath'!$A$2:$T$1001,15,FALSE)</f>
        <v>5</v>
      </c>
      <c r="H232" t="str">
        <f>VLOOKUP(A232,'Remote work mental helath'!$A$2:$T$1001,14,)</f>
        <v>No Change</v>
      </c>
      <c r="I232" t="str">
        <f>VLOOKUP(A232,'Remote work mental helath'!$A$2:$T$1001,16,)</f>
        <v>Unsatisfied</v>
      </c>
      <c r="J232" t="str">
        <f>VLOOKUP(A232,'Remote work mental helath'!$A$2:$T$1001,13,)</f>
        <v>No</v>
      </c>
      <c r="K232">
        <f>VLOOKUP(A232,'Remote work mental helath'!$A$2:$T$1001,17,FALSE)</f>
        <v>4</v>
      </c>
    </row>
    <row r="233" spans="1:11" x14ac:dyDescent="0.3">
      <c r="A233" t="s">
        <v>282</v>
      </c>
      <c r="B233" t="str">
        <f>VLOOKUP(A233,'Remote work mental helath'!$A$2:$T$1001,12,)</f>
        <v>Burnout</v>
      </c>
      <c r="C233" t="str">
        <f>VLOOKUP(A233,'Remote work mental helath'!$A$2:$T$1001,11,)</f>
        <v>Low</v>
      </c>
      <c r="D233">
        <f>VLOOKUP('Mental Helath'!A233,'Remote work mental helath'!$A$2:$T$1001,10,)</f>
        <v>4</v>
      </c>
      <c r="E233" t="str">
        <f>VLOOKUP(A233,'Remote work mental helath'!A233:T1232,19,FALSE)</f>
        <v>Poor</v>
      </c>
      <c r="F233" t="str">
        <f>VLOOKUP(A233,'Remote work mental helath'!$A$2:$T$1001,18,)</f>
        <v>Weekly</v>
      </c>
      <c r="G233">
        <f>VLOOKUP(A233,'Remote work mental helath'!$A$2:$T$1001,15,FALSE)</f>
        <v>3</v>
      </c>
      <c r="H233" t="str">
        <f>VLOOKUP(A233,'Remote work mental helath'!$A$2:$T$1001,14,)</f>
        <v>Decrease</v>
      </c>
      <c r="I233" t="str">
        <f>VLOOKUP(A233,'Remote work mental helath'!$A$2:$T$1001,16,)</f>
        <v>Satisfied</v>
      </c>
      <c r="J233" t="str">
        <f>VLOOKUP(A233,'Remote work mental helath'!$A$2:$T$1001,13,)</f>
        <v>No</v>
      </c>
      <c r="K233">
        <f>VLOOKUP(A233,'Remote work mental helath'!$A$2:$T$1001,17,FALSE)</f>
        <v>2</v>
      </c>
    </row>
    <row r="234" spans="1:11" x14ac:dyDescent="0.3">
      <c r="A234" t="s">
        <v>283</v>
      </c>
      <c r="B234" t="str">
        <f>VLOOKUP(A234,'Remote work mental helath'!$A$2:$T$1001,12,)</f>
        <v>Burnout</v>
      </c>
      <c r="C234" t="str">
        <f>VLOOKUP(A234,'Remote work mental helath'!$A$2:$T$1001,11,)</f>
        <v>Low</v>
      </c>
      <c r="D234">
        <f>VLOOKUP('Mental Helath'!A234,'Remote work mental helath'!$A$2:$T$1001,10,)</f>
        <v>5</v>
      </c>
      <c r="E234" t="str">
        <f>VLOOKUP(A234,'Remote work mental helath'!A234:T1233,19,FALSE)</f>
        <v>Poor</v>
      </c>
      <c r="F234" t="str">
        <f>VLOOKUP(A234,'Remote work mental helath'!$A$2:$T$1001,18,)</f>
        <v>Weekly</v>
      </c>
      <c r="G234">
        <f>VLOOKUP(A234,'Remote work mental helath'!$A$2:$T$1001,15,FALSE)</f>
        <v>1</v>
      </c>
      <c r="H234" t="str">
        <f>VLOOKUP(A234,'Remote work mental helath'!$A$2:$T$1001,14,)</f>
        <v>Decrease</v>
      </c>
      <c r="I234" t="str">
        <f>VLOOKUP(A234,'Remote work mental helath'!$A$2:$T$1001,16,)</f>
        <v>Unsatisfied</v>
      </c>
      <c r="J234" t="str">
        <f>VLOOKUP(A234,'Remote work mental helath'!$A$2:$T$1001,13,)</f>
        <v>No</v>
      </c>
      <c r="K234">
        <f>VLOOKUP(A234,'Remote work mental helath'!$A$2:$T$1001,17,FALSE)</f>
        <v>2</v>
      </c>
    </row>
    <row r="235" spans="1:11" x14ac:dyDescent="0.3">
      <c r="A235" t="s">
        <v>284</v>
      </c>
      <c r="B235" t="str">
        <f>VLOOKUP(A235,'Remote work mental helath'!$A$2:$T$1001,12,)</f>
        <v>None</v>
      </c>
      <c r="C235" t="str">
        <f>VLOOKUP(A235,'Remote work mental helath'!$A$2:$T$1001,11,)</f>
        <v>High</v>
      </c>
      <c r="D235">
        <f>VLOOKUP('Mental Helath'!A235,'Remote work mental helath'!$A$2:$T$1001,10,)</f>
        <v>3</v>
      </c>
      <c r="E235" t="str">
        <f>VLOOKUP(A235,'Remote work mental helath'!A235:T1234,19,FALSE)</f>
        <v>Average</v>
      </c>
      <c r="F235" t="str">
        <f>VLOOKUP(A235,'Remote work mental helath'!$A$2:$T$1001,18,)</f>
        <v>Weekly</v>
      </c>
      <c r="G235">
        <f>VLOOKUP(A235,'Remote work mental helath'!$A$2:$T$1001,15,FALSE)</f>
        <v>3</v>
      </c>
      <c r="H235" t="str">
        <f>VLOOKUP(A235,'Remote work mental helath'!$A$2:$T$1001,14,)</f>
        <v>Increase</v>
      </c>
      <c r="I235" t="str">
        <f>VLOOKUP(A235,'Remote work mental helath'!$A$2:$T$1001,16,)</f>
        <v>Neutral</v>
      </c>
      <c r="J235" t="str">
        <f>VLOOKUP(A235,'Remote work mental helath'!$A$2:$T$1001,13,)</f>
        <v>Yes</v>
      </c>
      <c r="K235">
        <f>VLOOKUP(A235,'Remote work mental helath'!$A$2:$T$1001,17,FALSE)</f>
        <v>2</v>
      </c>
    </row>
    <row r="236" spans="1:11" x14ac:dyDescent="0.3">
      <c r="A236" t="s">
        <v>285</v>
      </c>
      <c r="B236" t="str">
        <f>VLOOKUP(A236,'Remote work mental helath'!$A$2:$T$1001,12,)</f>
        <v>Burnout</v>
      </c>
      <c r="C236" t="str">
        <f>VLOOKUP(A236,'Remote work mental helath'!$A$2:$T$1001,11,)</f>
        <v>Low</v>
      </c>
      <c r="D236">
        <f>VLOOKUP('Mental Helath'!A236,'Remote work mental helath'!$A$2:$T$1001,10,)</f>
        <v>4</v>
      </c>
      <c r="E236" t="str">
        <f>VLOOKUP(A236,'Remote work mental helath'!A236:T1235,19,FALSE)</f>
        <v>Poor</v>
      </c>
      <c r="F236" t="str">
        <f>VLOOKUP(A236,'Remote work mental helath'!$A$2:$T$1001,18,)</f>
        <v>Daily</v>
      </c>
      <c r="G236">
        <f>VLOOKUP(A236,'Remote work mental helath'!$A$2:$T$1001,15,FALSE)</f>
        <v>2</v>
      </c>
      <c r="H236" t="str">
        <f>VLOOKUP(A236,'Remote work mental helath'!$A$2:$T$1001,14,)</f>
        <v>No Change</v>
      </c>
      <c r="I236" t="str">
        <f>VLOOKUP(A236,'Remote work mental helath'!$A$2:$T$1001,16,)</f>
        <v>Neutral</v>
      </c>
      <c r="J236" t="str">
        <f>VLOOKUP(A236,'Remote work mental helath'!$A$2:$T$1001,13,)</f>
        <v>No</v>
      </c>
      <c r="K236">
        <f>VLOOKUP(A236,'Remote work mental helath'!$A$2:$T$1001,17,FALSE)</f>
        <v>5</v>
      </c>
    </row>
    <row r="237" spans="1:11" x14ac:dyDescent="0.3">
      <c r="A237" t="s">
        <v>286</v>
      </c>
      <c r="B237" t="str">
        <f>VLOOKUP(A237,'Remote work mental helath'!$A$2:$T$1001,12,)</f>
        <v>Burnout</v>
      </c>
      <c r="C237" t="str">
        <f>VLOOKUP(A237,'Remote work mental helath'!$A$2:$T$1001,11,)</f>
        <v>Low</v>
      </c>
      <c r="D237">
        <f>VLOOKUP('Mental Helath'!A237,'Remote work mental helath'!$A$2:$T$1001,10,)</f>
        <v>2</v>
      </c>
      <c r="E237" t="str">
        <f>VLOOKUP(A237,'Remote work mental helath'!A237:T1236,19,FALSE)</f>
        <v>Average</v>
      </c>
      <c r="F237" t="str">
        <f>VLOOKUP(A237,'Remote work mental helath'!$A$2:$T$1001,18,)</f>
        <v>None</v>
      </c>
      <c r="G237">
        <f>VLOOKUP(A237,'Remote work mental helath'!$A$2:$T$1001,15,FALSE)</f>
        <v>4</v>
      </c>
      <c r="H237" t="str">
        <f>VLOOKUP(A237,'Remote work mental helath'!$A$2:$T$1001,14,)</f>
        <v>No Change</v>
      </c>
      <c r="I237" t="str">
        <f>VLOOKUP(A237,'Remote work mental helath'!$A$2:$T$1001,16,)</f>
        <v>Unsatisfied</v>
      </c>
      <c r="J237" t="str">
        <f>VLOOKUP(A237,'Remote work mental helath'!$A$2:$T$1001,13,)</f>
        <v>No</v>
      </c>
      <c r="K237">
        <f>VLOOKUP(A237,'Remote work mental helath'!$A$2:$T$1001,17,FALSE)</f>
        <v>4</v>
      </c>
    </row>
    <row r="238" spans="1:11" x14ac:dyDescent="0.3">
      <c r="A238" t="s">
        <v>287</v>
      </c>
      <c r="B238" t="str">
        <f>VLOOKUP(A238,'Remote work mental helath'!$A$2:$T$1001,12,)</f>
        <v>Depression</v>
      </c>
      <c r="C238" t="str">
        <f>VLOOKUP(A238,'Remote work mental helath'!$A$2:$T$1001,11,)</f>
        <v>Medium</v>
      </c>
      <c r="D238">
        <f>VLOOKUP('Mental Helath'!A238,'Remote work mental helath'!$A$2:$T$1001,10,)</f>
        <v>1</v>
      </c>
      <c r="E238" t="str">
        <f>VLOOKUP(A238,'Remote work mental helath'!A238:T1237,19,FALSE)</f>
        <v>Average</v>
      </c>
      <c r="F238" t="str">
        <f>VLOOKUP(A238,'Remote work mental helath'!$A$2:$T$1001,18,)</f>
        <v>Weekly</v>
      </c>
      <c r="G238">
        <f>VLOOKUP(A238,'Remote work mental helath'!$A$2:$T$1001,15,FALSE)</f>
        <v>2</v>
      </c>
      <c r="H238" t="str">
        <f>VLOOKUP(A238,'Remote work mental helath'!$A$2:$T$1001,14,)</f>
        <v>Decrease</v>
      </c>
      <c r="I238" t="str">
        <f>VLOOKUP(A238,'Remote work mental helath'!$A$2:$T$1001,16,)</f>
        <v>Neutral</v>
      </c>
      <c r="J238" t="str">
        <f>VLOOKUP(A238,'Remote work mental helath'!$A$2:$T$1001,13,)</f>
        <v>No</v>
      </c>
      <c r="K238">
        <f>VLOOKUP(A238,'Remote work mental helath'!$A$2:$T$1001,17,FALSE)</f>
        <v>1</v>
      </c>
    </row>
    <row r="239" spans="1:11" x14ac:dyDescent="0.3">
      <c r="A239" t="s">
        <v>288</v>
      </c>
      <c r="B239" t="str">
        <f>VLOOKUP(A239,'Remote work mental helath'!$A$2:$T$1001,12,)</f>
        <v>Depression</v>
      </c>
      <c r="C239" t="str">
        <f>VLOOKUP(A239,'Remote work mental helath'!$A$2:$T$1001,11,)</f>
        <v>Medium</v>
      </c>
      <c r="D239">
        <f>VLOOKUP('Mental Helath'!A239,'Remote work mental helath'!$A$2:$T$1001,10,)</f>
        <v>5</v>
      </c>
      <c r="E239" t="str">
        <f>VLOOKUP(A239,'Remote work mental helath'!A239:T1238,19,FALSE)</f>
        <v>Average</v>
      </c>
      <c r="F239" t="str">
        <f>VLOOKUP(A239,'Remote work mental helath'!$A$2:$T$1001,18,)</f>
        <v>Daily</v>
      </c>
      <c r="G239">
        <f>VLOOKUP(A239,'Remote work mental helath'!$A$2:$T$1001,15,FALSE)</f>
        <v>1</v>
      </c>
      <c r="H239" t="str">
        <f>VLOOKUP(A239,'Remote work mental helath'!$A$2:$T$1001,14,)</f>
        <v>No Change</v>
      </c>
      <c r="I239" t="str">
        <f>VLOOKUP(A239,'Remote work mental helath'!$A$2:$T$1001,16,)</f>
        <v>Satisfied</v>
      </c>
      <c r="J239" t="str">
        <f>VLOOKUP(A239,'Remote work mental helath'!$A$2:$T$1001,13,)</f>
        <v>Yes</v>
      </c>
      <c r="K239">
        <f>VLOOKUP(A239,'Remote work mental helath'!$A$2:$T$1001,17,FALSE)</f>
        <v>4</v>
      </c>
    </row>
    <row r="240" spans="1:11" x14ac:dyDescent="0.3">
      <c r="A240" t="s">
        <v>289</v>
      </c>
      <c r="B240" t="str">
        <f>VLOOKUP(A240,'Remote work mental helath'!$A$2:$T$1001,12,)</f>
        <v>Depression</v>
      </c>
      <c r="C240" t="str">
        <f>VLOOKUP(A240,'Remote work mental helath'!$A$2:$T$1001,11,)</f>
        <v>Low</v>
      </c>
      <c r="D240">
        <f>VLOOKUP('Mental Helath'!A240,'Remote work mental helath'!$A$2:$T$1001,10,)</f>
        <v>5</v>
      </c>
      <c r="E240" t="str">
        <f>VLOOKUP(A240,'Remote work mental helath'!A240:T1239,19,FALSE)</f>
        <v>Good</v>
      </c>
      <c r="F240" t="str">
        <f>VLOOKUP(A240,'Remote work mental helath'!$A$2:$T$1001,18,)</f>
        <v>Weekly</v>
      </c>
      <c r="G240">
        <f>VLOOKUP(A240,'Remote work mental helath'!$A$2:$T$1001,15,FALSE)</f>
        <v>4</v>
      </c>
      <c r="H240" t="str">
        <f>VLOOKUP(A240,'Remote work mental helath'!$A$2:$T$1001,14,)</f>
        <v>Increase</v>
      </c>
      <c r="I240" t="str">
        <f>VLOOKUP(A240,'Remote work mental helath'!$A$2:$T$1001,16,)</f>
        <v>Neutral</v>
      </c>
      <c r="J240" t="str">
        <f>VLOOKUP(A240,'Remote work mental helath'!$A$2:$T$1001,13,)</f>
        <v>Yes</v>
      </c>
      <c r="K240">
        <f>VLOOKUP(A240,'Remote work mental helath'!$A$2:$T$1001,17,FALSE)</f>
        <v>1</v>
      </c>
    </row>
    <row r="241" spans="1:11" x14ac:dyDescent="0.3">
      <c r="A241" t="s">
        <v>290</v>
      </c>
      <c r="B241" t="str">
        <f>VLOOKUP(A241,'Remote work mental helath'!$A$2:$T$1001,12,)</f>
        <v>None</v>
      </c>
      <c r="C241" t="str">
        <f>VLOOKUP(A241,'Remote work mental helath'!$A$2:$T$1001,11,)</f>
        <v>Low</v>
      </c>
      <c r="D241">
        <f>VLOOKUP('Mental Helath'!A241,'Remote work mental helath'!$A$2:$T$1001,10,)</f>
        <v>1</v>
      </c>
      <c r="E241" t="str">
        <f>VLOOKUP(A241,'Remote work mental helath'!A241:T1240,19,FALSE)</f>
        <v>Poor</v>
      </c>
      <c r="F241" t="str">
        <f>VLOOKUP(A241,'Remote work mental helath'!$A$2:$T$1001,18,)</f>
        <v>Daily</v>
      </c>
      <c r="G241">
        <f>VLOOKUP(A241,'Remote work mental helath'!$A$2:$T$1001,15,FALSE)</f>
        <v>1</v>
      </c>
      <c r="H241" t="str">
        <f>VLOOKUP(A241,'Remote work mental helath'!$A$2:$T$1001,14,)</f>
        <v>No Change</v>
      </c>
      <c r="I241" t="str">
        <f>VLOOKUP(A241,'Remote work mental helath'!$A$2:$T$1001,16,)</f>
        <v>Neutral</v>
      </c>
      <c r="J241" t="str">
        <f>VLOOKUP(A241,'Remote work mental helath'!$A$2:$T$1001,13,)</f>
        <v>No</v>
      </c>
      <c r="K241">
        <f>VLOOKUP(A241,'Remote work mental helath'!$A$2:$T$1001,17,FALSE)</f>
        <v>1</v>
      </c>
    </row>
    <row r="242" spans="1:11" x14ac:dyDescent="0.3">
      <c r="A242" t="s">
        <v>291</v>
      </c>
      <c r="B242" t="str">
        <f>VLOOKUP(A242,'Remote work mental helath'!$A$2:$T$1001,12,)</f>
        <v>Depression</v>
      </c>
      <c r="C242" t="str">
        <f>VLOOKUP(A242,'Remote work mental helath'!$A$2:$T$1001,11,)</f>
        <v>High</v>
      </c>
      <c r="D242">
        <f>VLOOKUP('Mental Helath'!A242,'Remote work mental helath'!$A$2:$T$1001,10,)</f>
        <v>4</v>
      </c>
      <c r="E242" t="str">
        <f>VLOOKUP(A242,'Remote work mental helath'!A242:T1241,19,FALSE)</f>
        <v>Poor</v>
      </c>
      <c r="F242" t="str">
        <f>VLOOKUP(A242,'Remote work mental helath'!$A$2:$T$1001,18,)</f>
        <v>Weekly</v>
      </c>
      <c r="G242">
        <f>VLOOKUP(A242,'Remote work mental helath'!$A$2:$T$1001,15,FALSE)</f>
        <v>3</v>
      </c>
      <c r="H242" t="str">
        <f>VLOOKUP(A242,'Remote work mental helath'!$A$2:$T$1001,14,)</f>
        <v>No Change</v>
      </c>
      <c r="I242" t="str">
        <f>VLOOKUP(A242,'Remote work mental helath'!$A$2:$T$1001,16,)</f>
        <v>Neutral</v>
      </c>
      <c r="J242" t="str">
        <f>VLOOKUP(A242,'Remote work mental helath'!$A$2:$T$1001,13,)</f>
        <v>No</v>
      </c>
      <c r="K242">
        <f>VLOOKUP(A242,'Remote work mental helath'!$A$2:$T$1001,17,FALSE)</f>
        <v>2</v>
      </c>
    </row>
    <row r="243" spans="1:11" x14ac:dyDescent="0.3">
      <c r="A243" t="s">
        <v>292</v>
      </c>
      <c r="B243" t="str">
        <f>VLOOKUP(A243,'Remote work mental helath'!$A$2:$T$1001,12,)</f>
        <v>Burnout</v>
      </c>
      <c r="C243" t="str">
        <f>VLOOKUP(A243,'Remote work mental helath'!$A$2:$T$1001,11,)</f>
        <v>High</v>
      </c>
      <c r="D243">
        <f>VLOOKUP('Mental Helath'!A243,'Remote work mental helath'!$A$2:$T$1001,10,)</f>
        <v>2</v>
      </c>
      <c r="E243" t="str">
        <f>VLOOKUP(A243,'Remote work mental helath'!A243:T1242,19,FALSE)</f>
        <v>Poor</v>
      </c>
      <c r="F243" t="str">
        <f>VLOOKUP(A243,'Remote work mental helath'!$A$2:$T$1001,18,)</f>
        <v>Weekly</v>
      </c>
      <c r="G243">
        <f>VLOOKUP(A243,'Remote work mental helath'!$A$2:$T$1001,15,FALSE)</f>
        <v>3</v>
      </c>
      <c r="H243" t="str">
        <f>VLOOKUP(A243,'Remote work mental helath'!$A$2:$T$1001,14,)</f>
        <v>Increase</v>
      </c>
      <c r="I243" t="str">
        <f>VLOOKUP(A243,'Remote work mental helath'!$A$2:$T$1001,16,)</f>
        <v>Satisfied</v>
      </c>
      <c r="J243" t="str">
        <f>VLOOKUP(A243,'Remote work mental helath'!$A$2:$T$1001,13,)</f>
        <v>Yes</v>
      </c>
      <c r="K243">
        <f>VLOOKUP(A243,'Remote work mental helath'!$A$2:$T$1001,17,FALSE)</f>
        <v>3</v>
      </c>
    </row>
    <row r="244" spans="1:11" x14ac:dyDescent="0.3">
      <c r="A244" t="s">
        <v>293</v>
      </c>
      <c r="B244" t="str">
        <f>VLOOKUP(A244,'Remote work mental helath'!$A$2:$T$1001,12,)</f>
        <v>Depression</v>
      </c>
      <c r="C244" t="str">
        <f>VLOOKUP(A244,'Remote work mental helath'!$A$2:$T$1001,11,)</f>
        <v>Medium</v>
      </c>
      <c r="D244">
        <f>VLOOKUP('Mental Helath'!A244,'Remote work mental helath'!$A$2:$T$1001,10,)</f>
        <v>1</v>
      </c>
      <c r="E244" t="str">
        <f>VLOOKUP(A244,'Remote work mental helath'!A244:T1243,19,FALSE)</f>
        <v>Good</v>
      </c>
      <c r="F244" t="str">
        <f>VLOOKUP(A244,'Remote work mental helath'!$A$2:$T$1001,18,)</f>
        <v>Weekly</v>
      </c>
      <c r="G244">
        <f>VLOOKUP(A244,'Remote work mental helath'!$A$2:$T$1001,15,FALSE)</f>
        <v>5</v>
      </c>
      <c r="H244" t="str">
        <f>VLOOKUP(A244,'Remote work mental helath'!$A$2:$T$1001,14,)</f>
        <v>Decrease</v>
      </c>
      <c r="I244" t="str">
        <f>VLOOKUP(A244,'Remote work mental helath'!$A$2:$T$1001,16,)</f>
        <v>Neutral</v>
      </c>
      <c r="J244" t="str">
        <f>VLOOKUP(A244,'Remote work mental helath'!$A$2:$T$1001,13,)</f>
        <v>No</v>
      </c>
      <c r="K244">
        <f>VLOOKUP(A244,'Remote work mental helath'!$A$2:$T$1001,17,FALSE)</f>
        <v>4</v>
      </c>
    </row>
    <row r="245" spans="1:11" x14ac:dyDescent="0.3">
      <c r="A245" t="s">
        <v>294</v>
      </c>
      <c r="B245" t="str">
        <f>VLOOKUP(A245,'Remote work mental helath'!$A$2:$T$1001,12,)</f>
        <v>Burnout</v>
      </c>
      <c r="C245" t="str">
        <f>VLOOKUP(A245,'Remote work mental helath'!$A$2:$T$1001,11,)</f>
        <v>High</v>
      </c>
      <c r="D245">
        <f>VLOOKUP('Mental Helath'!A245,'Remote work mental helath'!$A$2:$T$1001,10,)</f>
        <v>2</v>
      </c>
      <c r="E245" t="str">
        <f>VLOOKUP(A245,'Remote work mental helath'!A245:T1244,19,FALSE)</f>
        <v>Poor</v>
      </c>
      <c r="F245" t="str">
        <f>VLOOKUP(A245,'Remote work mental helath'!$A$2:$T$1001,18,)</f>
        <v>Weekly</v>
      </c>
      <c r="G245">
        <f>VLOOKUP(A245,'Remote work mental helath'!$A$2:$T$1001,15,FALSE)</f>
        <v>1</v>
      </c>
      <c r="H245" t="str">
        <f>VLOOKUP(A245,'Remote work mental helath'!$A$2:$T$1001,14,)</f>
        <v>Decrease</v>
      </c>
      <c r="I245" t="str">
        <f>VLOOKUP(A245,'Remote work mental helath'!$A$2:$T$1001,16,)</f>
        <v>Neutral</v>
      </c>
      <c r="J245" t="str">
        <f>VLOOKUP(A245,'Remote work mental helath'!$A$2:$T$1001,13,)</f>
        <v>No</v>
      </c>
      <c r="K245">
        <f>VLOOKUP(A245,'Remote work mental helath'!$A$2:$T$1001,17,FALSE)</f>
        <v>1</v>
      </c>
    </row>
    <row r="246" spans="1:11" x14ac:dyDescent="0.3">
      <c r="A246" t="s">
        <v>295</v>
      </c>
      <c r="B246" t="str">
        <f>VLOOKUP(A246,'Remote work mental helath'!$A$2:$T$1001,12,)</f>
        <v>Anxiety</v>
      </c>
      <c r="C246" t="str">
        <f>VLOOKUP(A246,'Remote work mental helath'!$A$2:$T$1001,11,)</f>
        <v>High</v>
      </c>
      <c r="D246">
        <f>VLOOKUP('Mental Helath'!A246,'Remote work mental helath'!$A$2:$T$1001,10,)</f>
        <v>2</v>
      </c>
      <c r="E246" t="str">
        <f>VLOOKUP(A246,'Remote work mental helath'!A246:T1245,19,FALSE)</f>
        <v>Poor</v>
      </c>
      <c r="F246" t="str">
        <f>VLOOKUP(A246,'Remote work mental helath'!$A$2:$T$1001,18,)</f>
        <v>Weekly</v>
      </c>
      <c r="G246">
        <f>VLOOKUP(A246,'Remote work mental helath'!$A$2:$T$1001,15,FALSE)</f>
        <v>1</v>
      </c>
      <c r="H246" t="str">
        <f>VLOOKUP(A246,'Remote work mental helath'!$A$2:$T$1001,14,)</f>
        <v>No Change</v>
      </c>
      <c r="I246" t="str">
        <f>VLOOKUP(A246,'Remote work mental helath'!$A$2:$T$1001,16,)</f>
        <v>Neutral</v>
      </c>
      <c r="J246" t="str">
        <f>VLOOKUP(A246,'Remote work mental helath'!$A$2:$T$1001,13,)</f>
        <v>Yes</v>
      </c>
      <c r="K246">
        <f>VLOOKUP(A246,'Remote work mental helath'!$A$2:$T$1001,17,FALSE)</f>
        <v>3</v>
      </c>
    </row>
    <row r="247" spans="1:11" x14ac:dyDescent="0.3">
      <c r="A247" t="s">
        <v>296</v>
      </c>
      <c r="B247" t="str">
        <f>VLOOKUP(A247,'Remote work mental helath'!$A$2:$T$1001,12,)</f>
        <v>Anxiety</v>
      </c>
      <c r="C247" t="str">
        <f>VLOOKUP(A247,'Remote work mental helath'!$A$2:$T$1001,11,)</f>
        <v>Low</v>
      </c>
      <c r="D247">
        <f>VLOOKUP('Mental Helath'!A247,'Remote work mental helath'!$A$2:$T$1001,10,)</f>
        <v>2</v>
      </c>
      <c r="E247" t="str">
        <f>VLOOKUP(A247,'Remote work mental helath'!A247:T1246,19,FALSE)</f>
        <v>Good</v>
      </c>
      <c r="F247" t="str">
        <f>VLOOKUP(A247,'Remote work mental helath'!$A$2:$T$1001,18,)</f>
        <v>None</v>
      </c>
      <c r="G247">
        <f>VLOOKUP(A247,'Remote work mental helath'!$A$2:$T$1001,15,FALSE)</f>
        <v>2</v>
      </c>
      <c r="H247" t="str">
        <f>VLOOKUP(A247,'Remote work mental helath'!$A$2:$T$1001,14,)</f>
        <v>Increase</v>
      </c>
      <c r="I247" t="str">
        <f>VLOOKUP(A247,'Remote work mental helath'!$A$2:$T$1001,16,)</f>
        <v>Satisfied</v>
      </c>
      <c r="J247" t="str">
        <f>VLOOKUP(A247,'Remote work mental helath'!$A$2:$T$1001,13,)</f>
        <v>Yes</v>
      </c>
      <c r="K247">
        <f>VLOOKUP(A247,'Remote work mental helath'!$A$2:$T$1001,17,FALSE)</f>
        <v>3</v>
      </c>
    </row>
    <row r="248" spans="1:11" x14ac:dyDescent="0.3">
      <c r="A248" t="s">
        <v>297</v>
      </c>
      <c r="B248" t="str">
        <f>VLOOKUP(A248,'Remote work mental helath'!$A$2:$T$1001,12,)</f>
        <v>Anxiety</v>
      </c>
      <c r="C248" t="str">
        <f>VLOOKUP(A248,'Remote work mental helath'!$A$2:$T$1001,11,)</f>
        <v>Low</v>
      </c>
      <c r="D248">
        <f>VLOOKUP('Mental Helath'!A248,'Remote work mental helath'!$A$2:$T$1001,10,)</f>
        <v>5</v>
      </c>
      <c r="E248" t="str">
        <f>VLOOKUP(A248,'Remote work mental helath'!A248:T1247,19,FALSE)</f>
        <v>Average</v>
      </c>
      <c r="F248" t="str">
        <f>VLOOKUP(A248,'Remote work mental helath'!$A$2:$T$1001,18,)</f>
        <v>Weekly</v>
      </c>
      <c r="G248">
        <f>VLOOKUP(A248,'Remote work mental helath'!$A$2:$T$1001,15,FALSE)</f>
        <v>3</v>
      </c>
      <c r="H248" t="str">
        <f>VLOOKUP(A248,'Remote work mental helath'!$A$2:$T$1001,14,)</f>
        <v>Increase</v>
      </c>
      <c r="I248" t="str">
        <f>VLOOKUP(A248,'Remote work mental helath'!$A$2:$T$1001,16,)</f>
        <v>Neutral</v>
      </c>
      <c r="J248" t="str">
        <f>VLOOKUP(A248,'Remote work mental helath'!$A$2:$T$1001,13,)</f>
        <v>No</v>
      </c>
      <c r="K248">
        <f>VLOOKUP(A248,'Remote work mental helath'!$A$2:$T$1001,17,FALSE)</f>
        <v>1</v>
      </c>
    </row>
    <row r="249" spans="1:11" x14ac:dyDescent="0.3">
      <c r="A249" t="s">
        <v>298</v>
      </c>
      <c r="B249" t="str">
        <f>VLOOKUP(A249,'Remote work mental helath'!$A$2:$T$1001,12,)</f>
        <v>None</v>
      </c>
      <c r="C249" t="str">
        <f>VLOOKUP(A249,'Remote work mental helath'!$A$2:$T$1001,11,)</f>
        <v>Medium</v>
      </c>
      <c r="D249">
        <f>VLOOKUP('Mental Helath'!A249,'Remote work mental helath'!$A$2:$T$1001,10,)</f>
        <v>1</v>
      </c>
      <c r="E249" t="str">
        <f>VLOOKUP(A249,'Remote work mental helath'!A249:T1248,19,FALSE)</f>
        <v>Poor</v>
      </c>
      <c r="F249" t="str">
        <f>VLOOKUP(A249,'Remote work mental helath'!$A$2:$T$1001,18,)</f>
        <v>None</v>
      </c>
      <c r="G249">
        <f>VLOOKUP(A249,'Remote work mental helath'!$A$2:$T$1001,15,FALSE)</f>
        <v>2</v>
      </c>
      <c r="H249" t="str">
        <f>VLOOKUP(A249,'Remote work mental helath'!$A$2:$T$1001,14,)</f>
        <v>Increase</v>
      </c>
      <c r="I249" t="str">
        <f>VLOOKUP(A249,'Remote work mental helath'!$A$2:$T$1001,16,)</f>
        <v>Unsatisfied</v>
      </c>
      <c r="J249" t="str">
        <f>VLOOKUP(A249,'Remote work mental helath'!$A$2:$T$1001,13,)</f>
        <v>Yes</v>
      </c>
      <c r="K249">
        <f>VLOOKUP(A249,'Remote work mental helath'!$A$2:$T$1001,17,FALSE)</f>
        <v>4</v>
      </c>
    </row>
    <row r="250" spans="1:11" x14ac:dyDescent="0.3">
      <c r="A250" t="s">
        <v>299</v>
      </c>
      <c r="B250" t="str">
        <f>VLOOKUP(A250,'Remote work mental helath'!$A$2:$T$1001,12,)</f>
        <v>Depression</v>
      </c>
      <c r="C250" t="str">
        <f>VLOOKUP(A250,'Remote work mental helath'!$A$2:$T$1001,11,)</f>
        <v>Medium</v>
      </c>
      <c r="D250">
        <f>VLOOKUP('Mental Helath'!A250,'Remote work mental helath'!$A$2:$T$1001,10,)</f>
        <v>3</v>
      </c>
      <c r="E250" t="str">
        <f>VLOOKUP(A250,'Remote work mental helath'!A250:T1249,19,FALSE)</f>
        <v>Average</v>
      </c>
      <c r="F250" t="str">
        <f>VLOOKUP(A250,'Remote work mental helath'!$A$2:$T$1001,18,)</f>
        <v>None</v>
      </c>
      <c r="G250">
        <f>VLOOKUP(A250,'Remote work mental helath'!$A$2:$T$1001,15,FALSE)</f>
        <v>5</v>
      </c>
      <c r="H250" t="str">
        <f>VLOOKUP(A250,'Remote work mental helath'!$A$2:$T$1001,14,)</f>
        <v>Decrease</v>
      </c>
      <c r="I250" t="str">
        <f>VLOOKUP(A250,'Remote work mental helath'!$A$2:$T$1001,16,)</f>
        <v>Neutral</v>
      </c>
      <c r="J250" t="str">
        <f>VLOOKUP(A250,'Remote work mental helath'!$A$2:$T$1001,13,)</f>
        <v>No</v>
      </c>
      <c r="K250">
        <f>VLOOKUP(A250,'Remote work mental helath'!$A$2:$T$1001,17,FALSE)</f>
        <v>5</v>
      </c>
    </row>
    <row r="251" spans="1:11" x14ac:dyDescent="0.3">
      <c r="A251" t="s">
        <v>300</v>
      </c>
      <c r="B251" t="str">
        <f>VLOOKUP(A251,'Remote work mental helath'!$A$2:$T$1001,12,)</f>
        <v>None</v>
      </c>
      <c r="C251" t="str">
        <f>VLOOKUP(A251,'Remote work mental helath'!$A$2:$T$1001,11,)</f>
        <v>Low</v>
      </c>
      <c r="D251">
        <f>VLOOKUP('Mental Helath'!A251,'Remote work mental helath'!$A$2:$T$1001,10,)</f>
        <v>5</v>
      </c>
      <c r="E251" t="str">
        <f>VLOOKUP(A251,'Remote work mental helath'!A251:T1250,19,FALSE)</f>
        <v>Poor</v>
      </c>
      <c r="F251" t="str">
        <f>VLOOKUP(A251,'Remote work mental helath'!$A$2:$T$1001,18,)</f>
        <v>Weekly</v>
      </c>
      <c r="G251">
        <f>VLOOKUP(A251,'Remote work mental helath'!$A$2:$T$1001,15,FALSE)</f>
        <v>4</v>
      </c>
      <c r="H251" t="str">
        <f>VLOOKUP(A251,'Remote work mental helath'!$A$2:$T$1001,14,)</f>
        <v>No Change</v>
      </c>
      <c r="I251" t="str">
        <f>VLOOKUP(A251,'Remote work mental helath'!$A$2:$T$1001,16,)</f>
        <v>Satisfied</v>
      </c>
      <c r="J251" t="str">
        <f>VLOOKUP(A251,'Remote work mental helath'!$A$2:$T$1001,13,)</f>
        <v>Yes</v>
      </c>
      <c r="K251">
        <f>VLOOKUP(A251,'Remote work mental helath'!$A$2:$T$1001,17,FALSE)</f>
        <v>2</v>
      </c>
    </row>
    <row r="252" spans="1:11" x14ac:dyDescent="0.3">
      <c r="A252" t="s">
        <v>301</v>
      </c>
      <c r="B252" t="str">
        <f>VLOOKUP(A252,'Remote work mental helath'!$A$2:$T$1001,12,)</f>
        <v>Anxiety</v>
      </c>
      <c r="C252" t="str">
        <f>VLOOKUP(A252,'Remote work mental helath'!$A$2:$T$1001,11,)</f>
        <v>High</v>
      </c>
      <c r="D252">
        <f>VLOOKUP('Mental Helath'!A252,'Remote work mental helath'!$A$2:$T$1001,10,)</f>
        <v>1</v>
      </c>
      <c r="E252" t="str">
        <f>VLOOKUP(A252,'Remote work mental helath'!A252:T1251,19,FALSE)</f>
        <v>Good</v>
      </c>
      <c r="F252" t="str">
        <f>VLOOKUP(A252,'Remote work mental helath'!$A$2:$T$1001,18,)</f>
        <v>Weekly</v>
      </c>
      <c r="G252">
        <f>VLOOKUP(A252,'Remote work mental helath'!$A$2:$T$1001,15,FALSE)</f>
        <v>2</v>
      </c>
      <c r="H252" t="str">
        <f>VLOOKUP(A252,'Remote work mental helath'!$A$2:$T$1001,14,)</f>
        <v>Increase</v>
      </c>
      <c r="I252" t="str">
        <f>VLOOKUP(A252,'Remote work mental helath'!$A$2:$T$1001,16,)</f>
        <v>Satisfied</v>
      </c>
      <c r="J252" t="str">
        <f>VLOOKUP(A252,'Remote work mental helath'!$A$2:$T$1001,13,)</f>
        <v>Yes</v>
      </c>
      <c r="K252">
        <f>VLOOKUP(A252,'Remote work mental helath'!$A$2:$T$1001,17,FALSE)</f>
        <v>2</v>
      </c>
    </row>
    <row r="253" spans="1:11" x14ac:dyDescent="0.3">
      <c r="A253" t="s">
        <v>302</v>
      </c>
      <c r="B253" t="str">
        <f>VLOOKUP(A253,'Remote work mental helath'!$A$2:$T$1001,12,)</f>
        <v>Depression</v>
      </c>
      <c r="C253" t="str">
        <f>VLOOKUP(A253,'Remote work mental helath'!$A$2:$T$1001,11,)</f>
        <v>High</v>
      </c>
      <c r="D253">
        <f>VLOOKUP('Mental Helath'!A253,'Remote work mental helath'!$A$2:$T$1001,10,)</f>
        <v>4</v>
      </c>
      <c r="E253" t="str">
        <f>VLOOKUP(A253,'Remote work mental helath'!A253:T1252,19,FALSE)</f>
        <v>Good</v>
      </c>
      <c r="F253" t="str">
        <f>VLOOKUP(A253,'Remote work mental helath'!$A$2:$T$1001,18,)</f>
        <v>Weekly</v>
      </c>
      <c r="G253">
        <f>VLOOKUP(A253,'Remote work mental helath'!$A$2:$T$1001,15,FALSE)</f>
        <v>3</v>
      </c>
      <c r="H253" t="str">
        <f>VLOOKUP(A253,'Remote work mental helath'!$A$2:$T$1001,14,)</f>
        <v>No Change</v>
      </c>
      <c r="I253" t="str">
        <f>VLOOKUP(A253,'Remote work mental helath'!$A$2:$T$1001,16,)</f>
        <v>Unsatisfied</v>
      </c>
      <c r="J253" t="str">
        <f>VLOOKUP(A253,'Remote work mental helath'!$A$2:$T$1001,13,)</f>
        <v>Yes</v>
      </c>
      <c r="K253">
        <f>VLOOKUP(A253,'Remote work mental helath'!$A$2:$T$1001,17,FALSE)</f>
        <v>1</v>
      </c>
    </row>
    <row r="254" spans="1:11" x14ac:dyDescent="0.3">
      <c r="A254" t="s">
        <v>303</v>
      </c>
      <c r="B254" t="str">
        <f>VLOOKUP(A254,'Remote work mental helath'!$A$2:$T$1001,12,)</f>
        <v>Anxiety</v>
      </c>
      <c r="C254" t="str">
        <f>VLOOKUP(A254,'Remote work mental helath'!$A$2:$T$1001,11,)</f>
        <v>Low</v>
      </c>
      <c r="D254">
        <f>VLOOKUP('Mental Helath'!A254,'Remote work mental helath'!$A$2:$T$1001,10,)</f>
        <v>3</v>
      </c>
      <c r="E254" t="str">
        <f>VLOOKUP(A254,'Remote work mental helath'!A254:T1253,19,FALSE)</f>
        <v>Average</v>
      </c>
      <c r="F254" t="str">
        <f>VLOOKUP(A254,'Remote work mental helath'!$A$2:$T$1001,18,)</f>
        <v>Daily</v>
      </c>
      <c r="G254">
        <f>VLOOKUP(A254,'Remote work mental helath'!$A$2:$T$1001,15,FALSE)</f>
        <v>3</v>
      </c>
      <c r="H254" t="str">
        <f>VLOOKUP(A254,'Remote work mental helath'!$A$2:$T$1001,14,)</f>
        <v>Increase</v>
      </c>
      <c r="I254" t="str">
        <f>VLOOKUP(A254,'Remote work mental helath'!$A$2:$T$1001,16,)</f>
        <v>Neutral</v>
      </c>
      <c r="J254" t="str">
        <f>VLOOKUP(A254,'Remote work mental helath'!$A$2:$T$1001,13,)</f>
        <v>Yes</v>
      </c>
      <c r="K254">
        <f>VLOOKUP(A254,'Remote work mental helath'!$A$2:$T$1001,17,FALSE)</f>
        <v>3</v>
      </c>
    </row>
    <row r="255" spans="1:11" x14ac:dyDescent="0.3">
      <c r="A255" t="s">
        <v>304</v>
      </c>
      <c r="B255" t="str">
        <f>VLOOKUP(A255,'Remote work mental helath'!$A$2:$T$1001,12,)</f>
        <v>Anxiety</v>
      </c>
      <c r="C255" t="str">
        <f>VLOOKUP(A255,'Remote work mental helath'!$A$2:$T$1001,11,)</f>
        <v>Medium</v>
      </c>
      <c r="D255">
        <f>VLOOKUP('Mental Helath'!A255,'Remote work mental helath'!$A$2:$T$1001,10,)</f>
        <v>3</v>
      </c>
      <c r="E255" t="str">
        <f>VLOOKUP(A255,'Remote work mental helath'!A255:T1254,19,FALSE)</f>
        <v>Average</v>
      </c>
      <c r="F255" t="str">
        <f>VLOOKUP(A255,'Remote work mental helath'!$A$2:$T$1001,18,)</f>
        <v>Weekly</v>
      </c>
      <c r="G255">
        <f>VLOOKUP(A255,'Remote work mental helath'!$A$2:$T$1001,15,FALSE)</f>
        <v>3</v>
      </c>
      <c r="H255" t="str">
        <f>VLOOKUP(A255,'Remote work mental helath'!$A$2:$T$1001,14,)</f>
        <v>Increase</v>
      </c>
      <c r="I255" t="str">
        <f>VLOOKUP(A255,'Remote work mental helath'!$A$2:$T$1001,16,)</f>
        <v>Unsatisfied</v>
      </c>
      <c r="J255" t="str">
        <f>VLOOKUP(A255,'Remote work mental helath'!$A$2:$T$1001,13,)</f>
        <v>No</v>
      </c>
      <c r="K255">
        <f>VLOOKUP(A255,'Remote work mental helath'!$A$2:$T$1001,17,FALSE)</f>
        <v>3</v>
      </c>
    </row>
    <row r="256" spans="1:11" x14ac:dyDescent="0.3">
      <c r="A256" t="s">
        <v>305</v>
      </c>
      <c r="B256" t="str">
        <f>VLOOKUP(A256,'Remote work mental helath'!$A$2:$T$1001,12,)</f>
        <v>Burnout</v>
      </c>
      <c r="C256" t="str">
        <f>VLOOKUP(A256,'Remote work mental helath'!$A$2:$T$1001,11,)</f>
        <v>Medium</v>
      </c>
      <c r="D256">
        <f>VLOOKUP('Mental Helath'!A256,'Remote work mental helath'!$A$2:$T$1001,10,)</f>
        <v>5</v>
      </c>
      <c r="E256" t="str">
        <f>VLOOKUP(A256,'Remote work mental helath'!A256:T1255,19,FALSE)</f>
        <v>Good</v>
      </c>
      <c r="F256" t="str">
        <f>VLOOKUP(A256,'Remote work mental helath'!$A$2:$T$1001,18,)</f>
        <v>Daily</v>
      </c>
      <c r="G256">
        <f>VLOOKUP(A256,'Remote work mental helath'!$A$2:$T$1001,15,FALSE)</f>
        <v>2</v>
      </c>
      <c r="H256" t="str">
        <f>VLOOKUP(A256,'Remote work mental helath'!$A$2:$T$1001,14,)</f>
        <v>Decrease</v>
      </c>
      <c r="I256" t="str">
        <f>VLOOKUP(A256,'Remote work mental helath'!$A$2:$T$1001,16,)</f>
        <v>Neutral</v>
      </c>
      <c r="J256" t="str">
        <f>VLOOKUP(A256,'Remote work mental helath'!$A$2:$T$1001,13,)</f>
        <v>Yes</v>
      </c>
      <c r="K256">
        <f>VLOOKUP(A256,'Remote work mental helath'!$A$2:$T$1001,17,FALSE)</f>
        <v>2</v>
      </c>
    </row>
    <row r="257" spans="1:11" x14ac:dyDescent="0.3">
      <c r="A257" t="s">
        <v>306</v>
      </c>
      <c r="B257" t="str">
        <f>VLOOKUP(A257,'Remote work mental helath'!$A$2:$T$1001,12,)</f>
        <v>Burnout</v>
      </c>
      <c r="C257" t="str">
        <f>VLOOKUP(A257,'Remote work mental helath'!$A$2:$T$1001,11,)</f>
        <v>Medium</v>
      </c>
      <c r="D257">
        <f>VLOOKUP('Mental Helath'!A257,'Remote work mental helath'!$A$2:$T$1001,10,)</f>
        <v>3</v>
      </c>
      <c r="E257" t="str">
        <f>VLOOKUP(A257,'Remote work mental helath'!A257:T1256,19,FALSE)</f>
        <v>Average</v>
      </c>
      <c r="F257" t="str">
        <f>VLOOKUP(A257,'Remote work mental helath'!$A$2:$T$1001,18,)</f>
        <v>Weekly</v>
      </c>
      <c r="G257">
        <f>VLOOKUP(A257,'Remote work mental helath'!$A$2:$T$1001,15,FALSE)</f>
        <v>5</v>
      </c>
      <c r="H257" t="str">
        <f>VLOOKUP(A257,'Remote work mental helath'!$A$2:$T$1001,14,)</f>
        <v>Decrease</v>
      </c>
      <c r="I257" t="str">
        <f>VLOOKUP(A257,'Remote work mental helath'!$A$2:$T$1001,16,)</f>
        <v>Unsatisfied</v>
      </c>
      <c r="J257" t="str">
        <f>VLOOKUP(A257,'Remote work mental helath'!$A$2:$T$1001,13,)</f>
        <v>Yes</v>
      </c>
      <c r="K257">
        <f>VLOOKUP(A257,'Remote work mental helath'!$A$2:$T$1001,17,FALSE)</f>
        <v>5</v>
      </c>
    </row>
    <row r="258" spans="1:11" x14ac:dyDescent="0.3">
      <c r="A258" t="s">
        <v>307</v>
      </c>
      <c r="B258" t="str">
        <f>VLOOKUP(A258,'Remote work mental helath'!$A$2:$T$1001,12,)</f>
        <v>Anxiety</v>
      </c>
      <c r="C258" t="str">
        <f>VLOOKUP(A258,'Remote work mental helath'!$A$2:$T$1001,11,)</f>
        <v>Medium</v>
      </c>
      <c r="D258">
        <f>VLOOKUP('Mental Helath'!A258,'Remote work mental helath'!$A$2:$T$1001,10,)</f>
        <v>1</v>
      </c>
      <c r="E258" t="str">
        <f>VLOOKUP(A258,'Remote work mental helath'!A258:T1257,19,FALSE)</f>
        <v>Average</v>
      </c>
      <c r="F258" t="str">
        <f>VLOOKUP(A258,'Remote work mental helath'!$A$2:$T$1001,18,)</f>
        <v>Daily</v>
      </c>
      <c r="G258">
        <f>VLOOKUP(A258,'Remote work mental helath'!$A$2:$T$1001,15,FALSE)</f>
        <v>2</v>
      </c>
      <c r="H258" t="str">
        <f>VLOOKUP(A258,'Remote work mental helath'!$A$2:$T$1001,14,)</f>
        <v>Increase</v>
      </c>
      <c r="I258" t="str">
        <f>VLOOKUP(A258,'Remote work mental helath'!$A$2:$T$1001,16,)</f>
        <v>Unsatisfied</v>
      </c>
      <c r="J258" t="str">
        <f>VLOOKUP(A258,'Remote work mental helath'!$A$2:$T$1001,13,)</f>
        <v>No</v>
      </c>
      <c r="K258">
        <f>VLOOKUP(A258,'Remote work mental helath'!$A$2:$T$1001,17,FALSE)</f>
        <v>2</v>
      </c>
    </row>
    <row r="259" spans="1:11" x14ac:dyDescent="0.3">
      <c r="A259" t="s">
        <v>308</v>
      </c>
      <c r="B259" t="str">
        <f>VLOOKUP(A259,'Remote work mental helath'!$A$2:$T$1001,12,)</f>
        <v>Burnout</v>
      </c>
      <c r="C259" t="str">
        <f>VLOOKUP(A259,'Remote work mental helath'!$A$2:$T$1001,11,)</f>
        <v>Medium</v>
      </c>
      <c r="D259">
        <f>VLOOKUP('Mental Helath'!A259,'Remote work mental helath'!$A$2:$T$1001,10,)</f>
        <v>3</v>
      </c>
      <c r="E259" t="str">
        <f>VLOOKUP(A259,'Remote work mental helath'!A259:T1258,19,FALSE)</f>
        <v>Poor</v>
      </c>
      <c r="F259" t="str">
        <f>VLOOKUP(A259,'Remote work mental helath'!$A$2:$T$1001,18,)</f>
        <v>None</v>
      </c>
      <c r="G259">
        <f>VLOOKUP(A259,'Remote work mental helath'!$A$2:$T$1001,15,FALSE)</f>
        <v>3</v>
      </c>
      <c r="H259" t="str">
        <f>VLOOKUP(A259,'Remote work mental helath'!$A$2:$T$1001,14,)</f>
        <v>Decrease</v>
      </c>
      <c r="I259" t="str">
        <f>VLOOKUP(A259,'Remote work mental helath'!$A$2:$T$1001,16,)</f>
        <v>Satisfied</v>
      </c>
      <c r="J259" t="str">
        <f>VLOOKUP(A259,'Remote work mental helath'!$A$2:$T$1001,13,)</f>
        <v>No</v>
      </c>
      <c r="K259">
        <f>VLOOKUP(A259,'Remote work mental helath'!$A$2:$T$1001,17,FALSE)</f>
        <v>3</v>
      </c>
    </row>
    <row r="260" spans="1:11" x14ac:dyDescent="0.3">
      <c r="A260" t="s">
        <v>309</v>
      </c>
      <c r="B260" t="str">
        <f>VLOOKUP(A260,'Remote work mental helath'!$A$2:$T$1001,12,)</f>
        <v>Anxiety</v>
      </c>
      <c r="C260" t="str">
        <f>VLOOKUP(A260,'Remote work mental helath'!$A$2:$T$1001,11,)</f>
        <v>Medium</v>
      </c>
      <c r="D260">
        <f>VLOOKUP('Mental Helath'!A260,'Remote work mental helath'!$A$2:$T$1001,10,)</f>
        <v>1</v>
      </c>
      <c r="E260" t="str">
        <f>VLOOKUP(A260,'Remote work mental helath'!A260:T1259,19,FALSE)</f>
        <v>Average</v>
      </c>
      <c r="F260" t="str">
        <f>VLOOKUP(A260,'Remote work mental helath'!$A$2:$T$1001,18,)</f>
        <v>Daily</v>
      </c>
      <c r="G260">
        <f>VLOOKUP(A260,'Remote work mental helath'!$A$2:$T$1001,15,FALSE)</f>
        <v>1</v>
      </c>
      <c r="H260" t="str">
        <f>VLOOKUP(A260,'Remote work mental helath'!$A$2:$T$1001,14,)</f>
        <v>No Change</v>
      </c>
      <c r="I260" t="str">
        <f>VLOOKUP(A260,'Remote work mental helath'!$A$2:$T$1001,16,)</f>
        <v>Satisfied</v>
      </c>
      <c r="J260" t="str">
        <f>VLOOKUP(A260,'Remote work mental helath'!$A$2:$T$1001,13,)</f>
        <v>No</v>
      </c>
      <c r="K260">
        <f>VLOOKUP(A260,'Remote work mental helath'!$A$2:$T$1001,17,FALSE)</f>
        <v>3</v>
      </c>
    </row>
    <row r="261" spans="1:11" x14ac:dyDescent="0.3">
      <c r="A261" t="s">
        <v>310</v>
      </c>
      <c r="B261" t="str">
        <f>VLOOKUP(A261,'Remote work mental helath'!$A$2:$T$1001,12,)</f>
        <v>Burnout</v>
      </c>
      <c r="C261" t="str">
        <f>VLOOKUP(A261,'Remote work mental helath'!$A$2:$T$1001,11,)</f>
        <v>Medium</v>
      </c>
      <c r="D261">
        <f>VLOOKUP('Mental Helath'!A261,'Remote work mental helath'!$A$2:$T$1001,10,)</f>
        <v>2</v>
      </c>
      <c r="E261" t="str">
        <f>VLOOKUP(A261,'Remote work mental helath'!A261:T1260,19,FALSE)</f>
        <v>Average</v>
      </c>
      <c r="F261" t="str">
        <f>VLOOKUP(A261,'Remote work mental helath'!$A$2:$T$1001,18,)</f>
        <v>Weekly</v>
      </c>
      <c r="G261">
        <f>VLOOKUP(A261,'Remote work mental helath'!$A$2:$T$1001,15,FALSE)</f>
        <v>2</v>
      </c>
      <c r="H261" t="str">
        <f>VLOOKUP(A261,'Remote work mental helath'!$A$2:$T$1001,14,)</f>
        <v>Increase</v>
      </c>
      <c r="I261" t="str">
        <f>VLOOKUP(A261,'Remote work mental helath'!$A$2:$T$1001,16,)</f>
        <v>Neutral</v>
      </c>
      <c r="J261" t="str">
        <f>VLOOKUP(A261,'Remote work mental helath'!$A$2:$T$1001,13,)</f>
        <v>Yes</v>
      </c>
      <c r="K261">
        <f>VLOOKUP(A261,'Remote work mental helath'!$A$2:$T$1001,17,FALSE)</f>
        <v>5</v>
      </c>
    </row>
    <row r="262" spans="1:11" x14ac:dyDescent="0.3">
      <c r="A262" t="s">
        <v>311</v>
      </c>
      <c r="B262" t="str">
        <f>VLOOKUP(A262,'Remote work mental helath'!$A$2:$T$1001,12,)</f>
        <v>None</v>
      </c>
      <c r="C262" t="str">
        <f>VLOOKUP(A262,'Remote work mental helath'!$A$2:$T$1001,11,)</f>
        <v>High</v>
      </c>
      <c r="D262">
        <f>VLOOKUP('Mental Helath'!A262,'Remote work mental helath'!$A$2:$T$1001,10,)</f>
        <v>4</v>
      </c>
      <c r="E262" t="str">
        <f>VLOOKUP(A262,'Remote work mental helath'!A262:T1261,19,FALSE)</f>
        <v>Poor</v>
      </c>
      <c r="F262" t="str">
        <f>VLOOKUP(A262,'Remote work mental helath'!$A$2:$T$1001,18,)</f>
        <v>Weekly</v>
      </c>
      <c r="G262">
        <f>VLOOKUP(A262,'Remote work mental helath'!$A$2:$T$1001,15,FALSE)</f>
        <v>3</v>
      </c>
      <c r="H262" t="str">
        <f>VLOOKUP(A262,'Remote work mental helath'!$A$2:$T$1001,14,)</f>
        <v>Increase</v>
      </c>
      <c r="I262" t="str">
        <f>VLOOKUP(A262,'Remote work mental helath'!$A$2:$T$1001,16,)</f>
        <v>Neutral</v>
      </c>
      <c r="J262" t="str">
        <f>VLOOKUP(A262,'Remote work mental helath'!$A$2:$T$1001,13,)</f>
        <v>No</v>
      </c>
      <c r="K262">
        <f>VLOOKUP(A262,'Remote work mental helath'!$A$2:$T$1001,17,FALSE)</f>
        <v>3</v>
      </c>
    </row>
    <row r="263" spans="1:11" x14ac:dyDescent="0.3">
      <c r="A263" t="s">
        <v>312</v>
      </c>
      <c r="B263" t="str">
        <f>VLOOKUP(A263,'Remote work mental helath'!$A$2:$T$1001,12,)</f>
        <v>Burnout</v>
      </c>
      <c r="C263" t="str">
        <f>VLOOKUP(A263,'Remote work mental helath'!$A$2:$T$1001,11,)</f>
        <v>Low</v>
      </c>
      <c r="D263">
        <f>VLOOKUP('Mental Helath'!A263,'Remote work mental helath'!$A$2:$T$1001,10,)</f>
        <v>1</v>
      </c>
      <c r="E263" t="str">
        <f>VLOOKUP(A263,'Remote work mental helath'!A263:T1262,19,FALSE)</f>
        <v>Good</v>
      </c>
      <c r="F263" t="str">
        <f>VLOOKUP(A263,'Remote work mental helath'!$A$2:$T$1001,18,)</f>
        <v>None</v>
      </c>
      <c r="G263">
        <f>VLOOKUP(A263,'Remote work mental helath'!$A$2:$T$1001,15,FALSE)</f>
        <v>1</v>
      </c>
      <c r="H263" t="str">
        <f>VLOOKUP(A263,'Remote work mental helath'!$A$2:$T$1001,14,)</f>
        <v>No Change</v>
      </c>
      <c r="I263" t="str">
        <f>VLOOKUP(A263,'Remote work mental helath'!$A$2:$T$1001,16,)</f>
        <v>Neutral</v>
      </c>
      <c r="J263" t="str">
        <f>VLOOKUP(A263,'Remote work mental helath'!$A$2:$T$1001,13,)</f>
        <v>No</v>
      </c>
      <c r="K263">
        <f>VLOOKUP(A263,'Remote work mental helath'!$A$2:$T$1001,17,FALSE)</f>
        <v>1</v>
      </c>
    </row>
    <row r="264" spans="1:11" x14ac:dyDescent="0.3">
      <c r="A264" t="s">
        <v>313</v>
      </c>
      <c r="B264" t="str">
        <f>VLOOKUP(A264,'Remote work mental helath'!$A$2:$T$1001,12,)</f>
        <v>Burnout</v>
      </c>
      <c r="C264" t="str">
        <f>VLOOKUP(A264,'Remote work mental helath'!$A$2:$T$1001,11,)</f>
        <v>Medium</v>
      </c>
      <c r="D264">
        <f>VLOOKUP('Mental Helath'!A264,'Remote work mental helath'!$A$2:$T$1001,10,)</f>
        <v>3</v>
      </c>
      <c r="E264" t="str">
        <f>VLOOKUP(A264,'Remote work mental helath'!A264:T1263,19,FALSE)</f>
        <v>Average</v>
      </c>
      <c r="F264" t="str">
        <f>VLOOKUP(A264,'Remote work mental helath'!$A$2:$T$1001,18,)</f>
        <v>None</v>
      </c>
      <c r="G264">
        <f>VLOOKUP(A264,'Remote work mental helath'!$A$2:$T$1001,15,FALSE)</f>
        <v>1</v>
      </c>
      <c r="H264" t="str">
        <f>VLOOKUP(A264,'Remote work mental helath'!$A$2:$T$1001,14,)</f>
        <v>No Change</v>
      </c>
      <c r="I264" t="str">
        <f>VLOOKUP(A264,'Remote work mental helath'!$A$2:$T$1001,16,)</f>
        <v>Neutral</v>
      </c>
      <c r="J264" t="str">
        <f>VLOOKUP(A264,'Remote work mental helath'!$A$2:$T$1001,13,)</f>
        <v>No</v>
      </c>
      <c r="K264">
        <f>VLOOKUP(A264,'Remote work mental helath'!$A$2:$T$1001,17,FALSE)</f>
        <v>2</v>
      </c>
    </row>
    <row r="265" spans="1:11" x14ac:dyDescent="0.3">
      <c r="A265" t="s">
        <v>314</v>
      </c>
      <c r="B265" t="str">
        <f>VLOOKUP(A265,'Remote work mental helath'!$A$2:$T$1001,12,)</f>
        <v>Depression</v>
      </c>
      <c r="C265" t="str">
        <f>VLOOKUP(A265,'Remote work mental helath'!$A$2:$T$1001,11,)</f>
        <v>Medium</v>
      </c>
      <c r="D265">
        <f>VLOOKUP('Mental Helath'!A265,'Remote work mental helath'!$A$2:$T$1001,10,)</f>
        <v>5</v>
      </c>
      <c r="E265" t="str">
        <f>VLOOKUP(A265,'Remote work mental helath'!A265:T1264,19,FALSE)</f>
        <v>Poor</v>
      </c>
      <c r="F265" t="str">
        <f>VLOOKUP(A265,'Remote work mental helath'!$A$2:$T$1001,18,)</f>
        <v>Daily</v>
      </c>
      <c r="G265">
        <f>VLOOKUP(A265,'Remote work mental helath'!$A$2:$T$1001,15,FALSE)</f>
        <v>3</v>
      </c>
      <c r="H265" t="str">
        <f>VLOOKUP(A265,'Remote work mental helath'!$A$2:$T$1001,14,)</f>
        <v>Decrease</v>
      </c>
      <c r="I265" t="str">
        <f>VLOOKUP(A265,'Remote work mental helath'!$A$2:$T$1001,16,)</f>
        <v>Neutral</v>
      </c>
      <c r="J265" t="str">
        <f>VLOOKUP(A265,'Remote work mental helath'!$A$2:$T$1001,13,)</f>
        <v>No</v>
      </c>
      <c r="K265">
        <f>VLOOKUP(A265,'Remote work mental helath'!$A$2:$T$1001,17,FALSE)</f>
        <v>5</v>
      </c>
    </row>
    <row r="266" spans="1:11" x14ac:dyDescent="0.3">
      <c r="A266" t="s">
        <v>315</v>
      </c>
      <c r="B266" t="str">
        <f>VLOOKUP(A266,'Remote work mental helath'!$A$2:$T$1001,12,)</f>
        <v>Anxiety</v>
      </c>
      <c r="C266" t="str">
        <f>VLOOKUP(A266,'Remote work mental helath'!$A$2:$T$1001,11,)</f>
        <v>Medium</v>
      </c>
      <c r="D266">
        <f>VLOOKUP('Mental Helath'!A266,'Remote work mental helath'!$A$2:$T$1001,10,)</f>
        <v>1</v>
      </c>
      <c r="E266" t="str">
        <f>VLOOKUP(A266,'Remote work mental helath'!A266:T1265,19,FALSE)</f>
        <v>Average</v>
      </c>
      <c r="F266" t="str">
        <f>VLOOKUP(A266,'Remote work mental helath'!$A$2:$T$1001,18,)</f>
        <v>None</v>
      </c>
      <c r="G266">
        <f>VLOOKUP(A266,'Remote work mental helath'!$A$2:$T$1001,15,FALSE)</f>
        <v>4</v>
      </c>
      <c r="H266" t="str">
        <f>VLOOKUP(A266,'Remote work mental helath'!$A$2:$T$1001,14,)</f>
        <v>No Change</v>
      </c>
      <c r="I266" t="str">
        <f>VLOOKUP(A266,'Remote work mental helath'!$A$2:$T$1001,16,)</f>
        <v>Satisfied</v>
      </c>
      <c r="J266" t="str">
        <f>VLOOKUP(A266,'Remote work mental helath'!$A$2:$T$1001,13,)</f>
        <v>No</v>
      </c>
      <c r="K266">
        <f>VLOOKUP(A266,'Remote work mental helath'!$A$2:$T$1001,17,FALSE)</f>
        <v>5</v>
      </c>
    </row>
    <row r="267" spans="1:11" x14ac:dyDescent="0.3">
      <c r="A267" t="s">
        <v>316</v>
      </c>
      <c r="B267" t="str">
        <f>VLOOKUP(A267,'Remote work mental helath'!$A$2:$T$1001,12,)</f>
        <v>Depression</v>
      </c>
      <c r="C267" t="str">
        <f>VLOOKUP(A267,'Remote work mental helath'!$A$2:$T$1001,11,)</f>
        <v>Medium</v>
      </c>
      <c r="D267">
        <f>VLOOKUP('Mental Helath'!A267,'Remote work mental helath'!$A$2:$T$1001,10,)</f>
        <v>4</v>
      </c>
      <c r="E267" t="str">
        <f>VLOOKUP(A267,'Remote work mental helath'!A267:T1266,19,FALSE)</f>
        <v>Good</v>
      </c>
      <c r="F267" t="str">
        <f>VLOOKUP(A267,'Remote work mental helath'!$A$2:$T$1001,18,)</f>
        <v>Weekly</v>
      </c>
      <c r="G267">
        <f>VLOOKUP(A267,'Remote work mental helath'!$A$2:$T$1001,15,FALSE)</f>
        <v>3</v>
      </c>
      <c r="H267" t="str">
        <f>VLOOKUP(A267,'Remote work mental helath'!$A$2:$T$1001,14,)</f>
        <v>No Change</v>
      </c>
      <c r="I267" t="str">
        <f>VLOOKUP(A267,'Remote work mental helath'!$A$2:$T$1001,16,)</f>
        <v>Satisfied</v>
      </c>
      <c r="J267" t="str">
        <f>VLOOKUP(A267,'Remote work mental helath'!$A$2:$T$1001,13,)</f>
        <v>Yes</v>
      </c>
      <c r="K267">
        <f>VLOOKUP(A267,'Remote work mental helath'!$A$2:$T$1001,17,FALSE)</f>
        <v>4</v>
      </c>
    </row>
    <row r="268" spans="1:11" x14ac:dyDescent="0.3">
      <c r="A268" t="s">
        <v>317</v>
      </c>
      <c r="B268" t="str">
        <f>VLOOKUP(A268,'Remote work mental helath'!$A$2:$T$1001,12,)</f>
        <v>Burnout</v>
      </c>
      <c r="C268" t="str">
        <f>VLOOKUP(A268,'Remote work mental helath'!$A$2:$T$1001,11,)</f>
        <v>Medium</v>
      </c>
      <c r="D268">
        <f>VLOOKUP('Mental Helath'!A268,'Remote work mental helath'!$A$2:$T$1001,10,)</f>
        <v>3</v>
      </c>
      <c r="E268" t="str">
        <f>VLOOKUP(A268,'Remote work mental helath'!A268:T1267,19,FALSE)</f>
        <v>Average</v>
      </c>
      <c r="F268" t="str">
        <f>VLOOKUP(A268,'Remote work mental helath'!$A$2:$T$1001,18,)</f>
        <v>None</v>
      </c>
      <c r="G268">
        <f>VLOOKUP(A268,'Remote work mental helath'!$A$2:$T$1001,15,FALSE)</f>
        <v>3</v>
      </c>
      <c r="H268" t="str">
        <f>VLOOKUP(A268,'Remote work mental helath'!$A$2:$T$1001,14,)</f>
        <v>Decrease</v>
      </c>
      <c r="I268" t="str">
        <f>VLOOKUP(A268,'Remote work mental helath'!$A$2:$T$1001,16,)</f>
        <v>Satisfied</v>
      </c>
      <c r="J268" t="str">
        <f>VLOOKUP(A268,'Remote work mental helath'!$A$2:$T$1001,13,)</f>
        <v>No</v>
      </c>
      <c r="K268">
        <f>VLOOKUP(A268,'Remote work mental helath'!$A$2:$T$1001,17,FALSE)</f>
        <v>5</v>
      </c>
    </row>
    <row r="269" spans="1:11" x14ac:dyDescent="0.3">
      <c r="A269" t="s">
        <v>318</v>
      </c>
      <c r="B269" t="str">
        <f>VLOOKUP(A269,'Remote work mental helath'!$A$2:$T$1001,12,)</f>
        <v>Anxiety</v>
      </c>
      <c r="C269" t="str">
        <f>VLOOKUP(A269,'Remote work mental helath'!$A$2:$T$1001,11,)</f>
        <v>Medium</v>
      </c>
      <c r="D269">
        <f>VLOOKUP('Mental Helath'!A269,'Remote work mental helath'!$A$2:$T$1001,10,)</f>
        <v>4</v>
      </c>
      <c r="E269" t="str">
        <f>VLOOKUP(A269,'Remote work mental helath'!A269:T1268,19,FALSE)</f>
        <v>Average</v>
      </c>
      <c r="F269" t="str">
        <f>VLOOKUP(A269,'Remote work mental helath'!$A$2:$T$1001,18,)</f>
        <v>None</v>
      </c>
      <c r="G269">
        <f>VLOOKUP(A269,'Remote work mental helath'!$A$2:$T$1001,15,FALSE)</f>
        <v>5</v>
      </c>
      <c r="H269" t="str">
        <f>VLOOKUP(A269,'Remote work mental helath'!$A$2:$T$1001,14,)</f>
        <v>Decrease</v>
      </c>
      <c r="I269" t="str">
        <f>VLOOKUP(A269,'Remote work mental helath'!$A$2:$T$1001,16,)</f>
        <v>Unsatisfied</v>
      </c>
      <c r="J269" t="str">
        <f>VLOOKUP(A269,'Remote work mental helath'!$A$2:$T$1001,13,)</f>
        <v>No</v>
      </c>
      <c r="K269">
        <f>VLOOKUP(A269,'Remote work mental helath'!$A$2:$T$1001,17,FALSE)</f>
        <v>3</v>
      </c>
    </row>
    <row r="270" spans="1:11" x14ac:dyDescent="0.3">
      <c r="A270" t="s">
        <v>319</v>
      </c>
      <c r="B270" t="str">
        <f>VLOOKUP(A270,'Remote work mental helath'!$A$2:$T$1001,12,)</f>
        <v>Burnout</v>
      </c>
      <c r="C270" t="str">
        <f>VLOOKUP(A270,'Remote work mental helath'!$A$2:$T$1001,11,)</f>
        <v>Medium</v>
      </c>
      <c r="D270">
        <f>VLOOKUP('Mental Helath'!A270,'Remote work mental helath'!$A$2:$T$1001,10,)</f>
        <v>4</v>
      </c>
      <c r="E270" t="str">
        <f>VLOOKUP(A270,'Remote work mental helath'!A270:T1269,19,FALSE)</f>
        <v>Poor</v>
      </c>
      <c r="F270" t="str">
        <f>VLOOKUP(A270,'Remote work mental helath'!$A$2:$T$1001,18,)</f>
        <v>None</v>
      </c>
      <c r="G270">
        <f>VLOOKUP(A270,'Remote work mental helath'!$A$2:$T$1001,15,FALSE)</f>
        <v>3</v>
      </c>
      <c r="H270" t="str">
        <f>VLOOKUP(A270,'Remote work mental helath'!$A$2:$T$1001,14,)</f>
        <v>Increase</v>
      </c>
      <c r="I270" t="str">
        <f>VLOOKUP(A270,'Remote work mental helath'!$A$2:$T$1001,16,)</f>
        <v>Unsatisfied</v>
      </c>
      <c r="J270" t="str">
        <f>VLOOKUP(A270,'Remote work mental helath'!$A$2:$T$1001,13,)</f>
        <v>No</v>
      </c>
      <c r="K270">
        <f>VLOOKUP(A270,'Remote work mental helath'!$A$2:$T$1001,17,FALSE)</f>
        <v>3</v>
      </c>
    </row>
    <row r="271" spans="1:11" x14ac:dyDescent="0.3">
      <c r="A271" t="s">
        <v>320</v>
      </c>
      <c r="B271" t="str">
        <f>VLOOKUP(A271,'Remote work mental helath'!$A$2:$T$1001,12,)</f>
        <v>Depression</v>
      </c>
      <c r="C271" t="str">
        <f>VLOOKUP(A271,'Remote work mental helath'!$A$2:$T$1001,11,)</f>
        <v>High</v>
      </c>
      <c r="D271">
        <f>VLOOKUP('Mental Helath'!A271,'Remote work mental helath'!$A$2:$T$1001,10,)</f>
        <v>4</v>
      </c>
      <c r="E271" t="str">
        <f>VLOOKUP(A271,'Remote work mental helath'!A271:T1270,19,FALSE)</f>
        <v>Average</v>
      </c>
      <c r="F271" t="str">
        <f>VLOOKUP(A271,'Remote work mental helath'!$A$2:$T$1001,18,)</f>
        <v>Daily</v>
      </c>
      <c r="G271">
        <f>VLOOKUP(A271,'Remote work mental helath'!$A$2:$T$1001,15,FALSE)</f>
        <v>5</v>
      </c>
      <c r="H271" t="str">
        <f>VLOOKUP(A271,'Remote work mental helath'!$A$2:$T$1001,14,)</f>
        <v>Increase</v>
      </c>
      <c r="I271" t="str">
        <f>VLOOKUP(A271,'Remote work mental helath'!$A$2:$T$1001,16,)</f>
        <v>Neutral</v>
      </c>
      <c r="J271" t="str">
        <f>VLOOKUP(A271,'Remote work mental helath'!$A$2:$T$1001,13,)</f>
        <v>Yes</v>
      </c>
      <c r="K271">
        <f>VLOOKUP(A271,'Remote work mental helath'!$A$2:$T$1001,17,FALSE)</f>
        <v>4</v>
      </c>
    </row>
    <row r="272" spans="1:11" x14ac:dyDescent="0.3">
      <c r="A272" t="s">
        <v>321</v>
      </c>
      <c r="B272" t="str">
        <f>VLOOKUP(A272,'Remote work mental helath'!$A$2:$T$1001,12,)</f>
        <v>Anxiety</v>
      </c>
      <c r="C272" t="str">
        <f>VLOOKUP(A272,'Remote work mental helath'!$A$2:$T$1001,11,)</f>
        <v>High</v>
      </c>
      <c r="D272">
        <f>VLOOKUP('Mental Helath'!A272,'Remote work mental helath'!$A$2:$T$1001,10,)</f>
        <v>4</v>
      </c>
      <c r="E272" t="str">
        <f>VLOOKUP(A272,'Remote work mental helath'!A272:T1271,19,FALSE)</f>
        <v>Good</v>
      </c>
      <c r="F272" t="str">
        <f>VLOOKUP(A272,'Remote work mental helath'!$A$2:$T$1001,18,)</f>
        <v>Weekly</v>
      </c>
      <c r="G272">
        <f>VLOOKUP(A272,'Remote work mental helath'!$A$2:$T$1001,15,FALSE)</f>
        <v>5</v>
      </c>
      <c r="H272" t="str">
        <f>VLOOKUP(A272,'Remote work mental helath'!$A$2:$T$1001,14,)</f>
        <v>Increase</v>
      </c>
      <c r="I272" t="str">
        <f>VLOOKUP(A272,'Remote work mental helath'!$A$2:$T$1001,16,)</f>
        <v>Satisfied</v>
      </c>
      <c r="J272" t="str">
        <f>VLOOKUP(A272,'Remote work mental helath'!$A$2:$T$1001,13,)</f>
        <v>Yes</v>
      </c>
      <c r="K272">
        <f>VLOOKUP(A272,'Remote work mental helath'!$A$2:$T$1001,17,FALSE)</f>
        <v>5</v>
      </c>
    </row>
    <row r="273" spans="1:11" x14ac:dyDescent="0.3">
      <c r="A273" t="s">
        <v>322</v>
      </c>
      <c r="B273" t="str">
        <f>VLOOKUP(A273,'Remote work mental helath'!$A$2:$T$1001,12,)</f>
        <v>Depression</v>
      </c>
      <c r="C273" t="str">
        <f>VLOOKUP(A273,'Remote work mental helath'!$A$2:$T$1001,11,)</f>
        <v>Medium</v>
      </c>
      <c r="D273">
        <f>VLOOKUP('Mental Helath'!A273,'Remote work mental helath'!$A$2:$T$1001,10,)</f>
        <v>2</v>
      </c>
      <c r="E273" t="str">
        <f>VLOOKUP(A273,'Remote work mental helath'!A273:T1272,19,FALSE)</f>
        <v>Poor</v>
      </c>
      <c r="F273" t="str">
        <f>VLOOKUP(A273,'Remote work mental helath'!$A$2:$T$1001,18,)</f>
        <v>Daily</v>
      </c>
      <c r="G273">
        <f>VLOOKUP(A273,'Remote work mental helath'!$A$2:$T$1001,15,FALSE)</f>
        <v>3</v>
      </c>
      <c r="H273" t="str">
        <f>VLOOKUP(A273,'Remote work mental helath'!$A$2:$T$1001,14,)</f>
        <v>No Change</v>
      </c>
      <c r="I273" t="str">
        <f>VLOOKUP(A273,'Remote work mental helath'!$A$2:$T$1001,16,)</f>
        <v>Satisfied</v>
      </c>
      <c r="J273" t="str">
        <f>VLOOKUP(A273,'Remote work mental helath'!$A$2:$T$1001,13,)</f>
        <v>Yes</v>
      </c>
      <c r="K273">
        <f>VLOOKUP(A273,'Remote work mental helath'!$A$2:$T$1001,17,FALSE)</f>
        <v>2</v>
      </c>
    </row>
    <row r="274" spans="1:11" x14ac:dyDescent="0.3">
      <c r="A274" t="s">
        <v>323</v>
      </c>
      <c r="B274" t="str">
        <f>VLOOKUP(A274,'Remote work mental helath'!$A$2:$T$1001,12,)</f>
        <v>Burnout</v>
      </c>
      <c r="C274" t="str">
        <f>VLOOKUP(A274,'Remote work mental helath'!$A$2:$T$1001,11,)</f>
        <v>Medium</v>
      </c>
      <c r="D274">
        <f>VLOOKUP('Mental Helath'!A274,'Remote work mental helath'!$A$2:$T$1001,10,)</f>
        <v>4</v>
      </c>
      <c r="E274" t="str">
        <f>VLOOKUP(A274,'Remote work mental helath'!A274:T1273,19,FALSE)</f>
        <v>Poor</v>
      </c>
      <c r="F274" t="str">
        <f>VLOOKUP(A274,'Remote work mental helath'!$A$2:$T$1001,18,)</f>
        <v>None</v>
      </c>
      <c r="G274">
        <f>VLOOKUP(A274,'Remote work mental helath'!$A$2:$T$1001,15,FALSE)</f>
        <v>1</v>
      </c>
      <c r="H274" t="str">
        <f>VLOOKUP(A274,'Remote work mental helath'!$A$2:$T$1001,14,)</f>
        <v>Decrease</v>
      </c>
      <c r="I274" t="str">
        <f>VLOOKUP(A274,'Remote work mental helath'!$A$2:$T$1001,16,)</f>
        <v>Unsatisfied</v>
      </c>
      <c r="J274" t="str">
        <f>VLOOKUP(A274,'Remote work mental helath'!$A$2:$T$1001,13,)</f>
        <v>Yes</v>
      </c>
      <c r="K274">
        <f>VLOOKUP(A274,'Remote work mental helath'!$A$2:$T$1001,17,FALSE)</f>
        <v>4</v>
      </c>
    </row>
    <row r="275" spans="1:11" x14ac:dyDescent="0.3">
      <c r="A275" t="s">
        <v>324</v>
      </c>
      <c r="B275" t="str">
        <f>VLOOKUP(A275,'Remote work mental helath'!$A$2:$T$1001,12,)</f>
        <v>Depression</v>
      </c>
      <c r="C275" t="str">
        <f>VLOOKUP(A275,'Remote work mental helath'!$A$2:$T$1001,11,)</f>
        <v>High</v>
      </c>
      <c r="D275">
        <f>VLOOKUP('Mental Helath'!A275,'Remote work mental helath'!$A$2:$T$1001,10,)</f>
        <v>3</v>
      </c>
      <c r="E275" t="str">
        <f>VLOOKUP(A275,'Remote work mental helath'!A275:T1274,19,FALSE)</f>
        <v>Good</v>
      </c>
      <c r="F275" t="str">
        <f>VLOOKUP(A275,'Remote work mental helath'!$A$2:$T$1001,18,)</f>
        <v>None</v>
      </c>
      <c r="G275">
        <f>VLOOKUP(A275,'Remote work mental helath'!$A$2:$T$1001,15,FALSE)</f>
        <v>3</v>
      </c>
      <c r="H275" t="str">
        <f>VLOOKUP(A275,'Remote work mental helath'!$A$2:$T$1001,14,)</f>
        <v>Decrease</v>
      </c>
      <c r="I275" t="str">
        <f>VLOOKUP(A275,'Remote work mental helath'!$A$2:$T$1001,16,)</f>
        <v>Neutral</v>
      </c>
      <c r="J275" t="str">
        <f>VLOOKUP(A275,'Remote work mental helath'!$A$2:$T$1001,13,)</f>
        <v>No</v>
      </c>
      <c r="K275">
        <f>VLOOKUP(A275,'Remote work mental helath'!$A$2:$T$1001,17,FALSE)</f>
        <v>2</v>
      </c>
    </row>
    <row r="276" spans="1:11" x14ac:dyDescent="0.3">
      <c r="A276" t="s">
        <v>325</v>
      </c>
      <c r="B276" t="str">
        <f>VLOOKUP(A276,'Remote work mental helath'!$A$2:$T$1001,12,)</f>
        <v>Depression</v>
      </c>
      <c r="C276" t="str">
        <f>VLOOKUP(A276,'Remote work mental helath'!$A$2:$T$1001,11,)</f>
        <v>Low</v>
      </c>
      <c r="D276">
        <f>VLOOKUP('Mental Helath'!A276,'Remote work mental helath'!$A$2:$T$1001,10,)</f>
        <v>2</v>
      </c>
      <c r="E276" t="str">
        <f>VLOOKUP(A276,'Remote work mental helath'!A276:T1275,19,FALSE)</f>
        <v>Poor</v>
      </c>
      <c r="F276" t="str">
        <f>VLOOKUP(A276,'Remote work mental helath'!$A$2:$T$1001,18,)</f>
        <v>Weekly</v>
      </c>
      <c r="G276">
        <f>VLOOKUP(A276,'Remote work mental helath'!$A$2:$T$1001,15,FALSE)</f>
        <v>2</v>
      </c>
      <c r="H276" t="str">
        <f>VLOOKUP(A276,'Remote work mental helath'!$A$2:$T$1001,14,)</f>
        <v>Decrease</v>
      </c>
      <c r="I276" t="str">
        <f>VLOOKUP(A276,'Remote work mental helath'!$A$2:$T$1001,16,)</f>
        <v>Satisfied</v>
      </c>
      <c r="J276" t="str">
        <f>VLOOKUP(A276,'Remote work mental helath'!$A$2:$T$1001,13,)</f>
        <v>No</v>
      </c>
      <c r="K276">
        <f>VLOOKUP(A276,'Remote work mental helath'!$A$2:$T$1001,17,FALSE)</f>
        <v>3</v>
      </c>
    </row>
    <row r="277" spans="1:11" x14ac:dyDescent="0.3">
      <c r="A277" t="s">
        <v>326</v>
      </c>
      <c r="B277" t="str">
        <f>VLOOKUP(A277,'Remote work mental helath'!$A$2:$T$1001,12,)</f>
        <v>Depression</v>
      </c>
      <c r="C277" t="str">
        <f>VLOOKUP(A277,'Remote work mental helath'!$A$2:$T$1001,11,)</f>
        <v>Low</v>
      </c>
      <c r="D277">
        <f>VLOOKUP('Mental Helath'!A277,'Remote work mental helath'!$A$2:$T$1001,10,)</f>
        <v>4</v>
      </c>
      <c r="E277" t="str">
        <f>VLOOKUP(A277,'Remote work mental helath'!A277:T1276,19,FALSE)</f>
        <v>Good</v>
      </c>
      <c r="F277" t="str">
        <f>VLOOKUP(A277,'Remote work mental helath'!$A$2:$T$1001,18,)</f>
        <v>Daily</v>
      </c>
      <c r="G277">
        <f>VLOOKUP(A277,'Remote work mental helath'!$A$2:$T$1001,15,FALSE)</f>
        <v>4</v>
      </c>
      <c r="H277" t="str">
        <f>VLOOKUP(A277,'Remote work mental helath'!$A$2:$T$1001,14,)</f>
        <v>No Change</v>
      </c>
      <c r="I277" t="str">
        <f>VLOOKUP(A277,'Remote work mental helath'!$A$2:$T$1001,16,)</f>
        <v>Satisfied</v>
      </c>
      <c r="J277" t="str">
        <f>VLOOKUP(A277,'Remote work mental helath'!$A$2:$T$1001,13,)</f>
        <v>Yes</v>
      </c>
      <c r="K277">
        <f>VLOOKUP(A277,'Remote work mental helath'!$A$2:$T$1001,17,FALSE)</f>
        <v>4</v>
      </c>
    </row>
    <row r="278" spans="1:11" x14ac:dyDescent="0.3">
      <c r="A278" t="s">
        <v>327</v>
      </c>
      <c r="B278" t="str">
        <f>VLOOKUP(A278,'Remote work mental helath'!$A$2:$T$1001,12,)</f>
        <v>Anxiety</v>
      </c>
      <c r="C278" t="str">
        <f>VLOOKUP(A278,'Remote work mental helath'!$A$2:$T$1001,11,)</f>
        <v>High</v>
      </c>
      <c r="D278">
        <f>VLOOKUP('Mental Helath'!A278,'Remote work mental helath'!$A$2:$T$1001,10,)</f>
        <v>4</v>
      </c>
      <c r="E278" t="str">
        <f>VLOOKUP(A278,'Remote work mental helath'!A278:T1277,19,FALSE)</f>
        <v>Average</v>
      </c>
      <c r="F278" t="str">
        <f>VLOOKUP(A278,'Remote work mental helath'!$A$2:$T$1001,18,)</f>
        <v>None</v>
      </c>
      <c r="G278">
        <f>VLOOKUP(A278,'Remote work mental helath'!$A$2:$T$1001,15,FALSE)</f>
        <v>4</v>
      </c>
      <c r="H278" t="str">
        <f>VLOOKUP(A278,'Remote work mental helath'!$A$2:$T$1001,14,)</f>
        <v>Decrease</v>
      </c>
      <c r="I278" t="str">
        <f>VLOOKUP(A278,'Remote work mental helath'!$A$2:$T$1001,16,)</f>
        <v>Satisfied</v>
      </c>
      <c r="J278" t="str">
        <f>VLOOKUP(A278,'Remote work mental helath'!$A$2:$T$1001,13,)</f>
        <v>No</v>
      </c>
      <c r="K278">
        <f>VLOOKUP(A278,'Remote work mental helath'!$A$2:$T$1001,17,FALSE)</f>
        <v>1</v>
      </c>
    </row>
    <row r="279" spans="1:11" x14ac:dyDescent="0.3">
      <c r="A279" t="s">
        <v>328</v>
      </c>
      <c r="B279" t="str">
        <f>VLOOKUP(A279,'Remote work mental helath'!$A$2:$T$1001,12,)</f>
        <v>Burnout</v>
      </c>
      <c r="C279" t="str">
        <f>VLOOKUP(A279,'Remote work mental helath'!$A$2:$T$1001,11,)</f>
        <v>Low</v>
      </c>
      <c r="D279">
        <f>VLOOKUP('Mental Helath'!A279,'Remote work mental helath'!$A$2:$T$1001,10,)</f>
        <v>3</v>
      </c>
      <c r="E279" t="str">
        <f>VLOOKUP(A279,'Remote work mental helath'!A279:T1278,19,FALSE)</f>
        <v>Poor</v>
      </c>
      <c r="F279" t="str">
        <f>VLOOKUP(A279,'Remote work mental helath'!$A$2:$T$1001,18,)</f>
        <v>None</v>
      </c>
      <c r="G279">
        <f>VLOOKUP(A279,'Remote work mental helath'!$A$2:$T$1001,15,FALSE)</f>
        <v>4</v>
      </c>
      <c r="H279" t="str">
        <f>VLOOKUP(A279,'Remote work mental helath'!$A$2:$T$1001,14,)</f>
        <v>Increase</v>
      </c>
      <c r="I279" t="str">
        <f>VLOOKUP(A279,'Remote work mental helath'!$A$2:$T$1001,16,)</f>
        <v>Neutral</v>
      </c>
      <c r="J279" t="str">
        <f>VLOOKUP(A279,'Remote work mental helath'!$A$2:$T$1001,13,)</f>
        <v>No</v>
      </c>
      <c r="K279">
        <f>VLOOKUP(A279,'Remote work mental helath'!$A$2:$T$1001,17,FALSE)</f>
        <v>5</v>
      </c>
    </row>
    <row r="280" spans="1:11" x14ac:dyDescent="0.3">
      <c r="A280" t="s">
        <v>329</v>
      </c>
      <c r="B280" t="str">
        <f>VLOOKUP(A280,'Remote work mental helath'!$A$2:$T$1001,12,)</f>
        <v>None</v>
      </c>
      <c r="C280" t="str">
        <f>VLOOKUP(A280,'Remote work mental helath'!$A$2:$T$1001,11,)</f>
        <v>Medium</v>
      </c>
      <c r="D280">
        <f>VLOOKUP('Mental Helath'!A280,'Remote work mental helath'!$A$2:$T$1001,10,)</f>
        <v>4</v>
      </c>
      <c r="E280" t="str">
        <f>VLOOKUP(A280,'Remote work mental helath'!A280:T1279,19,FALSE)</f>
        <v>Poor</v>
      </c>
      <c r="F280" t="str">
        <f>VLOOKUP(A280,'Remote work mental helath'!$A$2:$T$1001,18,)</f>
        <v>Daily</v>
      </c>
      <c r="G280">
        <f>VLOOKUP(A280,'Remote work mental helath'!$A$2:$T$1001,15,FALSE)</f>
        <v>2</v>
      </c>
      <c r="H280" t="str">
        <f>VLOOKUP(A280,'Remote work mental helath'!$A$2:$T$1001,14,)</f>
        <v>Decrease</v>
      </c>
      <c r="I280" t="str">
        <f>VLOOKUP(A280,'Remote work mental helath'!$A$2:$T$1001,16,)</f>
        <v>Unsatisfied</v>
      </c>
      <c r="J280" t="str">
        <f>VLOOKUP(A280,'Remote work mental helath'!$A$2:$T$1001,13,)</f>
        <v>Yes</v>
      </c>
      <c r="K280">
        <f>VLOOKUP(A280,'Remote work mental helath'!$A$2:$T$1001,17,FALSE)</f>
        <v>4</v>
      </c>
    </row>
    <row r="281" spans="1:11" x14ac:dyDescent="0.3">
      <c r="A281" t="s">
        <v>330</v>
      </c>
      <c r="B281" t="str">
        <f>VLOOKUP(A281,'Remote work mental helath'!$A$2:$T$1001,12,)</f>
        <v>Anxiety</v>
      </c>
      <c r="C281" t="str">
        <f>VLOOKUP(A281,'Remote work mental helath'!$A$2:$T$1001,11,)</f>
        <v>Medium</v>
      </c>
      <c r="D281">
        <f>VLOOKUP('Mental Helath'!A281,'Remote work mental helath'!$A$2:$T$1001,10,)</f>
        <v>1</v>
      </c>
      <c r="E281" t="str">
        <f>VLOOKUP(A281,'Remote work mental helath'!A281:T1280,19,FALSE)</f>
        <v>Good</v>
      </c>
      <c r="F281" t="str">
        <f>VLOOKUP(A281,'Remote work mental helath'!$A$2:$T$1001,18,)</f>
        <v>None</v>
      </c>
      <c r="G281">
        <f>VLOOKUP(A281,'Remote work mental helath'!$A$2:$T$1001,15,FALSE)</f>
        <v>4</v>
      </c>
      <c r="H281" t="str">
        <f>VLOOKUP(A281,'Remote work mental helath'!$A$2:$T$1001,14,)</f>
        <v>No Change</v>
      </c>
      <c r="I281" t="str">
        <f>VLOOKUP(A281,'Remote work mental helath'!$A$2:$T$1001,16,)</f>
        <v>Satisfied</v>
      </c>
      <c r="J281" t="str">
        <f>VLOOKUP(A281,'Remote work mental helath'!$A$2:$T$1001,13,)</f>
        <v>No</v>
      </c>
      <c r="K281">
        <f>VLOOKUP(A281,'Remote work mental helath'!$A$2:$T$1001,17,FALSE)</f>
        <v>5</v>
      </c>
    </row>
    <row r="282" spans="1:11" x14ac:dyDescent="0.3">
      <c r="A282" t="s">
        <v>331</v>
      </c>
      <c r="B282" t="str">
        <f>VLOOKUP(A282,'Remote work mental helath'!$A$2:$T$1001,12,)</f>
        <v>Anxiety</v>
      </c>
      <c r="C282" t="str">
        <f>VLOOKUP(A282,'Remote work mental helath'!$A$2:$T$1001,11,)</f>
        <v>Low</v>
      </c>
      <c r="D282">
        <f>VLOOKUP('Mental Helath'!A282,'Remote work mental helath'!$A$2:$T$1001,10,)</f>
        <v>1</v>
      </c>
      <c r="E282" t="str">
        <f>VLOOKUP(A282,'Remote work mental helath'!A282:T1281,19,FALSE)</f>
        <v>Average</v>
      </c>
      <c r="F282" t="str">
        <f>VLOOKUP(A282,'Remote work mental helath'!$A$2:$T$1001,18,)</f>
        <v>Weekly</v>
      </c>
      <c r="G282">
        <f>VLOOKUP(A282,'Remote work mental helath'!$A$2:$T$1001,15,FALSE)</f>
        <v>3</v>
      </c>
      <c r="H282" t="str">
        <f>VLOOKUP(A282,'Remote work mental helath'!$A$2:$T$1001,14,)</f>
        <v>No Change</v>
      </c>
      <c r="I282" t="str">
        <f>VLOOKUP(A282,'Remote work mental helath'!$A$2:$T$1001,16,)</f>
        <v>Unsatisfied</v>
      </c>
      <c r="J282" t="str">
        <f>VLOOKUP(A282,'Remote work mental helath'!$A$2:$T$1001,13,)</f>
        <v>Yes</v>
      </c>
      <c r="K282">
        <f>VLOOKUP(A282,'Remote work mental helath'!$A$2:$T$1001,17,FALSE)</f>
        <v>1</v>
      </c>
    </row>
    <row r="283" spans="1:11" x14ac:dyDescent="0.3">
      <c r="A283" t="s">
        <v>332</v>
      </c>
      <c r="B283" t="str">
        <f>VLOOKUP(A283,'Remote work mental helath'!$A$2:$T$1001,12,)</f>
        <v>Depression</v>
      </c>
      <c r="C283" t="str">
        <f>VLOOKUP(A283,'Remote work mental helath'!$A$2:$T$1001,11,)</f>
        <v>Medium</v>
      </c>
      <c r="D283">
        <f>VLOOKUP('Mental Helath'!A283,'Remote work mental helath'!$A$2:$T$1001,10,)</f>
        <v>5</v>
      </c>
      <c r="E283" t="str">
        <f>VLOOKUP(A283,'Remote work mental helath'!A283:T1282,19,FALSE)</f>
        <v>Average</v>
      </c>
      <c r="F283" t="str">
        <f>VLOOKUP(A283,'Remote work mental helath'!$A$2:$T$1001,18,)</f>
        <v>Daily</v>
      </c>
      <c r="G283">
        <f>VLOOKUP(A283,'Remote work mental helath'!$A$2:$T$1001,15,FALSE)</f>
        <v>3</v>
      </c>
      <c r="H283" t="str">
        <f>VLOOKUP(A283,'Remote work mental helath'!$A$2:$T$1001,14,)</f>
        <v>No Change</v>
      </c>
      <c r="I283" t="str">
        <f>VLOOKUP(A283,'Remote work mental helath'!$A$2:$T$1001,16,)</f>
        <v>Satisfied</v>
      </c>
      <c r="J283" t="str">
        <f>VLOOKUP(A283,'Remote work mental helath'!$A$2:$T$1001,13,)</f>
        <v>No</v>
      </c>
      <c r="K283">
        <f>VLOOKUP(A283,'Remote work mental helath'!$A$2:$T$1001,17,FALSE)</f>
        <v>3</v>
      </c>
    </row>
    <row r="284" spans="1:11" x14ac:dyDescent="0.3">
      <c r="A284" t="s">
        <v>333</v>
      </c>
      <c r="B284" t="str">
        <f>VLOOKUP(A284,'Remote work mental helath'!$A$2:$T$1001,12,)</f>
        <v>None</v>
      </c>
      <c r="C284" t="str">
        <f>VLOOKUP(A284,'Remote work mental helath'!$A$2:$T$1001,11,)</f>
        <v>Medium</v>
      </c>
      <c r="D284">
        <f>VLOOKUP('Mental Helath'!A284,'Remote work mental helath'!$A$2:$T$1001,10,)</f>
        <v>1</v>
      </c>
      <c r="E284" t="str">
        <f>VLOOKUP(A284,'Remote work mental helath'!A284:T1283,19,FALSE)</f>
        <v>Good</v>
      </c>
      <c r="F284" t="str">
        <f>VLOOKUP(A284,'Remote work mental helath'!$A$2:$T$1001,18,)</f>
        <v>None</v>
      </c>
      <c r="G284">
        <f>VLOOKUP(A284,'Remote work mental helath'!$A$2:$T$1001,15,FALSE)</f>
        <v>5</v>
      </c>
      <c r="H284" t="str">
        <f>VLOOKUP(A284,'Remote work mental helath'!$A$2:$T$1001,14,)</f>
        <v>Decrease</v>
      </c>
      <c r="I284" t="str">
        <f>VLOOKUP(A284,'Remote work mental helath'!$A$2:$T$1001,16,)</f>
        <v>Neutral</v>
      </c>
      <c r="J284" t="str">
        <f>VLOOKUP(A284,'Remote work mental helath'!$A$2:$T$1001,13,)</f>
        <v>No</v>
      </c>
      <c r="K284">
        <f>VLOOKUP(A284,'Remote work mental helath'!$A$2:$T$1001,17,FALSE)</f>
        <v>4</v>
      </c>
    </row>
    <row r="285" spans="1:11" x14ac:dyDescent="0.3">
      <c r="A285" t="s">
        <v>334</v>
      </c>
      <c r="B285" t="str">
        <f>VLOOKUP(A285,'Remote work mental helath'!$A$2:$T$1001,12,)</f>
        <v>Burnout</v>
      </c>
      <c r="C285" t="str">
        <f>VLOOKUP(A285,'Remote work mental helath'!$A$2:$T$1001,11,)</f>
        <v>High</v>
      </c>
      <c r="D285">
        <f>VLOOKUP('Mental Helath'!A285,'Remote work mental helath'!$A$2:$T$1001,10,)</f>
        <v>5</v>
      </c>
      <c r="E285" t="str">
        <f>VLOOKUP(A285,'Remote work mental helath'!A285:T1284,19,FALSE)</f>
        <v>Average</v>
      </c>
      <c r="F285" t="str">
        <f>VLOOKUP(A285,'Remote work mental helath'!$A$2:$T$1001,18,)</f>
        <v>None</v>
      </c>
      <c r="G285">
        <f>VLOOKUP(A285,'Remote work mental helath'!$A$2:$T$1001,15,FALSE)</f>
        <v>1</v>
      </c>
      <c r="H285" t="str">
        <f>VLOOKUP(A285,'Remote work mental helath'!$A$2:$T$1001,14,)</f>
        <v>Increase</v>
      </c>
      <c r="I285" t="str">
        <f>VLOOKUP(A285,'Remote work mental helath'!$A$2:$T$1001,16,)</f>
        <v>Unsatisfied</v>
      </c>
      <c r="J285" t="str">
        <f>VLOOKUP(A285,'Remote work mental helath'!$A$2:$T$1001,13,)</f>
        <v>Yes</v>
      </c>
      <c r="K285">
        <f>VLOOKUP(A285,'Remote work mental helath'!$A$2:$T$1001,17,FALSE)</f>
        <v>3</v>
      </c>
    </row>
    <row r="286" spans="1:11" x14ac:dyDescent="0.3">
      <c r="A286" t="s">
        <v>335</v>
      </c>
      <c r="B286" t="str">
        <f>VLOOKUP(A286,'Remote work mental helath'!$A$2:$T$1001,12,)</f>
        <v>Depression</v>
      </c>
      <c r="C286" t="str">
        <f>VLOOKUP(A286,'Remote work mental helath'!$A$2:$T$1001,11,)</f>
        <v>Low</v>
      </c>
      <c r="D286">
        <f>VLOOKUP('Mental Helath'!A286,'Remote work mental helath'!$A$2:$T$1001,10,)</f>
        <v>2</v>
      </c>
      <c r="E286" t="str">
        <f>VLOOKUP(A286,'Remote work mental helath'!A286:T1285,19,FALSE)</f>
        <v>Poor</v>
      </c>
      <c r="F286" t="str">
        <f>VLOOKUP(A286,'Remote work mental helath'!$A$2:$T$1001,18,)</f>
        <v>Daily</v>
      </c>
      <c r="G286">
        <f>VLOOKUP(A286,'Remote work mental helath'!$A$2:$T$1001,15,FALSE)</f>
        <v>2</v>
      </c>
      <c r="H286" t="str">
        <f>VLOOKUP(A286,'Remote work mental helath'!$A$2:$T$1001,14,)</f>
        <v>Decrease</v>
      </c>
      <c r="I286" t="str">
        <f>VLOOKUP(A286,'Remote work mental helath'!$A$2:$T$1001,16,)</f>
        <v>Neutral</v>
      </c>
      <c r="J286" t="str">
        <f>VLOOKUP(A286,'Remote work mental helath'!$A$2:$T$1001,13,)</f>
        <v>No</v>
      </c>
      <c r="K286">
        <f>VLOOKUP(A286,'Remote work mental helath'!$A$2:$T$1001,17,FALSE)</f>
        <v>2</v>
      </c>
    </row>
    <row r="287" spans="1:11" x14ac:dyDescent="0.3">
      <c r="A287" t="s">
        <v>336</v>
      </c>
      <c r="B287" t="str">
        <f>VLOOKUP(A287,'Remote work mental helath'!$A$2:$T$1001,12,)</f>
        <v>Anxiety</v>
      </c>
      <c r="C287" t="str">
        <f>VLOOKUP(A287,'Remote work mental helath'!$A$2:$T$1001,11,)</f>
        <v>Medium</v>
      </c>
      <c r="D287">
        <f>VLOOKUP('Mental Helath'!A287,'Remote work mental helath'!$A$2:$T$1001,10,)</f>
        <v>4</v>
      </c>
      <c r="E287" t="str">
        <f>VLOOKUP(A287,'Remote work mental helath'!A287:T1286,19,FALSE)</f>
        <v>Good</v>
      </c>
      <c r="F287" t="str">
        <f>VLOOKUP(A287,'Remote work mental helath'!$A$2:$T$1001,18,)</f>
        <v>Weekly</v>
      </c>
      <c r="G287">
        <f>VLOOKUP(A287,'Remote work mental helath'!$A$2:$T$1001,15,FALSE)</f>
        <v>1</v>
      </c>
      <c r="H287" t="str">
        <f>VLOOKUP(A287,'Remote work mental helath'!$A$2:$T$1001,14,)</f>
        <v>Decrease</v>
      </c>
      <c r="I287" t="str">
        <f>VLOOKUP(A287,'Remote work mental helath'!$A$2:$T$1001,16,)</f>
        <v>Unsatisfied</v>
      </c>
      <c r="J287" t="str">
        <f>VLOOKUP(A287,'Remote work mental helath'!$A$2:$T$1001,13,)</f>
        <v>Yes</v>
      </c>
      <c r="K287">
        <f>VLOOKUP(A287,'Remote work mental helath'!$A$2:$T$1001,17,FALSE)</f>
        <v>1</v>
      </c>
    </row>
    <row r="288" spans="1:11" x14ac:dyDescent="0.3">
      <c r="A288" t="s">
        <v>337</v>
      </c>
      <c r="B288" t="str">
        <f>VLOOKUP(A288,'Remote work mental helath'!$A$2:$T$1001,12,)</f>
        <v>None</v>
      </c>
      <c r="C288" t="str">
        <f>VLOOKUP(A288,'Remote work mental helath'!$A$2:$T$1001,11,)</f>
        <v>Medium</v>
      </c>
      <c r="D288">
        <f>VLOOKUP('Mental Helath'!A288,'Remote work mental helath'!$A$2:$T$1001,10,)</f>
        <v>4</v>
      </c>
      <c r="E288" t="str">
        <f>VLOOKUP(A288,'Remote work mental helath'!A288:T1287,19,FALSE)</f>
        <v>Good</v>
      </c>
      <c r="F288" t="str">
        <f>VLOOKUP(A288,'Remote work mental helath'!$A$2:$T$1001,18,)</f>
        <v>None</v>
      </c>
      <c r="G288">
        <f>VLOOKUP(A288,'Remote work mental helath'!$A$2:$T$1001,15,FALSE)</f>
        <v>5</v>
      </c>
      <c r="H288" t="str">
        <f>VLOOKUP(A288,'Remote work mental helath'!$A$2:$T$1001,14,)</f>
        <v>Increase</v>
      </c>
      <c r="I288" t="str">
        <f>VLOOKUP(A288,'Remote work mental helath'!$A$2:$T$1001,16,)</f>
        <v>Unsatisfied</v>
      </c>
      <c r="J288" t="str">
        <f>VLOOKUP(A288,'Remote work mental helath'!$A$2:$T$1001,13,)</f>
        <v>No</v>
      </c>
      <c r="K288">
        <f>VLOOKUP(A288,'Remote work mental helath'!$A$2:$T$1001,17,FALSE)</f>
        <v>2</v>
      </c>
    </row>
    <row r="289" spans="1:11" x14ac:dyDescent="0.3">
      <c r="A289" t="s">
        <v>338</v>
      </c>
      <c r="B289" t="str">
        <f>VLOOKUP(A289,'Remote work mental helath'!$A$2:$T$1001,12,)</f>
        <v>None</v>
      </c>
      <c r="C289" t="str">
        <f>VLOOKUP(A289,'Remote work mental helath'!$A$2:$T$1001,11,)</f>
        <v>High</v>
      </c>
      <c r="D289">
        <f>VLOOKUP('Mental Helath'!A289,'Remote work mental helath'!$A$2:$T$1001,10,)</f>
        <v>2</v>
      </c>
      <c r="E289" t="str">
        <f>VLOOKUP(A289,'Remote work mental helath'!A289:T1288,19,FALSE)</f>
        <v>Good</v>
      </c>
      <c r="F289" t="str">
        <f>VLOOKUP(A289,'Remote work mental helath'!$A$2:$T$1001,18,)</f>
        <v>None</v>
      </c>
      <c r="G289">
        <f>VLOOKUP(A289,'Remote work mental helath'!$A$2:$T$1001,15,FALSE)</f>
        <v>3</v>
      </c>
      <c r="H289" t="str">
        <f>VLOOKUP(A289,'Remote work mental helath'!$A$2:$T$1001,14,)</f>
        <v>Decrease</v>
      </c>
      <c r="I289" t="str">
        <f>VLOOKUP(A289,'Remote work mental helath'!$A$2:$T$1001,16,)</f>
        <v>Neutral</v>
      </c>
      <c r="J289" t="str">
        <f>VLOOKUP(A289,'Remote work mental helath'!$A$2:$T$1001,13,)</f>
        <v>Yes</v>
      </c>
      <c r="K289">
        <f>VLOOKUP(A289,'Remote work mental helath'!$A$2:$T$1001,17,FALSE)</f>
        <v>1</v>
      </c>
    </row>
    <row r="290" spans="1:11" x14ac:dyDescent="0.3">
      <c r="A290" t="s">
        <v>339</v>
      </c>
      <c r="B290" t="str">
        <f>VLOOKUP(A290,'Remote work mental helath'!$A$2:$T$1001,12,)</f>
        <v>Anxiety</v>
      </c>
      <c r="C290" t="str">
        <f>VLOOKUP(A290,'Remote work mental helath'!$A$2:$T$1001,11,)</f>
        <v>Low</v>
      </c>
      <c r="D290">
        <f>VLOOKUP('Mental Helath'!A290,'Remote work mental helath'!$A$2:$T$1001,10,)</f>
        <v>4</v>
      </c>
      <c r="E290" t="str">
        <f>VLOOKUP(A290,'Remote work mental helath'!A290:T1289,19,FALSE)</f>
        <v>Poor</v>
      </c>
      <c r="F290" t="str">
        <f>VLOOKUP(A290,'Remote work mental helath'!$A$2:$T$1001,18,)</f>
        <v>Weekly</v>
      </c>
      <c r="G290">
        <f>VLOOKUP(A290,'Remote work mental helath'!$A$2:$T$1001,15,FALSE)</f>
        <v>5</v>
      </c>
      <c r="H290" t="str">
        <f>VLOOKUP(A290,'Remote work mental helath'!$A$2:$T$1001,14,)</f>
        <v>Decrease</v>
      </c>
      <c r="I290" t="str">
        <f>VLOOKUP(A290,'Remote work mental helath'!$A$2:$T$1001,16,)</f>
        <v>Neutral</v>
      </c>
      <c r="J290" t="str">
        <f>VLOOKUP(A290,'Remote work mental helath'!$A$2:$T$1001,13,)</f>
        <v>No</v>
      </c>
      <c r="K290">
        <f>VLOOKUP(A290,'Remote work mental helath'!$A$2:$T$1001,17,FALSE)</f>
        <v>2</v>
      </c>
    </row>
    <row r="291" spans="1:11" x14ac:dyDescent="0.3">
      <c r="A291" t="s">
        <v>340</v>
      </c>
      <c r="B291" t="str">
        <f>VLOOKUP(A291,'Remote work mental helath'!$A$2:$T$1001,12,)</f>
        <v>Anxiety</v>
      </c>
      <c r="C291" t="str">
        <f>VLOOKUP(A291,'Remote work mental helath'!$A$2:$T$1001,11,)</f>
        <v>Medium</v>
      </c>
      <c r="D291">
        <f>VLOOKUP('Mental Helath'!A291,'Remote work mental helath'!$A$2:$T$1001,10,)</f>
        <v>4</v>
      </c>
      <c r="E291" t="str">
        <f>VLOOKUP(A291,'Remote work mental helath'!A291:T1290,19,FALSE)</f>
        <v>Poor</v>
      </c>
      <c r="F291" t="str">
        <f>VLOOKUP(A291,'Remote work mental helath'!$A$2:$T$1001,18,)</f>
        <v>None</v>
      </c>
      <c r="G291">
        <f>VLOOKUP(A291,'Remote work mental helath'!$A$2:$T$1001,15,FALSE)</f>
        <v>1</v>
      </c>
      <c r="H291" t="str">
        <f>VLOOKUP(A291,'Remote work mental helath'!$A$2:$T$1001,14,)</f>
        <v>No Change</v>
      </c>
      <c r="I291" t="str">
        <f>VLOOKUP(A291,'Remote work mental helath'!$A$2:$T$1001,16,)</f>
        <v>Neutral</v>
      </c>
      <c r="J291" t="str">
        <f>VLOOKUP(A291,'Remote work mental helath'!$A$2:$T$1001,13,)</f>
        <v>No</v>
      </c>
      <c r="K291">
        <f>VLOOKUP(A291,'Remote work mental helath'!$A$2:$T$1001,17,FALSE)</f>
        <v>2</v>
      </c>
    </row>
    <row r="292" spans="1:11" x14ac:dyDescent="0.3">
      <c r="A292" t="s">
        <v>341</v>
      </c>
      <c r="B292" t="str">
        <f>VLOOKUP(A292,'Remote work mental helath'!$A$2:$T$1001,12,)</f>
        <v>None</v>
      </c>
      <c r="C292" t="str">
        <f>VLOOKUP(A292,'Remote work mental helath'!$A$2:$T$1001,11,)</f>
        <v>High</v>
      </c>
      <c r="D292">
        <f>VLOOKUP('Mental Helath'!A292,'Remote work mental helath'!$A$2:$T$1001,10,)</f>
        <v>1</v>
      </c>
      <c r="E292" t="str">
        <f>VLOOKUP(A292,'Remote work mental helath'!A292:T1291,19,FALSE)</f>
        <v>Average</v>
      </c>
      <c r="F292" t="str">
        <f>VLOOKUP(A292,'Remote work mental helath'!$A$2:$T$1001,18,)</f>
        <v>Weekly</v>
      </c>
      <c r="G292">
        <f>VLOOKUP(A292,'Remote work mental helath'!$A$2:$T$1001,15,FALSE)</f>
        <v>4</v>
      </c>
      <c r="H292" t="str">
        <f>VLOOKUP(A292,'Remote work mental helath'!$A$2:$T$1001,14,)</f>
        <v>Decrease</v>
      </c>
      <c r="I292" t="str">
        <f>VLOOKUP(A292,'Remote work mental helath'!$A$2:$T$1001,16,)</f>
        <v>Satisfied</v>
      </c>
      <c r="J292" t="str">
        <f>VLOOKUP(A292,'Remote work mental helath'!$A$2:$T$1001,13,)</f>
        <v>No</v>
      </c>
      <c r="K292">
        <f>VLOOKUP(A292,'Remote work mental helath'!$A$2:$T$1001,17,FALSE)</f>
        <v>3</v>
      </c>
    </row>
    <row r="293" spans="1:11" x14ac:dyDescent="0.3">
      <c r="A293" t="s">
        <v>342</v>
      </c>
      <c r="B293" t="str">
        <f>VLOOKUP(A293,'Remote work mental helath'!$A$2:$T$1001,12,)</f>
        <v>Burnout</v>
      </c>
      <c r="C293" t="str">
        <f>VLOOKUP(A293,'Remote work mental helath'!$A$2:$T$1001,11,)</f>
        <v>High</v>
      </c>
      <c r="D293">
        <f>VLOOKUP('Mental Helath'!A293,'Remote work mental helath'!$A$2:$T$1001,10,)</f>
        <v>4</v>
      </c>
      <c r="E293" t="str">
        <f>VLOOKUP(A293,'Remote work mental helath'!A293:T1292,19,FALSE)</f>
        <v>Average</v>
      </c>
      <c r="F293" t="str">
        <f>VLOOKUP(A293,'Remote work mental helath'!$A$2:$T$1001,18,)</f>
        <v>None</v>
      </c>
      <c r="G293">
        <f>VLOOKUP(A293,'Remote work mental helath'!$A$2:$T$1001,15,FALSE)</f>
        <v>4</v>
      </c>
      <c r="H293" t="str">
        <f>VLOOKUP(A293,'Remote work mental helath'!$A$2:$T$1001,14,)</f>
        <v>Decrease</v>
      </c>
      <c r="I293" t="str">
        <f>VLOOKUP(A293,'Remote work mental helath'!$A$2:$T$1001,16,)</f>
        <v>Neutral</v>
      </c>
      <c r="J293" t="str">
        <f>VLOOKUP(A293,'Remote work mental helath'!$A$2:$T$1001,13,)</f>
        <v>Yes</v>
      </c>
      <c r="K293">
        <f>VLOOKUP(A293,'Remote work mental helath'!$A$2:$T$1001,17,FALSE)</f>
        <v>1</v>
      </c>
    </row>
    <row r="294" spans="1:11" x14ac:dyDescent="0.3">
      <c r="A294" t="s">
        <v>343</v>
      </c>
      <c r="B294" t="str">
        <f>VLOOKUP(A294,'Remote work mental helath'!$A$2:$T$1001,12,)</f>
        <v>Burnout</v>
      </c>
      <c r="C294" t="str">
        <f>VLOOKUP(A294,'Remote work mental helath'!$A$2:$T$1001,11,)</f>
        <v>Medium</v>
      </c>
      <c r="D294">
        <f>VLOOKUP('Mental Helath'!A294,'Remote work mental helath'!$A$2:$T$1001,10,)</f>
        <v>3</v>
      </c>
      <c r="E294" t="str">
        <f>VLOOKUP(A294,'Remote work mental helath'!A294:T1293,19,FALSE)</f>
        <v>Poor</v>
      </c>
      <c r="F294" t="str">
        <f>VLOOKUP(A294,'Remote work mental helath'!$A$2:$T$1001,18,)</f>
        <v>Weekly</v>
      </c>
      <c r="G294">
        <f>VLOOKUP(A294,'Remote work mental helath'!$A$2:$T$1001,15,FALSE)</f>
        <v>4</v>
      </c>
      <c r="H294" t="str">
        <f>VLOOKUP(A294,'Remote work mental helath'!$A$2:$T$1001,14,)</f>
        <v>Increase</v>
      </c>
      <c r="I294" t="str">
        <f>VLOOKUP(A294,'Remote work mental helath'!$A$2:$T$1001,16,)</f>
        <v>Neutral</v>
      </c>
      <c r="J294" t="str">
        <f>VLOOKUP(A294,'Remote work mental helath'!$A$2:$T$1001,13,)</f>
        <v>Yes</v>
      </c>
      <c r="K294">
        <f>VLOOKUP(A294,'Remote work mental helath'!$A$2:$T$1001,17,FALSE)</f>
        <v>3</v>
      </c>
    </row>
    <row r="295" spans="1:11" x14ac:dyDescent="0.3">
      <c r="A295" t="s">
        <v>344</v>
      </c>
      <c r="B295" t="str">
        <f>VLOOKUP(A295,'Remote work mental helath'!$A$2:$T$1001,12,)</f>
        <v>Depression</v>
      </c>
      <c r="C295" t="str">
        <f>VLOOKUP(A295,'Remote work mental helath'!$A$2:$T$1001,11,)</f>
        <v>Low</v>
      </c>
      <c r="D295">
        <f>VLOOKUP('Mental Helath'!A295,'Remote work mental helath'!$A$2:$T$1001,10,)</f>
        <v>5</v>
      </c>
      <c r="E295" t="str">
        <f>VLOOKUP(A295,'Remote work mental helath'!A295:T1294,19,FALSE)</f>
        <v>Average</v>
      </c>
      <c r="F295" t="str">
        <f>VLOOKUP(A295,'Remote work mental helath'!$A$2:$T$1001,18,)</f>
        <v>Weekly</v>
      </c>
      <c r="G295">
        <f>VLOOKUP(A295,'Remote work mental helath'!$A$2:$T$1001,15,FALSE)</f>
        <v>3</v>
      </c>
      <c r="H295" t="str">
        <f>VLOOKUP(A295,'Remote work mental helath'!$A$2:$T$1001,14,)</f>
        <v>Decrease</v>
      </c>
      <c r="I295" t="str">
        <f>VLOOKUP(A295,'Remote work mental helath'!$A$2:$T$1001,16,)</f>
        <v>Satisfied</v>
      </c>
      <c r="J295" t="str">
        <f>VLOOKUP(A295,'Remote work mental helath'!$A$2:$T$1001,13,)</f>
        <v>Yes</v>
      </c>
      <c r="K295">
        <f>VLOOKUP(A295,'Remote work mental helath'!$A$2:$T$1001,17,FALSE)</f>
        <v>3</v>
      </c>
    </row>
    <row r="296" spans="1:11" x14ac:dyDescent="0.3">
      <c r="A296" t="s">
        <v>345</v>
      </c>
      <c r="B296" t="str">
        <f>VLOOKUP(A296,'Remote work mental helath'!$A$2:$T$1001,12,)</f>
        <v>Depression</v>
      </c>
      <c r="C296" t="str">
        <f>VLOOKUP(A296,'Remote work mental helath'!$A$2:$T$1001,11,)</f>
        <v>Low</v>
      </c>
      <c r="D296">
        <f>VLOOKUP('Mental Helath'!A296,'Remote work mental helath'!$A$2:$T$1001,10,)</f>
        <v>4</v>
      </c>
      <c r="E296" t="str">
        <f>VLOOKUP(A296,'Remote work mental helath'!A296:T1295,19,FALSE)</f>
        <v>Average</v>
      </c>
      <c r="F296" t="str">
        <f>VLOOKUP(A296,'Remote work mental helath'!$A$2:$T$1001,18,)</f>
        <v>Weekly</v>
      </c>
      <c r="G296">
        <f>VLOOKUP(A296,'Remote work mental helath'!$A$2:$T$1001,15,FALSE)</f>
        <v>5</v>
      </c>
      <c r="H296" t="str">
        <f>VLOOKUP(A296,'Remote work mental helath'!$A$2:$T$1001,14,)</f>
        <v>Decrease</v>
      </c>
      <c r="I296" t="str">
        <f>VLOOKUP(A296,'Remote work mental helath'!$A$2:$T$1001,16,)</f>
        <v>Unsatisfied</v>
      </c>
      <c r="J296" t="str">
        <f>VLOOKUP(A296,'Remote work mental helath'!$A$2:$T$1001,13,)</f>
        <v>No</v>
      </c>
      <c r="K296">
        <f>VLOOKUP(A296,'Remote work mental helath'!$A$2:$T$1001,17,FALSE)</f>
        <v>4</v>
      </c>
    </row>
    <row r="297" spans="1:11" x14ac:dyDescent="0.3">
      <c r="A297" t="s">
        <v>346</v>
      </c>
      <c r="B297" t="str">
        <f>VLOOKUP(A297,'Remote work mental helath'!$A$2:$T$1001,12,)</f>
        <v>None</v>
      </c>
      <c r="C297" t="str">
        <f>VLOOKUP(A297,'Remote work mental helath'!$A$2:$T$1001,11,)</f>
        <v>Low</v>
      </c>
      <c r="D297">
        <f>VLOOKUP('Mental Helath'!A297,'Remote work mental helath'!$A$2:$T$1001,10,)</f>
        <v>3</v>
      </c>
      <c r="E297" t="str">
        <f>VLOOKUP(A297,'Remote work mental helath'!A297:T1296,19,FALSE)</f>
        <v>Good</v>
      </c>
      <c r="F297" t="str">
        <f>VLOOKUP(A297,'Remote work mental helath'!$A$2:$T$1001,18,)</f>
        <v>None</v>
      </c>
      <c r="G297">
        <f>VLOOKUP(A297,'Remote work mental helath'!$A$2:$T$1001,15,FALSE)</f>
        <v>2</v>
      </c>
      <c r="H297" t="str">
        <f>VLOOKUP(A297,'Remote work mental helath'!$A$2:$T$1001,14,)</f>
        <v>Decrease</v>
      </c>
      <c r="I297" t="str">
        <f>VLOOKUP(A297,'Remote work mental helath'!$A$2:$T$1001,16,)</f>
        <v>Satisfied</v>
      </c>
      <c r="J297" t="str">
        <f>VLOOKUP(A297,'Remote work mental helath'!$A$2:$T$1001,13,)</f>
        <v>Yes</v>
      </c>
      <c r="K297">
        <f>VLOOKUP(A297,'Remote work mental helath'!$A$2:$T$1001,17,FALSE)</f>
        <v>3</v>
      </c>
    </row>
    <row r="298" spans="1:11" x14ac:dyDescent="0.3">
      <c r="A298" t="s">
        <v>347</v>
      </c>
      <c r="B298" t="str">
        <f>VLOOKUP(A298,'Remote work mental helath'!$A$2:$T$1001,12,)</f>
        <v>None</v>
      </c>
      <c r="C298" t="str">
        <f>VLOOKUP(A298,'Remote work mental helath'!$A$2:$T$1001,11,)</f>
        <v>Low</v>
      </c>
      <c r="D298">
        <f>VLOOKUP('Mental Helath'!A298,'Remote work mental helath'!$A$2:$T$1001,10,)</f>
        <v>3</v>
      </c>
      <c r="E298" t="str">
        <f>VLOOKUP(A298,'Remote work mental helath'!A298:T1297,19,FALSE)</f>
        <v>Poor</v>
      </c>
      <c r="F298" t="str">
        <f>VLOOKUP(A298,'Remote work mental helath'!$A$2:$T$1001,18,)</f>
        <v>None</v>
      </c>
      <c r="G298">
        <f>VLOOKUP(A298,'Remote work mental helath'!$A$2:$T$1001,15,FALSE)</f>
        <v>1</v>
      </c>
      <c r="H298" t="str">
        <f>VLOOKUP(A298,'Remote work mental helath'!$A$2:$T$1001,14,)</f>
        <v>No Change</v>
      </c>
      <c r="I298" t="str">
        <f>VLOOKUP(A298,'Remote work mental helath'!$A$2:$T$1001,16,)</f>
        <v>Satisfied</v>
      </c>
      <c r="J298" t="str">
        <f>VLOOKUP(A298,'Remote work mental helath'!$A$2:$T$1001,13,)</f>
        <v>No</v>
      </c>
      <c r="K298">
        <f>VLOOKUP(A298,'Remote work mental helath'!$A$2:$T$1001,17,FALSE)</f>
        <v>2</v>
      </c>
    </row>
    <row r="299" spans="1:11" x14ac:dyDescent="0.3">
      <c r="A299" t="s">
        <v>348</v>
      </c>
      <c r="B299" t="str">
        <f>VLOOKUP(A299,'Remote work mental helath'!$A$2:$T$1001,12,)</f>
        <v>Burnout</v>
      </c>
      <c r="C299" t="str">
        <f>VLOOKUP(A299,'Remote work mental helath'!$A$2:$T$1001,11,)</f>
        <v>Medium</v>
      </c>
      <c r="D299">
        <f>VLOOKUP('Mental Helath'!A299,'Remote work mental helath'!$A$2:$T$1001,10,)</f>
        <v>5</v>
      </c>
      <c r="E299" t="str">
        <f>VLOOKUP(A299,'Remote work mental helath'!A299:T1298,19,FALSE)</f>
        <v>Average</v>
      </c>
      <c r="F299" t="str">
        <f>VLOOKUP(A299,'Remote work mental helath'!$A$2:$T$1001,18,)</f>
        <v>None</v>
      </c>
      <c r="G299">
        <f>VLOOKUP(A299,'Remote work mental helath'!$A$2:$T$1001,15,FALSE)</f>
        <v>5</v>
      </c>
      <c r="H299" t="str">
        <f>VLOOKUP(A299,'Remote work mental helath'!$A$2:$T$1001,14,)</f>
        <v>No Change</v>
      </c>
      <c r="I299" t="str">
        <f>VLOOKUP(A299,'Remote work mental helath'!$A$2:$T$1001,16,)</f>
        <v>Neutral</v>
      </c>
      <c r="J299" t="str">
        <f>VLOOKUP(A299,'Remote work mental helath'!$A$2:$T$1001,13,)</f>
        <v>No</v>
      </c>
      <c r="K299">
        <f>VLOOKUP(A299,'Remote work mental helath'!$A$2:$T$1001,17,FALSE)</f>
        <v>5</v>
      </c>
    </row>
    <row r="300" spans="1:11" x14ac:dyDescent="0.3">
      <c r="A300" t="s">
        <v>349</v>
      </c>
      <c r="B300" t="str">
        <f>VLOOKUP(A300,'Remote work mental helath'!$A$2:$T$1001,12,)</f>
        <v>None</v>
      </c>
      <c r="C300" t="str">
        <f>VLOOKUP(A300,'Remote work mental helath'!$A$2:$T$1001,11,)</f>
        <v>Low</v>
      </c>
      <c r="D300">
        <f>VLOOKUP('Mental Helath'!A300,'Remote work mental helath'!$A$2:$T$1001,10,)</f>
        <v>2</v>
      </c>
      <c r="E300" t="str">
        <f>VLOOKUP(A300,'Remote work mental helath'!A300:T1299,19,FALSE)</f>
        <v>Good</v>
      </c>
      <c r="F300" t="str">
        <f>VLOOKUP(A300,'Remote work mental helath'!$A$2:$T$1001,18,)</f>
        <v>None</v>
      </c>
      <c r="G300">
        <f>VLOOKUP(A300,'Remote work mental helath'!$A$2:$T$1001,15,FALSE)</f>
        <v>4</v>
      </c>
      <c r="H300" t="str">
        <f>VLOOKUP(A300,'Remote work mental helath'!$A$2:$T$1001,14,)</f>
        <v>Decrease</v>
      </c>
      <c r="I300" t="str">
        <f>VLOOKUP(A300,'Remote work mental helath'!$A$2:$T$1001,16,)</f>
        <v>Neutral</v>
      </c>
      <c r="J300" t="str">
        <f>VLOOKUP(A300,'Remote work mental helath'!$A$2:$T$1001,13,)</f>
        <v>No</v>
      </c>
      <c r="K300">
        <f>VLOOKUP(A300,'Remote work mental helath'!$A$2:$T$1001,17,FALSE)</f>
        <v>2</v>
      </c>
    </row>
    <row r="301" spans="1:11" x14ac:dyDescent="0.3">
      <c r="A301" t="s">
        <v>350</v>
      </c>
      <c r="B301" t="str">
        <f>VLOOKUP(A301,'Remote work mental helath'!$A$2:$T$1001,12,)</f>
        <v>None</v>
      </c>
      <c r="C301" t="str">
        <f>VLOOKUP(A301,'Remote work mental helath'!$A$2:$T$1001,11,)</f>
        <v>Low</v>
      </c>
      <c r="D301">
        <f>VLOOKUP('Mental Helath'!A301,'Remote work mental helath'!$A$2:$T$1001,10,)</f>
        <v>1</v>
      </c>
      <c r="E301" t="str">
        <f>VLOOKUP(A301,'Remote work mental helath'!A301:T1300,19,FALSE)</f>
        <v>Poor</v>
      </c>
      <c r="F301" t="str">
        <f>VLOOKUP(A301,'Remote work mental helath'!$A$2:$T$1001,18,)</f>
        <v>None</v>
      </c>
      <c r="G301">
        <f>VLOOKUP(A301,'Remote work mental helath'!$A$2:$T$1001,15,FALSE)</f>
        <v>3</v>
      </c>
      <c r="H301" t="str">
        <f>VLOOKUP(A301,'Remote work mental helath'!$A$2:$T$1001,14,)</f>
        <v>Decrease</v>
      </c>
      <c r="I301" t="str">
        <f>VLOOKUP(A301,'Remote work mental helath'!$A$2:$T$1001,16,)</f>
        <v>Satisfied</v>
      </c>
      <c r="J301" t="str">
        <f>VLOOKUP(A301,'Remote work mental helath'!$A$2:$T$1001,13,)</f>
        <v>No</v>
      </c>
      <c r="K301">
        <f>VLOOKUP(A301,'Remote work mental helath'!$A$2:$T$1001,17,FALSE)</f>
        <v>2</v>
      </c>
    </row>
    <row r="302" spans="1:11" x14ac:dyDescent="0.3">
      <c r="A302" t="s">
        <v>351</v>
      </c>
      <c r="B302" t="str">
        <f>VLOOKUP(A302,'Remote work mental helath'!$A$2:$T$1001,12,)</f>
        <v>Anxiety</v>
      </c>
      <c r="C302" t="str">
        <f>VLOOKUP(A302,'Remote work mental helath'!$A$2:$T$1001,11,)</f>
        <v>Medium</v>
      </c>
      <c r="D302">
        <f>VLOOKUP('Mental Helath'!A302,'Remote work mental helath'!$A$2:$T$1001,10,)</f>
        <v>3</v>
      </c>
      <c r="E302" t="str">
        <f>VLOOKUP(A302,'Remote work mental helath'!A302:T1301,19,FALSE)</f>
        <v>Average</v>
      </c>
      <c r="F302" t="str">
        <f>VLOOKUP(A302,'Remote work mental helath'!$A$2:$T$1001,18,)</f>
        <v>Daily</v>
      </c>
      <c r="G302">
        <f>VLOOKUP(A302,'Remote work mental helath'!$A$2:$T$1001,15,FALSE)</f>
        <v>5</v>
      </c>
      <c r="H302" t="str">
        <f>VLOOKUP(A302,'Remote work mental helath'!$A$2:$T$1001,14,)</f>
        <v>Decrease</v>
      </c>
      <c r="I302" t="str">
        <f>VLOOKUP(A302,'Remote work mental helath'!$A$2:$T$1001,16,)</f>
        <v>Neutral</v>
      </c>
      <c r="J302" t="str">
        <f>VLOOKUP(A302,'Remote work mental helath'!$A$2:$T$1001,13,)</f>
        <v>Yes</v>
      </c>
      <c r="K302">
        <f>VLOOKUP(A302,'Remote work mental helath'!$A$2:$T$1001,17,FALSE)</f>
        <v>3</v>
      </c>
    </row>
    <row r="303" spans="1:11" x14ac:dyDescent="0.3">
      <c r="A303" t="s">
        <v>352</v>
      </c>
      <c r="B303" t="str">
        <f>VLOOKUP(A303,'Remote work mental helath'!$A$2:$T$1001,12,)</f>
        <v>Depression</v>
      </c>
      <c r="C303" t="str">
        <f>VLOOKUP(A303,'Remote work mental helath'!$A$2:$T$1001,11,)</f>
        <v>Medium</v>
      </c>
      <c r="D303">
        <f>VLOOKUP('Mental Helath'!A303,'Remote work mental helath'!$A$2:$T$1001,10,)</f>
        <v>2</v>
      </c>
      <c r="E303" t="str">
        <f>VLOOKUP(A303,'Remote work mental helath'!A303:T1302,19,FALSE)</f>
        <v>Poor</v>
      </c>
      <c r="F303" t="str">
        <f>VLOOKUP(A303,'Remote work mental helath'!$A$2:$T$1001,18,)</f>
        <v>Daily</v>
      </c>
      <c r="G303">
        <f>VLOOKUP(A303,'Remote work mental helath'!$A$2:$T$1001,15,FALSE)</f>
        <v>4</v>
      </c>
      <c r="H303" t="str">
        <f>VLOOKUP(A303,'Remote work mental helath'!$A$2:$T$1001,14,)</f>
        <v>Decrease</v>
      </c>
      <c r="I303" t="str">
        <f>VLOOKUP(A303,'Remote work mental helath'!$A$2:$T$1001,16,)</f>
        <v>Unsatisfied</v>
      </c>
      <c r="J303" t="str">
        <f>VLOOKUP(A303,'Remote work mental helath'!$A$2:$T$1001,13,)</f>
        <v>Yes</v>
      </c>
      <c r="K303">
        <f>VLOOKUP(A303,'Remote work mental helath'!$A$2:$T$1001,17,FALSE)</f>
        <v>5</v>
      </c>
    </row>
    <row r="304" spans="1:11" x14ac:dyDescent="0.3">
      <c r="A304" t="s">
        <v>353</v>
      </c>
      <c r="B304" t="str">
        <f>VLOOKUP(A304,'Remote work mental helath'!$A$2:$T$1001,12,)</f>
        <v>Burnout</v>
      </c>
      <c r="C304" t="str">
        <f>VLOOKUP(A304,'Remote work mental helath'!$A$2:$T$1001,11,)</f>
        <v>High</v>
      </c>
      <c r="D304">
        <f>VLOOKUP('Mental Helath'!A304,'Remote work mental helath'!$A$2:$T$1001,10,)</f>
        <v>3</v>
      </c>
      <c r="E304" t="str">
        <f>VLOOKUP(A304,'Remote work mental helath'!A304:T1303,19,FALSE)</f>
        <v>Good</v>
      </c>
      <c r="F304" t="str">
        <f>VLOOKUP(A304,'Remote work mental helath'!$A$2:$T$1001,18,)</f>
        <v>None</v>
      </c>
      <c r="G304">
        <f>VLOOKUP(A304,'Remote work mental helath'!$A$2:$T$1001,15,FALSE)</f>
        <v>3</v>
      </c>
      <c r="H304" t="str">
        <f>VLOOKUP(A304,'Remote work mental helath'!$A$2:$T$1001,14,)</f>
        <v>Increase</v>
      </c>
      <c r="I304" t="str">
        <f>VLOOKUP(A304,'Remote work mental helath'!$A$2:$T$1001,16,)</f>
        <v>Satisfied</v>
      </c>
      <c r="J304" t="str">
        <f>VLOOKUP(A304,'Remote work mental helath'!$A$2:$T$1001,13,)</f>
        <v>No</v>
      </c>
      <c r="K304">
        <f>VLOOKUP(A304,'Remote work mental helath'!$A$2:$T$1001,17,FALSE)</f>
        <v>2</v>
      </c>
    </row>
    <row r="305" spans="1:11" x14ac:dyDescent="0.3">
      <c r="A305" t="s">
        <v>354</v>
      </c>
      <c r="B305" t="str">
        <f>VLOOKUP(A305,'Remote work mental helath'!$A$2:$T$1001,12,)</f>
        <v>None</v>
      </c>
      <c r="C305" t="str">
        <f>VLOOKUP(A305,'Remote work mental helath'!$A$2:$T$1001,11,)</f>
        <v>High</v>
      </c>
      <c r="D305">
        <f>VLOOKUP('Mental Helath'!A305,'Remote work mental helath'!$A$2:$T$1001,10,)</f>
        <v>1</v>
      </c>
      <c r="E305" t="str">
        <f>VLOOKUP(A305,'Remote work mental helath'!A305:T1304,19,FALSE)</f>
        <v>Average</v>
      </c>
      <c r="F305" t="str">
        <f>VLOOKUP(A305,'Remote work mental helath'!$A$2:$T$1001,18,)</f>
        <v>Weekly</v>
      </c>
      <c r="G305">
        <f>VLOOKUP(A305,'Remote work mental helath'!$A$2:$T$1001,15,FALSE)</f>
        <v>2</v>
      </c>
      <c r="H305" t="str">
        <f>VLOOKUP(A305,'Remote work mental helath'!$A$2:$T$1001,14,)</f>
        <v>No Change</v>
      </c>
      <c r="I305" t="str">
        <f>VLOOKUP(A305,'Remote work mental helath'!$A$2:$T$1001,16,)</f>
        <v>Neutral</v>
      </c>
      <c r="J305" t="str">
        <f>VLOOKUP(A305,'Remote work mental helath'!$A$2:$T$1001,13,)</f>
        <v>Yes</v>
      </c>
      <c r="K305">
        <f>VLOOKUP(A305,'Remote work mental helath'!$A$2:$T$1001,17,FALSE)</f>
        <v>2</v>
      </c>
    </row>
    <row r="306" spans="1:11" x14ac:dyDescent="0.3">
      <c r="A306" t="s">
        <v>355</v>
      </c>
      <c r="B306" t="str">
        <f>VLOOKUP(A306,'Remote work mental helath'!$A$2:$T$1001,12,)</f>
        <v>Burnout</v>
      </c>
      <c r="C306" t="str">
        <f>VLOOKUP(A306,'Remote work mental helath'!$A$2:$T$1001,11,)</f>
        <v>Medium</v>
      </c>
      <c r="D306">
        <f>VLOOKUP('Mental Helath'!A306,'Remote work mental helath'!$A$2:$T$1001,10,)</f>
        <v>4</v>
      </c>
      <c r="E306" t="str">
        <f>VLOOKUP(A306,'Remote work mental helath'!A306:T1305,19,FALSE)</f>
        <v>Average</v>
      </c>
      <c r="F306" t="str">
        <f>VLOOKUP(A306,'Remote work mental helath'!$A$2:$T$1001,18,)</f>
        <v>Daily</v>
      </c>
      <c r="G306">
        <f>VLOOKUP(A306,'Remote work mental helath'!$A$2:$T$1001,15,FALSE)</f>
        <v>5</v>
      </c>
      <c r="H306" t="str">
        <f>VLOOKUP(A306,'Remote work mental helath'!$A$2:$T$1001,14,)</f>
        <v>Decrease</v>
      </c>
      <c r="I306" t="str">
        <f>VLOOKUP(A306,'Remote work mental helath'!$A$2:$T$1001,16,)</f>
        <v>Satisfied</v>
      </c>
      <c r="J306" t="str">
        <f>VLOOKUP(A306,'Remote work mental helath'!$A$2:$T$1001,13,)</f>
        <v>Yes</v>
      </c>
      <c r="K306">
        <f>VLOOKUP(A306,'Remote work mental helath'!$A$2:$T$1001,17,FALSE)</f>
        <v>5</v>
      </c>
    </row>
    <row r="307" spans="1:11" x14ac:dyDescent="0.3">
      <c r="A307" t="s">
        <v>356</v>
      </c>
      <c r="B307" t="str">
        <f>VLOOKUP(A307,'Remote work mental helath'!$A$2:$T$1001,12,)</f>
        <v>Burnout</v>
      </c>
      <c r="C307" t="str">
        <f>VLOOKUP(A307,'Remote work mental helath'!$A$2:$T$1001,11,)</f>
        <v>High</v>
      </c>
      <c r="D307">
        <f>VLOOKUP('Mental Helath'!A307,'Remote work mental helath'!$A$2:$T$1001,10,)</f>
        <v>5</v>
      </c>
      <c r="E307" t="str">
        <f>VLOOKUP(A307,'Remote work mental helath'!A307:T1306,19,FALSE)</f>
        <v>Good</v>
      </c>
      <c r="F307" t="str">
        <f>VLOOKUP(A307,'Remote work mental helath'!$A$2:$T$1001,18,)</f>
        <v>Weekly</v>
      </c>
      <c r="G307">
        <f>VLOOKUP(A307,'Remote work mental helath'!$A$2:$T$1001,15,FALSE)</f>
        <v>2</v>
      </c>
      <c r="H307" t="str">
        <f>VLOOKUP(A307,'Remote work mental helath'!$A$2:$T$1001,14,)</f>
        <v>No Change</v>
      </c>
      <c r="I307" t="str">
        <f>VLOOKUP(A307,'Remote work mental helath'!$A$2:$T$1001,16,)</f>
        <v>Unsatisfied</v>
      </c>
      <c r="J307" t="str">
        <f>VLOOKUP(A307,'Remote work mental helath'!$A$2:$T$1001,13,)</f>
        <v>Yes</v>
      </c>
      <c r="K307">
        <f>VLOOKUP(A307,'Remote work mental helath'!$A$2:$T$1001,17,FALSE)</f>
        <v>5</v>
      </c>
    </row>
    <row r="308" spans="1:11" x14ac:dyDescent="0.3">
      <c r="A308" t="s">
        <v>357</v>
      </c>
      <c r="B308" t="str">
        <f>VLOOKUP(A308,'Remote work mental helath'!$A$2:$T$1001,12,)</f>
        <v>Depression</v>
      </c>
      <c r="C308" t="str">
        <f>VLOOKUP(A308,'Remote work mental helath'!$A$2:$T$1001,11,)</f>
        <v>Low</v>
      </c>
      <c r="D308">
        <f>VLOOKUP('Mental Helath'!A308,'Remote work mental helath'!$A$2:$T$1001,10,)</f>
        <v>2</v>
      </c>
      <c r="E308" t="str">
        <f>VLOOKUP(A308,'Remote work mental helath'!A308:T1307,19,FALSE)</f>
        <v>Average</v>
      </c>
      <c r="F308" t="str">
        <f>VLOOKUP(A308,'Remote work mental helath'!$A$2:$T$1001,18,)</f>
        <v>None</v>
      </c>
      <c r="G308">
        <f>VLOOKUP(A308,'Remote work mental helath'!$A$2:$T$1001,15,FALSE)</f>
        <v>4</v>
      </c>
      <c r="H308" t="str">
        <f>VLOOKUP(A308,'Remote work mental helath'!$A$2:$T$1001,14,)</f>
        <v>Decrease</v>
      </c>
      <c r="I308" t="str">
        <f>VLOOKUP(A308,'Remote work mental helath'!$A$2:$T$1001,16,)</f>
        <v>Unsatisfied</v>
      </c>
      <c r="J308" t="str">
        <f>VLOOKUP(A308,'Remote work mental helath'!$A$2:$T$1001,13,)</f>
        <v>Yes</v>
      </c>
      <c r="K308">
        <f>VLOOKUP(A308,'Remote work mental helath'!$A$2:$T$1001,17,FALSE)</f>
        <v>5</v>
      </c>
    </row>
    <row r="309" spans="1:11" x14ac:dyDescent="0.3">
      <c r="A309" t="s">
        <v>358</v>
      </c>
      <c r="B309" t="str">
        <f>VLOOKUP(A309,'Remote work mental helath'!$A$2:$T$1001,12,)</f>
        <v>Depression</v>
      </c>
      <c r="C309" t="str">
        <f>VLOOKUP(A309,'Remote work mental helath'!$A$2:$T$1001,11,)</f>
        <v>Medium</v>
      </c>
      <c r="D309">
        <f>VLOOKUP('Mental Helath'!A309,'Remote work mental helath'!$A$2:$T$1001,10,)</f>
        <v>4</v>
      </c>
      <c r="E309" t="str">
        <f>VLOOKUP(A309,'Remote work mental helath'!A309:T1308,19,FALSE)</f>
        <v>Average</v>
      </c>
      <c r="F309" t="str">
        <f>VLOOKUP(A309,'Remote work mental helath'!$A$2:$T$1001,18,)</f>
        <v>Weekly</v>
      </c>
      <c r="G309">
        <f>VLOOKUP(A309,'Remote work mental helath'!$A$2:$T$1001,15,FALSE)</f>
        <v>1</v>
      </c>
      <c r="H309" t="str">
        <f>VLOOKUP(A309,'Remote work mental helath'!$A$2:$T$1001,14,)</f>
        <v>Increase</v>
      </c>
      <c r="I309" t="str">
        <f>VLOOKUP(A309,'Remote work mental helath'!$A$2:$T$1001,16,)</f>
        <v>Satisfied</v>
      </c>
      <c r="J309" t="str">
        <f>VLOOKUP(A309,'Remote work mental helath'!$A$2:$T$1001,13,)</f>
        <v>Yes</v>
      </c>
      <c r="K309">
        <f>VLOOKUP(A309,'Remote work mental helath'!$A$2:$T$1001,17,FALSE)</f>
        <v>2</v>
      </c>
    </row>
    <row r="310" spans="1:11" x14ac:dyDescent="0.3">
      <c r="A310" t="s">
        <v>359</v>
      </c>
      <c r="B310" t="str">
        <f>VLOOKUP(A310,'Remote work mental helath'!$A$2:$T$1001,12,)</f>
        <v>Anxiety</v>
      </c>
      <c r="C310" t="str">
        <f>VLOOKUP(A310,'Remote work mental helath'!$A$2:$T$1001,11,)</f>
        <v>Low</v>
      </c>
      <c r="D310">
        <f>VLOOKUP('Mental Helath'!A310,'Remote work mental helath'!$A$2:$T$1001,10,)</f>
        <v>3</v>
      </c>
      <c r="E310" t="str">
        <f>VLOOKUP(A310,'Remote work mental helath'!A310:T1309,19,FALSE)</f>
        <v>Good</v>
      </c>
      <c r="F310" t="str">
        <f>VLOOKUP(A310,'Remote work mental helath'!$A$2:$T$1001,18,)</f>
        <v>Daily</v>
      </c>
      <c r="G310">
        <f>VLOOKUP(A310,'Remote work mental helath'!$A$2:$T$1001,15,FALSE)</f>
        <v>3</v>
      </c>
      <c r="H310" t="str">
        <f>VLOOKUP(A310,'Remote work mental helath'!$A$2:$T$1001,14,)</f>
        <v>Increase</v>
      </c>
      <c r="I310" t="str">
        <f>VLOOKUP(A310,'Remote work mental helath'!$A$2:$T$1001,16,)</f>
        <v>Satisfied</v>
      </c>
      <c r="J310" t="str">
        <f>VLOOKUP(A310,'Remote work mental helath'!$A$2:$T$1001,13,)</f>
        <v>Yes</v>
      </c>
      <c r="K310">
        <f>VLOOKUP(A310,'Remote work mental helath'!$A$2:$T$1001,17,FALSE)</f>
        <v>4</v>
      </c>
    </row>
    <row r="311" spans="1:11" x14ac:dyDescent="0.3">
      <c r="A311" t="s">
        <v>360</v>
      </c>
      <c r="B311" t="str">
        <f>VLOOKUP(A311,'Remote work mental helath'!$A$2:$T$1001,12,)</f>
        <v>None</v>
      </c>
      <c r="C311" t="str">
        <f>VLOOKUP(A311,'Remote work mental helath'!$A$2:$T$1001,11,)</f>
        <v>Medium</v>
      </c>
      <c r="D311">
        <f>VLOOKUP('Mental Helath'!A311,'Remote work mental helath'!$A$2:$T$1001,10,)</f>
        <v>2</v>
      </c>
      <c r="E311" t="str">
        <f>VLOOKUP(A311,'Remote work mental helath'!A311:T1310,19,FALSE)</f>
        <v>Poor</v>
      </c>
      <c r="F311" t="str">
        <f>VLOOKUP(A311,'Remote work mental helath'!$A$2:$T$1001,18,)</f>
        <v>Daily</v>
      </c>
      <c r="G311">
        <f>VLOOKUP(A311,'Remote work mental helath'!$A$2:$T$1001,15,FALSE)</f>
        <v>2</v>
      </c>
      <c r="H311" t="str">
        <f>VLOOKUP(A311,'Remote work mental helath'!$A$2:$T$1001,14,)</f>
        <v>No Change</v>
      </c>
      <c r="I311" t="str">
        <f>VLOOKUP(A311,'Remote work mental helath'!$A$2:$T$1001,16,)</f>
        <v>Satisfied</v>
      </c>
      <c r="J311" t="str">
        <f>VLOOKUP(A311,'Remote work mental helath'!$A$2:$T$1001,13,)</f>
        <v>Yes</v>
      </c>
      <c r="K311">
        <f>VLOOKUP(A311,'Remote work mental helath'!$A$2:$T$1001,17,FALSE)</f>
        <v>2</v>
      </c>
    </row>
    <row r="312" spans="1:11" x14ac:dyDescent="0.3">
      <c r="A312" t="s">
        <v>361</v>
      </c>
      <c r="B312" t="str">
        <f>VLOOKUP(A312,'Remote work mental helath'!$A$2:$T$1001,12,)</f>
        <v>None</v>
      </c>
      <c r="C312" t="str">
        <f>VLOOKUP(A312,'Remote work mental helath'!$A$2:$T$1001,11,)</f>
        <v>Low</v>
      </c>
      <c r="D312">
        <f>VLOOKUP('Mental Helath'!A312,'Remote work mental helath'!$A$2:$T$1001,10,)</f>
        <v>3</v>
      </c>
      <c r="E312" t="str">
        <f>VLOOKUP(A312,'Remote work mental helath'!A312:T1311,19,FALSE)</f>
        <v>Good</v>
      </c>
      <c r="F312" t="str">
        <f>VLOOKUP(A312,'Remote work mental helath'!$A$2:$T$1001,18,)</f>
        <v>Weekly</v>
      </c>
      <c r="G312">
        <f>VLOOKUP(A312,'Remote work mental helath'!$A$2:$T$1001,15,FALSE)</f>
        <v>3</v>
      </c>
      <c r="H312" t="str">
        <f>VLOOKUP(A312,'Remote work mental helath'!$A$2:$T$1001,14,)</f>
        <v>No Change</v>
      </c>
      <c r="I312" t="str">
        <f>VLOOKUP(A312,'Remote work mental helath'!$A$2:$T$1001,16,)</f>
        <v>Neutral</v>
      </c>
      <c r="J312" t="str">
        <f>VLOOKUP(A312,'Remote work mental helath'!$A$2:$T$1001,13,)</f>
        <v>Yes</v>
      </c>
      <c r="K312">
        <f>VLOOKUP(A312,'Remote work mental helath'!$A$2:$T$1001,17,FALSE)</f>
        <v>1</v>
      </c>
    </row>
    <row r="313" spans="1:11" x14ac:dyDescent="0.3">
      <c r="A313" t="s">
        <v>362</v>
      </c>
      <c r="B313" t="str">
        <f>VLOOKUP(A313,'Remote work mental helath'!$A$2:$T$1001,12,)</f>
        <v>None</v>
      </c>
      <c r="C313" t="str">
        <f>VLOOKUP(A313,'Remote work mental helath'!$A$2:$T$1001,11,)</f>
        <v>Medium</v>
      </c>
      <c r="D313">
        <f>VLOOKUP('Mental Helath'!A313,'Remote work mental helath'!$A$2:$T$1001,10,)</f>
        <v>1</v>
      </c>
      <c r="E313" t="str">
        <f>VLOOKUP(A313,'Remote work mental helath'!A313:T1312,19,FALSE)</f>
        <v>Good</v>
      </c>
      <c r="F313" t="str">
        <f>VLOOKUP(A313,'Remote work mental helath'!$A$2:$T$1001,18,)</f>
        <v>Weekly</v>
      </c>
      <c r="G313">
        <f>VLOOKUP(A313,'Remote work mental helath'!$A$2:$T$1001,15,FALSE)</f>
        <v>2</v>
      </c>
      <c r="H313" t="str">
        <f>VLOOKUP(A313,'Remote work mental helath'!$A$2:$T$1001,14,)</f>
        <v>Decrease</v>
      </c>
      <c r="I313" t="str">
        <f>VLOOKUP(A313,'Remote work mental helath'!$A$2:$T$1001,16,)</f>
        <v>Neutral</v>
      </c>
      <c r="J313" t="str">
        <f>VLOOKUP(A313,'Remote work mental helath'!$A$2:$T$1001,13,)</f>
        <v>No</v>
      </c>
      <c r="K313">
        <f>VLOOKUP(A313,'Remote work mental helath'!$A$2:$T$1001,17,FALSE)</f>
        <v>4</v>
      </c>
    </row>
    <row r="314" spans="1:11" x14ac:dyDescent="0.3">
      <c r="A314" t="s">
        <v>363</v>
      </c>
      <c r="B314" t="str">
        <f>VLOOKUP(A314,'Remote work mental helath'!$A$2:$T$1001,12,)</f>
        <v>Anxiety</v>
      </c>
      <c r="C314" t="str">
        <f>VLOOKUP(A314,'Remote work mental helath'!$A$2:$T$1001,11,)</f>
        <v>Low</v>
      </c>
      <c r="D314">
        <f>VLOOKUP('Mental Helath'!A314,'Remote work mental helath'!$A$2:$T$1001,10,)</f>
        <v>5</v>
      </c>
      <c r="E314" t="str">
        <f>VLOOKUP(A314,'Remote work mental helath'!A314:T1313,19,FALSE)</f>
        <v>Good</v>
      </c>
      <c r="F314" t="str">
        <f>VLOOKUP(A314,'Remote work mental helath'!$A$2:$T$1001,18,)</f>
        <v>Daily</v>
      </c>
      <c r="G314">
        <f>VLOOKUP(A314,'Remote work mental helath'!$A$2:$T$1001,15,FALSE)</f>
        <v>2</v>
      </c>
      <c r="H314" t="str">
        <f>VLOOKUP(A314,'Remote work mental helath'!$A$2:$T$1001,14,)</f>
        <v>Increase</v>
      </c>
      <c r="I314" t="str">
        <f>VLOOKUP(A314,'Remote work mental helath'!$A$2:$T$1001,16,)</f>
        <v>Neutral</v>
      </c>
      <c r="J314" t="str">
        <f>VLOOKUP(A314,'Remote work mental helath'!$A$2:$T$1001,13,)</f>
        <v>Yes</v>
      </c>
      <c r="K314">
        <f>VLOOKUP(A314,'Remote work mental helath'!$A$2:$T$1001,17,FALSE)</f>
        <v>1</v>
      </c>
    </row>
    <row r="315" spans="1:11" x14ac:dyDescent="0.3">
      <c r="A315" t="s">
        <v>364</v>
      </c>
      <c r="B315" t="str">
        <f>VLOOKUP(A315,'Remote work mental helath'!$A$2:$T$1001,12,)</f>
        <v>Depression</v>
      </c>
      <c r="C315" t="str">
        <f>VLOOKUP(A315,'Remote work mental helath'!$A$2:$T$1001,11,)</f>
        <v>High</v>
      </c>
      <c r="D315">
        <f>VLOOKUP('Mental Helath'!A315,'Remote work mental helath'!$A$2:$T$1001,10,)</f>
        <v>3</v>
      </c>
      <c r="E315" t="str">
        <f>VLOOKUP(A315,'Remote work mental helath'!A315:T1314,19,FALSE)</f>
        <v>Good</v>
      </c>
      <c r="F315" t="str">
        <f>VLOOKUP(A315,'Remote work mental helath'!$A$2:$T$1001,18,)</f>
        <v>Weekly</v>
      </c>
      <c r="G315">
        <f>VLOOKUP(A315,'Remote work mental helath'!$A$2:$T$1001,15,FALSE)</f>
        <v>2</v>
      </c>
      <c r="H315" t="str">
        <f>VLOOKUP(A315,'Remote work mental helath'!$A$2:$T$1001,14,)</f>
        <v>Decrease</v>
      </c>
      <c r="I315" t="str">
        <f>VLOOKUP(A315,'Remote work mental helath'!$A$2:$T$1001,16,)</f>
        <v>Satisfied</v>
      </c>
      <c r="J315" t="str">
        <f>VLOOKUP(A315,'Remote work mental helath'!$A$2:$T$1001,13,)</f>
        <v>Yes</v>
      </c>
      <c r="K315">
        <f>VLOOKUP(A315,'Remote work mental helath'!$A$2:$T$1001,17,FALSE)</f>
        <v>5</v>
      </c>
    </row>
    <row r="316" spans="1:11" x14ac:dyDescent="0.3">
      <c r="A316" t="s">
        <v>365</v>
      </c>
      <c r="B316" t="str">
        <f>VLOOKUP(A316,'Remote work mental helath'!$A$2:$T$1001,12,)</f>
        <v>Burnout</v>
      </c>
      <c r="C316" t="str">
        <f>VLOOKUP(A316,'Remote work mental helath'!$A$2:$T$1001,11,)</f>
        <v>Medium</v>
      </c>
      <c r="D316">
        <f>VLOOKUP('Mental Helath'!A316,'Remote work mental helath'!$A$2:$T$1001,10,)</f>
        <v>3</v>
      </c>
      <c r="E316" t="str">
        <f>VLOOKUP(A316,'Remote work mental helath'!A316:T1315,19,FALSE)</f>
        <v>Poor</v>
      </c>
      <c r="F316" t="str">
        <f>VLOOKUP(A316,'Remote work mental helath'!$A$2:$T$1001,18,)</f>
        <v>None</v>
      </c>
      <c r="G316">
        <f>VLOOKUP(A316,'Remote work mental helath'!$A$2:$T$1001,15,FALSE)</f>
        <v>1</v>
      </c>
      <c r="H316" t="str">
        <f>VLOOKUP(A316,'Remote work mental helath'!$A$2:$T$1001,14,)</f>
        <v>Decrease</v>
      </c>
      <c r="I316" t="str">
        <f>VLOOKUP(A316,'Remote work mental helath'!$A$2:$T$1001,16,)</f>
        <v>Satisfied</v>
      </c>
      <c r="J316" t="str">
        <f>VLOOKUP(A316,'Remote work mental helath'!$A$2:$T$1001,13,)</f>
        <v>Yes</v>
      </c>
      <c r="K316">
        <f>VLOOKUP(A316,'Remote work mental helath'!$A$2:$T$1001,17,FALSE)</f>
        <v>4</v>
      </c>
    </row>
    <row r="317" spans="1:11" x14ac:dyDescent="0.3">
      <c r="A317" t="s">
        <v>366</v>
      </c>
      <c r="B317" t="str">
        <f>VLOOKUP(A317,'Remote work mental helath'!$A$2:$T$1001,12,)</f>
        <v>Anxiety</v>
      </c>
      <c r="C317" t="str">
        <f>VLOOKUP(A317,'Remote work mental helath'!$A$2:$T$1001,11,)</f>
        <v>Medium</v>
      </c>
      <c r="D317">
        <f>VLOOKUP('Mental Helath'!A317,'Remote work mental helath'!$A$2:$T$1001,10,)</f>
        <v>5</v>
      </c>
      <c r="E317" t="str">
        <f>VLOOKUP(A317,'Remote work mental helath'!A317:T1316,19,FALSE)</f>
        <v>Poor</v>
      </c>
      <c r="F317" t="str">
        <f>VLOOKUP(A317,'Remote work mental helath'!$A$2:$T$1001,18,)</f>
        <v>Weekly</v>
      </c>
      <c r="G317">
        <f>VLOOKUP(A317,'Remote work mental helath'!$A$2:$T$1001,15,FALSE)</f>
        <v>2</v>
      </c>
      <c r="H317" t="str">
        <f>VLOOKUP(A317,'Remote work mental helath'!$A$2:$T$1001,14,)</f>
        <v>Increase</v>
      </c>
      <c r="I317" t="str">
        <f>VLOOKUP(A317,'Remote work mental helath'!$A$2:$T$1001,16,)</f>
        <v>Neutral</v>
      </c>
      <c r="J317" t="str">
        <f>VLOOKUP(A317,'Remote work mental helath'!$A$2:$T$1001,13,)</f>
        <v>No</v>
      </c>
      <c r="K317">
        <f>VLOOKUP(A317,'Remote work mental helath'!$A$2:$T$1001,17,FALSE)</f>
        <v>5</v>
      </c>
    </row>
    <row r="318" spans="1:11" x14ac:dyDescent="0.3">
      <c r="A318" t="s">
        <v>367</v>
      </c>
      <c r="B318" t="str">
        <f>VLOOKUP(A318,'Remote work mental helath'!$A$2:$T$1001,12,)</f>
        <v>Depression</v>
      </c>
      <c r="C318" t="str">
        <f>VLOOKUP(A318,'Remote work mental helath'!$A$2:$T$1001,11,)</f>
        <v>Low</v>
      </c>
      <c r="D318">
        <f>VLOOKUP('Mental Helath'!A318,'Remote work mental helath'!$A$2:$T$1001,10,)</f>
        <v>2</v>
      </c>
      <c r="E318" t="str">
        <f>VLOOKUP(A318,'Remote work mental helath'!A318:T1317,19,FALSE)</f>
        <v>Good</v>
      </c>
      <c r="F318" t="str">
        <f>VLOOKUP(A318,'Remote work mental helath'!$A$2:$T$1001,18,)</f>
        <v>Daily</v>
      </c>
      <c r="G318">
        <f>VLOOKUP(A318,'Remote work mental helath'!$A$2:$T$1001,15,FALSE)</f>
        <v>3</v>
      </c>
      <c r="H318" t="str">
        <f>VLOOKUP(A318,'Remote work mental helath'!$A$2:$T$1001,14,)</f>
        <v>Decrease</v>
      </c>
      <c r="I318" t="str">
        <f>VLOOKUP(A318,'Remote work mental helath'!$A$2:$T$1001,16,)</f>
        <v>Neutral</v>
      </c>
      <c r="J318" t="str">
        <f>VLOOKUP(A318,'Remote work mental helath'!$A$2:$T$1001,13,)</f>
        <v>Yes</v>
      </c>
      <c r="K318">
        <f>VLOOKUP(A318,'Remote work mental helath'!$A$2:$T$1001,17,FALSE)</f>
        <v>1</v>
      </c>
    </row>
    <row r="319" spans="1:11" x14ac:dyDescent="0.3">
      <c r="A319" t="s">
        <v>368</v>
      </c>
      <c r="B319" t="str">
        <f>VLOOKUP(A319,'Remote work mental helath'!$A$2:$T$1001,12,)</f>
        <v>Anxiety</v>
      </c>
      <c r="C319" t="str">
        <f>VLOOKUP(A319,'Remote work mental helath'!$A$2:$T$1001,11,)</f>
        <v>Medium</v>
      </c>
      <c r="D319">
        <f>VLOOKUP('Mental Helath'!A319,'Remote work mental helath'!$A$2:$T$1001,10,)</f>
        <v>2</v>
      </c>
      <c r="E319" t="str">
        <f>VLOOKUP(A319,'Remote work mental helath'!A319:T1318,19,FALSE)</f>
        <v>Poor</v>
      </c>
      <c r="F319" t="str">
        <f>VLOOKUP(A319,'Remote work mental helath'!$A$2:$T$1001,18,)</f>
        <v>Weekly</v>
      </c>
      <c r="G319">
        <f>VLOOKUP(A319,'Remote work mental helath'!$A$2:$T$1001,15,FALSE)</f>
        <v>1</v>
      </c>
      <c r="H319" t="str">
        <f>VLOOKUP(A319,'Remote work mental helath'!$A$2:$T$1001,14,)</f>
        <v>Increase</v>
      </c>
      <c r="I319" t="str">
        <f>VLOOKUP(A319,'Remote work mental helath'!$A$2:$T$1001,16,)</f>
        <v>Unsatisfied</v>
      </c>
      <c r="J319" t="str">
        <f>VLOOKUP(A319,'Remote work mental helath'!$A$2:$T$1001,13,)</f>
        <v>Yes</v>
      </c>
      <c r="K319">
        <f>VLOOKUP(A319,'Remote work mental helath'!$A$2:$T$1001,17,FALSE)</f>
        <v>2</v>
      </c>
    </row>
    <row r="320" spans="1:11" x14ac:dyDescent="0.3">
      <c r="A320" t="s">
        <v>369</v>
      </c>
      <c r="B320" t="str">
        <f>VLOOKUP(A320,'Remote work mental helath'!$A$2:$T$1001,12,)</f>
        <v>Burnout</v>
      </c>
      <c r="C320" t="str">
        <f>VLOOKUP(A320,'Remote work mental helath'!$A$2:$T$1001,11,)</f>
        <v>Low</v>
      </c>
      <c r="D320">
        <f>VLOOKUP('Mental Helath'!A320,'Remote work mental helath'!$A$2:$T$1001,10,)</f>
        <v>2</v>
      </c>
      <c r="E320" t="str">
        <f>VLOOKUP(A320,'Remote work mental helath'!A320:T1319,19,FALSE)</f>
        <v>Average</v>
      </c>
      <c r="F320" t="str">
        <f>VLOOKUP(A320,'Remote work mental helath'!$A$2:$T$1001,18,)</f>
        <v>None</v>
      </c>
      <c r="G320">
        <f>VLOOKUP(A320,'Remote work mental helath'!$A$2:$T$1001,15,FALSE)</f>
        <v>1</v>
      </c>
      <c r="H320" t="str">
        <f>VLOOKUP(A320,'Remote work mental helath'!$A$2:$T$1001,14,)</f>
        <v>No Change</v>
      </c>
      <c r="I320" t="str">
        <f>VLOOKUP(A320,'Remote work mental helath'!$A$2:$T$1001,16,)</f>
        <v>Satisfied</v>
      </c>
      <c r="J320" t="str">
        <f>VLOOKUP(A320,'Remote work mental helath'!$A$2:$T$1001,13,)</f>
        <v>No</v>
      </c>
      <c r="K320">
        <f>VLOOKUP(A320,'Remote work mental helath'!$A$2:$T$1001,17,FALSE)</f>
        <v>5</v>
      </c>
    </row>
    <row r="321" spans="1:11" x14ac:dyDescent="0.3">
      <c r="A321" t="s">
        <v>370</v>
      </c>
      <c r="B321" t="str">
        <f>VLOOKUP(A321,'Remote work mental helath'!$A$2:$T$1001,12,)</f>
        <v>None</v>
      </c>
      <c r="C321" t="str">
        <f>VLOOKUP(A321,'Remote work mental helath'!$A$2:$T$1001,11,)</f>
        <v>Low</v>
      </c>
      <c r="D321">
        <f>VLOOKUP('Mental Helath'!A321,'Remote work mental helath'!$A$2:$T$1001,10,)</f>
        <v>4</v>
      </c>
      <c r="E321" t="str">
        <f>VLOOKUP(A321,'Remote work mental helath'!A321:T1320,19,FALSE)</f>
        <v>Good</v>
      </c>
      <c r="F321" t="str">
        <f>VLOOKUP(A321,'Remote work mental helath'!$A$2:$T$1001,18,)</f>
        <v>Weekly</v>
      </c>
      <c r="G321">
        <f>VLOOKUP(A321,'Remote work mental helath'!$A$2:$T$1001,15,FALSE)</f>
        <v>1</v>
      </c>
      <c r="H321" t="str">
        <f>VLOOKUP(A321,'Remote work mental helath'!$A$2:$T$1001,14,)</f>
        <v>No Change</v>
      </c>
      <c r="I321" t="str">
        <f>VLOOKUP(A321,'Remote work mental helath'!$A$2:$T$1001,16,)</f>
        <v>Neutral</v>
      </c>
      <c r="J321" t="str">
        <f>VLOOKUP(A321,'Remote work mental helath'!$A$2:$T$1001,13,)</f>
        <v>Yes</v>
      </c>
      <c r="K321">
        <f>VLOOKUP(A321,'Remote work mental helath'!$A$2:$T$1001,17,FALSE)</f>
        <v>2</v>
      </c>
    </row>
    <row r="322" spans="1:11" x14ac:dyDescent="0.3">
      <c r="A322" t="s">
        <v>371</v>
      </c>
      <c r="B322" t="str">
        <f>VLOOKUP(A322,'Remote work mental helath'!$A$2:$T$1001,12,)</f>
        <v>Burnout</v>
      </c>
      <c r="C322" t="str">
        <f>VLOOKUP(A322,'Remote work mental helath'!$A$2:$T$1001,11,)</f>
        <v>Low</v>
      </c>
      <c r="D322">
        <f>VLOOKUP('Mental Helath'!A322,'Remote work mental helath'!$A$2:$T$1001,10,)</f>
        <v>2</v>
      </c>
      <c r="E322" t="str">
        <f>VLOOKUP(A322,'Remote work mental helath'!A322:T1321,19,FALSE)</f>
        <v>Poor</v>
      </c>
      <c r="F322" t="str">
        <f>VLOOKUP(A322,'Remote work mental helath'!$A$2:$T$1001,18,)</f>
        <v>Daily</v>
      </c>
      <c r="G322">
        <f>VLOOKUP(A322,'Remote work mental helath'!$A$2:$T$1001,15,FALSE)</f>
        <v>4</v>
      </c>
      <c r="H322" t="str">
        <f>VLOOKUP(A322,'Remote work mental helath'!$A$2:$T$1001,14,)</f>
        <v>Increase</v>
      </c>
      <c r="I322" t="str">
        <f>VLOOKUP(A322,'Remote work mental helath'!$A$2:$T$1001,16,)</f>
        <v>Neutral</v>
      </c>
      <c r="J322" t="str">
        <f>VLOOKUP(A322,'Remote work mental helath'!$A$2:$T$1001,13,)</f>
        <v>Yes</v>
      </c>
      <c r="K322">
        <f>VLOOKUP(A322,'Remote work mental helath'!$A$2:$T$1001,17,FALSE)</f>
        <v>3</v>
      </c>
    </row>
    <row r="323" spans="1:11" x14ac:dyDescent="0.3">
      <c r="A323" t="s">
        <v>372</v>
      </c>
      <c r="B323" t="str">
        <f>VLOOKUP(A323,'Remote work mental helath'!$A$2:$T$1001,12,)</f>
        <v>None</v>
      </c>
      <c r="C323" t="str">
        <f>VLOOKUP(A323,'Remote work mental helath'!$A$2:$T$1001,11,)</f>
        <v>Medium</v>
      </c>
      <c r="D323">
        <f>VLOOKUP('Mental Helath'!A323,'Remote work mental helath'!$A$2:$T$1001,10,)</f>
        <v>3</v>
      </c>
      <c r="E323" t="str">
        <f>VLOOKUP(A323,'Remote work mental helath'!A323:T1322,19,FALSE)</f>
        <v>Good</v>
      </c>
      <c r="F323" t="str">
        <f>VLOOKUP(A323,'Remote work mental helath'!$A$2:$T$1001,18,)</f>
        <v>None</v>
      </c>
      <c r="G323">
        <f>VLOOKUP(A323,'Remote work mental helath'!$A$2:$T$1001,15,FALSE)</f>
        <v>3</v>
      </c>
      <c r="H323" t="str">
        <f>VLOOKUP(A323,'Remote work mental helath'!$A$2:$T$1001,14,)</f>
        <v>Increase</v>
      </c>
      <c r="I323" t="str">
        <f>VLOOKUP(A323,'Remote work mental helath'!$A$2:$T$1001,16,)</f>
        <v>Unsatisfied</v>
      </c>
      <c r="J323" t="str">
        <f>VLOOKUP(A323,'Remote work mental helath'!$A$2:$T$1001,13,)</f>
        <v>No</v>
      </c>
      <c r="K323">
        <f>VLOOKUP(A323,'Remote work mental helath'!$A$2:$T$1001,17,FALSE)</f>
        <v>5</v>
      </c>
    </row>
    <row r="324" spans="1:11" x14ac:dyDescent="0.3">
      <c r="A324" t="s">
        <v>373</v>
      </c>
      <c r="B324" t="str">
        <f>VLOOKUP(A324,'Remote work mental helath'!$A$2:$T$1001,12,)</f>
        <v>Anxiety</v>
      </c>
      <c r="C324" t="str">
        <f>VLOOKUP(A324,'Remote work mental helath'!$A$2:$T$1001,11,)</f>
        <v>Low</v>
      </c>
      <c r="D324">
        <f>VLOOKUP('Mental Helath'!A324,'Remote work mental helath'!$A$2:$T$1001,10,)</f>
        <v>3</v>
      </c>
      <c r="E324" t="str">
        <f>VLOOKUP(A324,'Remote work mental helath'!A324:T1323,19,FALSE)</f>
        <v>Poor</v>
      </c>
      <c r="F324" t="str">
        <f>VLOOKUP(A324,'Remote work mental helath'!$A$2:$T$1001,18,)</f>
        <v>None</v>
      </c>
      <c r="G324">
        <f>VLOOKUP(A324,'Remote work mental helath'!$A$2:$T$1001,15,FALSE)</f>
        <v>4</v>
      </c>
      <c r="H324" t="str">
        <f>VLOOKUP(A324,'Remote work mental helath'!$A$2:$T$1001,14,)</f>
        <v>Decrease</v>
      </c>
      <c r="I324" t="str">
        <f>VLOOKUP(A324,'Remote work mental helath'!$A$2:$T$1001,16,)</f>
        <v>Neutral</v>
      </c>
      <c r="J324" t="str">
        <f>VLOOKUP(A324,'Remote work mental helath'!$A$2:$T$1001,13,)</f>
        <v>Yes</v>
      </c>
      <c r="K324">
        <f>VLOOKUP(A324,'Remote work mental helath'!$A$2:$T$1001,17,FALSE)</f>
        <v>5</v>
      </c>
    </row>
    <row r="325" spans="1:11" x14ac:dyDescent="0.3">
      <c r="A325" t="s">
        <v>374</v>
      </c>
      <c r="B325" t="str">
        <f>VLOOKUP(A325,'Remote work mental helath'!$A$2:$T$1001,12,)</f>
        <v>Burnout</v>
      </c>
      <c r="C325" t="str">
        <f>VLOOKUP(A325,'Remote work mental helath'!$A$2:$T$1001,11,)</f>
        <v>Medium</v>
      </c>
      <c r="D325">
        <f>VLOOKUP('Mental Helath'!A325,'Remote work mental helath'!$A$2:$T$1001,10,)</f>
        <v>1</v>
      </c>
      <c r="E325" t="str">
        <f>VLOOKUP(A325,'Remote work mental helath'!A325:T1324,19,FALSE)</f>
        <v>Poor</v>
      </c>
      <c r="F325" t="str">
        <f>VLOOKUP(A325,'Remote work mental helath'!$A$2:$T$1001,18,)</f>
        <v>Daily</v>
      </c>
      <c r="G325">
        <f>VLOOKUP(A325,'Remote work mental helath'!$A$2:$T$1001,15,FALSE)</f>
        <v>1</v>
      </c>
      <c r="H325" t="str">
        <f>VLOOKUP(A325,'Remote work mental helath'!$A$2:$T$1001,14,)</f>
        <v>Increase</v>
      </c>
      <c r="I325" t="str">
        <f>VLOOKUP(A325,'Remote work mental helath'!$A$2:$T$1001,16,)</f>
        <v>Unsatisfied</v>
      </c>
      <c r="J325" t="str">
        <f>VLOOKUP(A325,'Remote work mental helath'!$A$2:$T$1001,13,)</f>
        <v>Yes</v>
      </c>
      <c r="K325">
        <f>VLOOKUP(A325,'Remote work mental helath'!$A$2:$T$1001,17,FALSE)</f>
        <v>2</v>
      </c>
    </row>
    <row r="326" spans="1:11" x14ac:dyDescent="0.3">
      <c r="A326" t="s">
        <v>375</v>
      </c>
      <c r="B326" t="str">
        <f>VLOOKUP(A326,'Remote work mental helath'!$A$2:$T$1001,12,)</f>
        <v>Anxiety</v>
      </c>
      <c r="C326" t="str">
        <f>VLOOKUP(A326,'Remote work mental helath'!$A$2:$T$1001,11,)</f>
        <v>High</v>
      </c>
      <c r="D326">
        <f>VLOOKUP('Mental Helath'!A326,'Remote work mental helath'!$A$2:$T$1001,10,)</f>
        <v>4</v>
      </c>
      <c r="E326" t="str">
        <f>VLOOKUP(A326,'Remote work mental helath'!A326:T1325,19,FALSE)</f>
        <v>Good</v>
      </c>
      <c r="F326" t="str">
        <f>VLOOKUP(A326,'Remote work mental helath'!$A$2:$T$1001,18,)</f>
        <v>None</v>
      </c>
      <c r="G326">
        <f>VLOOKUP(A326,'Remote work mental helath'!$A$2:$T$1001,15,FALSE)</f>
        <v>3</v>
      </c>
      <c r="H326" t="str">
        <f>VLOOKUP(A326,'Remote work mental helath'!$A$2:$T$1001,14,)</f>
        <v>Decrease</v>
      </c>
      <c r="I326" t="str">
        <f>VLOOKUP(A326,'Remote work mental helath'!$A$2:$T$1001,16,)</f>
        <v>Unsatisfied</v>
      </c>
      <c r="J326" t="str">
        <f>VLOOKUP(A326,'Remote work mental helath'!$A$2:$T$1001,13,)</f>
        <v>No</v>
      </c>
      <c r="K326">
        <f>VLOOKUP(A326,'Remote work mental helath'!$A$2:$T$1001,17,FALSE)</f>
        <v>1</v>
      </c>
    </row>
    <row r="327" spans="1:11" x14ac:dyDescent="0.3">
      <c r="A327" t="s">
        <v>376</v>
      </c>
      <c r="B327" t="str">
        <f>VLOOKUP(A327,'Remote work mental helath'!$A$2:$T$1001,12,)</f>
        <v>None</v>
      </c>
      <c r="C327" t="str">
        <f>VLOOKUP(A327,'Remote work mental helath'!$A$2:$T$1001,11,)</f>
        <v>Low</v>
      </c>
      <c r="D327">
        <f>VLOOKUP('Mental Helath'!A327,'Remote work mental helath'!$A$2:$T$1001,10,)</f>
        <v>2</v>
      </c>
      <c r="E327" t="str">
        <f>VLOOKUP(A327,'Remote work mental helath'!A327:T1326,19,FALSE)</f>
        <v>Poor</v>
      </c>
      <c r="F327" t="str">
        <f>VLOOKUP(A327,'Remote work mental helath'!$A$2:$T$1001,18,)</f>
        <v>Daily</v>
      </c>
      <c r="G327">
        <f>VLOOKUP(A327,'Remote work mental helath'!$A$2:$T$1001,15,FALSE)</f>
        <v>1</v>
      </c>
      <c r="H327" t="str">
        <f>VLOOKUP(A327,'Remote work mental helath'!$A$2:$T$1001,14,)</f>
        <v>Decrease</v>
      </c>
      <c r="I327" t="str">
        <f>VLOOKUP(A327,'Remote work mental helath'!$A$2:$T$1001,16,)</f>
        <v>Satisfied</v>
      </c>
      <c r="J327" t="str">
        <f>VLOOKUP(A327,'Remote work mental helath'!$A$2:$T$1001,13,)</f>
        <v>Yes</v>
      </c>
      <c r="K327">
        <f>VLOOKUP(A327,'Remote work mental helath'!$A$2:$T$1001,17,FALSE)</f>
        <v>3</v>
      </c>
    </row>
    <row r="328" spans="1:11" x14ac:dyDescent="0.3">
      <c r="A328" t="s">
        <v>377</v>
      </c>
      <c r="B328" t="str">
        <f>VLOOKUP(A328,'Remote work mental helath'!$A$2:$T$1001,12,)</f>
        <v>Anxiety</v>
      </c>
      <c r="C328" t="str">
        <f>VLOOKUP(A328,'Remote work mental helath'!$A$2:$T$1001,11,)</f>
        <v>High</v>
      </c>
      <c r="D328">
        <f>VLOOKUP('Mental Helath'!A328,'Remote work mental helath'!$A$2:$T$1001,10,)</f>
        <v>2</v>
      </c>
      <c r="E328" t="str">
        <f>VLOOKUP(A328,'Remote work mental helath'!A328:T1327,19,FALSE)</f>
        <v>Poor</v>
      </c>
      <c r="F328" t="str">
        <f>VLOOKUP(A328,'Remote work mental helath'!$A$2:$T$1001,18,)</f>
        <v>Weekly</v>
      </c>
      <c r="G328">
        <f>VLOOKUP(A328,'Remote work mental helath'!$A$2:$T$1001,15,FALSE)</f>
        <v>5</v>
      </c>
      <c r="H328" t="str">
        <f>VLOOKUP(A328,'Remote work mental helath'!$A$2:$T$1001,14,)</f>
        <v>Increase</v>
      </c>
      <c r="I328" t="str">
        <f>VLOOKUP(A328,'Remote work mental helath'!$A$2:$T$1001,16,)</f>
        <v>Satisfied</v>
      </c>
      <c r="J328" t="str">
        <f>VLOOKUP(A328,'Remote work mental helath'!$A$2:$T$1001,13,)</f>
        <v>No</v>
      </c>
      <c r="K328">
        <f>VLOOKUP(A328,'Remote work mental helath'!$A$2:$T$1001,17,FALSE)</f>
        <v>4</v>
      </c>
    </row>
    <row r="329" spans="1:11" x14ac:dyDescent="0.3">
      <c r="A329" t="s">
        <v>378</v>
      </c>
      <c r="B329" t="str">
        <f>VLOOKUP(A329,'Remote work mental helath'!$A$2:$T$1001,12,)</f>
        <v>Depression</v>
      </c>
      <c r="C329" t="str">
        <f>VLOOKUP(A329,'Remote work mental helath'!$A$2:$T$1001,11,)</f>
        <v>High</v>
      </c>
      <c r="D329">
        <f>VLOOKUP('Mental Helath'!A329,'Remote work mental helath'!$A$2:$T$1001,10,)</f>
        <v>2</v>
      </c>
      <c r="E329" t="str">
        <f>VLOOKUP(A329,'Remote work mental helath'!A329:T1328,19,FALSE)</f>
        <v>Average</v>
      </c>
      <c r="F329" t="str">
        <f>VLOOKUP(A329,'Remote work mental helath'!$A$2:$T$1001,18,)</f>
        <v>Weekly</v>
      </c>
      <c r="G329">
        <f>VLOOKUP(A329,'Remote work mental helath'!$A$2:$T$1001,15,FALSE)</f>
        <v>4</v>
      </c>
      <c r="H329" t="str">
        <f>VLOOKUP(A329,'Remote work mental helath'!$A$2:$T$1001,14,)</f>
        <v>Increase</v>
      </c>
      <c r="I329" t="str">
        <f>VLOOKUP(A329,'Remote work mental helath'!$A$2:$T$1001,16,)</f>
        <v>Satisfied</v>
      </c>
      <c r="J329" t="str">
        <f>VLOOKUP(A329,'Remote work mental helath'!$A$2:$T$1001,13,)</f>
        <v>Yes</v>
      </c>
      <c r="K329">
        <f>VLOOKUP(A329,'Remote work mental helath'!$A$2:$T$1001,17,FALSE)</f>
        <v>3</v>
      </c>
    </row>
    <row r="330" spans="1:11" x14ac:dyDescent="0.3">
      <c r="A330" t="s">
        <v>379</v>
      </c>
      <c r="B330" t="str">
        <f>VLOOKUP(A330,'Remote work mental helath'!$A$2:$T$1001,12,)</f>
        <v>Depression</v>
      </c>
      <c r="C330" t="str">
        <f>VLOOKUP(A330,'Remote work mental helath'!$A$2:$T$1001,11,)</f>
        <v>High</v>
      </c>
      <c r="D330">
        <f>VLOOKUP('Mental Helath'!A330,'Remote work mental helath'!$A$2:$T$1001,10,)</f>
        <v>1</v>
      </c>
      <c r="E330" t="str">
        <f>VLOOKUP(A330,'Remote work mental helath'!A330:T1329,19,FALSE)</f>
        <v>Poor</v>
      </c>
      <c r="F330" t="str">
        <f>VLOOKUP(A330,'Remote work mental helath'!$A$2:$T$1001,18,)</f>
        <v>Daily</v>
      </c>
      <c r="G330">
        <f>VLOOKUP(A330,'Remote work mental helath'!$A$2:$T$1001,15,FALSE)</f>
        <v>1</v>
      </c>
      <c r="H330" t="str">
        <f>VLOOKUP(A330,'Remote work mental helath'!$A$2:$T$1001,14,)</f>
        <v>Increase</v>
      </c>
      <c r="I330" t="str">
        <f>VLOOKUP(A330,'Remote work mental helath'!$A$2:$T$1001,16,)</f>
        <v>Neutral</v>
      </c>
      <c r="J330" t="str">
        <f>VLOOKUP(A330,'Remote work mental helath'!$A$2:$T$1001,13,)</f>
        <v>Yes</v>
      </c>
      <c r="K330">
        <f>VLOOKUP(A330,'Remote work mental helath'!$A$2:$T$1001,17,FALSE)</f>
        <v>4</v>
      </c>
    </row>
    <row r="331" spans="1:11" x14ac:dyDescent="0.3">
      <c r="A331" t="s">
        <v>380</v>
      </c>
      <c r="B331" t="str">
        <f>VLOOKUP(A331,'Remote work mental helath'!$A$2:$T$1001,12,)</f>
        <v>Depression</v>
      </c>
      <c r="C331" t="str">
        <f>VLOOKUP(A331,'Remote work mental helath'!$A$2:$T$1001,11,)</f>
        <v>Low</v>
      </c>
      <c r="D331">
        <f>VLOOKUP('Mental Helath'!A331,'Remote work mental helath'!$A$2:$T$1001,10,)</f>
        <v>5</v>
      </c>
      <c r="E331" t="str">
        <f>VLOOKUP(A331,'Remote work mental helath'!A331:T1330,19,FALSE)</f>
        <v>Average</v>
      </c>
      <c r="F331" t="str">
        <f>VLOOKUP(A331,'Remote work mental helath'!$A$2:$T$1001,18,)</f>
        <v>None</v>
      </c>
      <c r="G331">
        <f>VLOOKUP(A331,'Remote work mental helath'!$A$2:$T$1001,15,FALSE)</f>
        <v>3</v>
      </c>
      <c r="H331" t="str">
        <f>VLOOKUP(A331,'Remote work mental helath'!$A$2:$T$1001,14,)</f>
        <v>Increase</v>
      </c>
      <c r="I331" t="str">
        <f>VLOOKUP(A331,'Remote work mental helath'!$A$2:$T$1001,16,)</f>
        <v>Unsatisfied</v>
      </c>
      <c r="J331" t="str">
        <f>VLOOKUP(A331,'Remote work mental helath'!$A$2:$T$1001,13,)</f>
        <v>Yes</v>
      </c>
      <c r="K331">
        <f>VLOOKUP(A331,'Remote work mental helath'!$A$2:$T$1001,17,FALSE)</f>
        <v>5</v>
      </c>
    </row>
    <row r="332" spans="1:11" x14ac:dyDescent="0.3">
      <c r="A332" t="s">
        <v>381</v>
      </c>
      <c r="B332" t="str">
        <f>VLOOKUP(A332,'Remote work mental helath'!$A$2:$T$1001,12,)</f>
        <v>Depression</v>
      </c>
      <c r="C332" t="str">
        <f>VLOOKUP(A332,'Remote work mental helath'!$A$2:$T$1001,11,)</f>
        <v>Low</v>
      </c>
      <c r="D332">
        <f>VLOOKUP('Mental Helath'!A332,'Remote work mental helath'!$A$2:$T$1001,10,)</f>
        <v>5</v>
      </c>
      <c r="E332" t="str">
        <f>VLOOKUP(A332,'Remote work mental helath'!A332:T1331,19,FALSE)</f>
        <v>Good</v>
      </c>
      <c r="F332" t="str">
        <f>VLOOKUP(A332,'Remote work mental helath'!$A$2:$T$1001,18,)</f>
        <v>None</v>
      </c>
      <c r="G332">
        <f>VLOOKUP(A332,'Remote work mental helath'!$A$2:$T$1001,15,FALSE)</f>
        <v>3</v>
      </c>
      <c r="H332" t="str">
        <f>VLOOKUP(A332,'Remote work mental helath'!$A$2:$T$1001,14,)</f>
        <v>Increase</v>
      </c>
      <c r="I332" t="str">
        <f>VLOOKUP(A332,'Remote work mental helath'!$A$2:$T$1001,16,)</f>
        <v>Satisfied</v>
      </c>
      <c r="J332" t="str">
        <f>VLOOKUP(A332,'Remote work mental helath'!$A$2:$T$1001,13,)</f>
        <v>No</v>
      </c>
      <c r="K332">
        <f>VLOOKUP(A332,'Remote work mental helath'!$A$2:$T$1001,17,FALSE)</f>
        <v>3</v>
      </c>
    </row>
    <row r="333" spans="1:11" x14ac:dyDescent="0.3">
      <c r="A333" t="s">
        <v>382</v>
      </c>
      <c r="B333" t="str">
        <f>VLOOKUP(A333,'Remote work mental helath'!$A$2:$T$1001,12,)</f>
        <v>Depression</v>
      </c>
      <c r="C333" t="str">
        <f>VLOOKUP(A333,'Remote work mental helath'!$A$2:$T$1001,11,)</f>
        <v>Medium</v>
      </c>
      <c r="D333">
        <f>VLOOKUP('Mental Helath'!A333,'Remote work mental helath'!$A$2:$T$1001,10,)</f>
        <v>5</v>
      </c>
      <c r="E333" t="str">
        <f>VLOOKUP(A333,'Remote work mental helath'!A333:T1332,19,FALSE)</f>
        <v>Average</v>
      </c>
      <c r="F333" t="str">
        <f>VLOOKUP(A333,'Remote work mental helath'!$A$2:$T$1001,18,)</f>
        <v>Daily</v>
      </c>
      <c r="G333">
        <f>VLOOKUP(A333,'Remote work mental helath'!$A$2:$T$1001,15,FALSE)</f>
        <v>1</v>
      </c>
      <c r="H333" t="str">
        <f>VLOOKUP(A333,'Remote work mental helath'!$A$2:$T$1001,14,)</f>
        <v>Decrease</v>
      </c>
      <c r="I333" t="str">
        <f>VLOOKUP(A333,'Remote work mental helath'!$A$2:$T$1001,16,)</f>
        <v>Satisfied</v>
      </c>
      <c r="J333" t="str">
        <f>VLOOKUP(A333,'Remote work mental helath'!$A$2:$T$1001,13,)</f>
        <v>Yes</v>
      </c>
      <c r="K333">
        <f>VLOOKUP(A333,'Remote work mental helath'!$A$2:$T$1001,17,FALSE)</f>
        <v>5</v>
      </c>
    </row>
    <row r="334" spans="1:11" x14ac:dyDescent="0.3">
      <c r="A334" t="s">
        <v>383</v>
      </c>
      <c r="B334" t="str">
        <f>VLOOKUP(A334,'Remote work mental helath'!$A$2:$T$1001,12,)</f>
        <v>None</v>
      </c>
      <c r="C334" t="str">
        <f>VLOOKUP(A334,'Remote work mental helath'!$A$2:$T$1001,11,)</f>
        <v>Medium</v>
      </c>
      <c r="D334">
        <f>VLOOKUP('Mental Helath'!A334,'Remote work mental helath'!$A$2:$T$1001,10,)</f>
        <v>4</v>
      </c>
      <c r="E334" t="str">
        <f>VLOOKUP(A334,'Remote work mental helath'!A334:T1333,19,FALSE)</f>
        <v>Good</v>
      </c>
      <c r="F334" t="str">
        <f>VLOOKUP(A334,'Remote work mental helath'!$A$2:$T$1001,18,)</f>
        <v>None</v>
      </c>
      <c r="G334">
        <f>VLOOKUP(A334,'Remote work mental helath'!$A$2:$T$1001,15,FALSE)</f>
        <v>5</v>
      </c>
      <c r="H334" t="str">
        <f>VLOOKUP(A334,'Remote work mental helath'!$A$2:$T$1001,14,)</f>
        <v>Decrease</v>
      </c>
      <c r="I334" t="str">
        <f>VLOOKUP(A334,'Remote work mental helath'!$A$2:$T$1001,16,)</f>
        <v>Neutral</v>
      </c>
      <c r="J334" t="str">
        <f>VLOOKUP(A334,'Remote work mental helath'!$A$2:$T$1001,13,)</f>
        <v>Yes</v>
      </c>
      <c r="K334">
        <f>VLOOKUP(A334,'Remote work mental helath'!$A$2:$T$1001,17,FALSE)</f>
        <v>4</v>
      </c>
    </row>
    <row r="335" spans="1:11" x14ac:dyDescent="0.3">
      <c r="A335" t="s">
        <v>384</v>
      </c>
      <c r="B335" t="str">
        <f>VLOOKUP(A335,'Remote work mental helath'!$A$2:$T$1001,12,)</f>
        <v>Anxiety</v>
      </c>
      <c r="C335" t="str">
        <f>VLOOKUP(A335,'Remote work mental helath'!$A$2:$T$1001,11,)</f>
        <v>High</v>
      </c>
      <c r="D335">
        <f>VLOOKUP('Mental Helath'!A335,'Remote work mental helath'!$A$2:$T$1001,10,)</f>
        <v>2</v>
      </c>
      <c r="E335" t="str">
        <f>VLOOKUP(A335,'Remote work mental helath'!A335:T1334,19,FALSE)</f>
        <v>Poor</v>
      </c>
      <c r="F335" t="str">
        <f>VLOOKUP(A335,'Remote work mental helath'!$A$2:$T$1001,18,)</f>
        <v>Daily</v>
      </c>
      <c r="G335">
        <f>VLOOKUP(A335,'Remote work mental helath'!$A$2:$T$1001,15,FALSE)</f>
        <v>5</v>
      </c>
      <c r="H335" t="str">
        <f>VLOOKUP(A335,'Remote work mental helath'!$A$2:$T$1001,14,)</f>
        <v>Increase</v>
      </c>
      <c r="I335" t="str">
        <f>VLOOKUP(A335,'Remote work mental helath'!$A$2:$T$1001,16,)</f>
        <v>Unsatisfied</v>
      </c>
      <c r="J335" t="str">
        <f>VLOOKUP(A335,'Remote work mental helath'!$A$2:$T$1001,13,)</f>
        <v>No</v>
      </c>
      <c r="K335">
        <f>VLOOKUP(A335,'Remote work mental helath'!$A$2:$T$1001,17,FALSE)</f>
        <v>4</v>
      </c>
    </row>
    <row r="336" spans="1:11" x14ac:dyDescent="0.3">
      <c r="A336" t="s">
        <v>385</v>
      </c>
      <c r="B336" t="str">
        <f>VLOOKUP(A336,'Remote work mental helath'!$A$2:$T$1001,12,)</f>
        <v>Burnout</v>
      </c>
      <c r="C336" t="str">
        <f>VLOOKUP(A336,'Remote work mental helath'!$A$2:$T$1001,11,)</f>
        <v>High</v>
      </c>
      <c r="D336">
        <f>VLOOKUP('Mental Helath'!A336,'Remote work mental helath'!$A$2:$T$1001,10,)</f>
        <v>4</v>
      </c>
      <c r="E336" t="str">
        <f>VLOOKUP(A336,'Remote work mental helath'!A336:T1335,19,FALSE)</f>
        <v>Good</v>
      </c>
      <c r="F336" t="str">
        <f>VLOOKUP(A336,'Remote work mental helath'!$A$2:$T$1001,18,)</f>
        <v>Daily</v>
      </c>
      <c r="G336">
        <f>VLOOKUP(A336,'Remote work mental helath'!$A$2:$T$1001,15,FALSE)</f>
        <v>2</v>
      </c>
      <c r="H336" t="str">
        <f>VLOOKUP(A336,'Remote work mental helath'!$A$2:$T$1001,14,)</f>
        <v>Increase</v>
      </c>
      <c r="I336" t="str">
        <f>VLOOKUP(A336,'Remote work mental helath'!$A$2:$T$1001,16,)</f>
        <v>Satisfied</v>
      </c>
      <c r="J336" t="str">
        <f>VLOOKUP(A336,'Remote work mental helath'!$A$2:$T$1001,13,)</f>
        <v>Yes</v>
      </c>
      <c r="K336">
        <f>VLOOKUP(A336,'Remote work mental helath'!$A$2:$T$1001,17,FALSE)</f>
        <v>3</v>
      </c>
    </row>
    <row r="337" spans="1:11" x14ac:dyDescent="0.3">
      <c r="A337" t="s">
        <v>386</v>
      </c>
      <c r="B337" t="str">
        <f>VLOOKUP(A337,'Remote work mental helath'!$A$2:$T$1001,12,)</f>
        <v>Anxiety</v>
      </c>
      <c r="C337" t="str">
        <f>VLOOKUP(A337,'Remote work mental helath'!$A$2:$T$1001,11,)</f>
        <v>Low</v>
      </c>
      <c r="D337">
        <f>VLOOKUP('Mental Helath'!A337,'Remote work mental helath'!$A$2:$T$1001,10,)</f>
        <v>2</v>
      </c>
      <c r="E337" t="str">
        <f>VLOOKUP(A337,'Remote work mental helath'!A337:T1336,19,FALSE)</f>
        <v>Poor</v>
      </c>
      <c r="F337" t="str">
        <f>VLOOKUP(A337,'Remote work mental helath'!$A$2:$T$1001,18,)</f>
        <v>Weekly</v>
      </c>
      <c r="G337">
        <f>VLOOKUP(A337,'Remote work mental helath'!$A$2:$T$1001,15,FALSE)</f>
        <v>2</v>
      </c>
      <c r="H337" t="str">
        <f>VLOOKUP(A337,'Remote work mental helath'!$A$2:$T$1001,14,)</f>
        <v>Increase</v>
      </c>
      <c r="I337" t="str">
        <f>VLOOKUP(A337,'Remote work mental helath'!$A$2:$T$1001,16,)</f>
        <v>Satisfied</v>
      </c>
      <c r="J337" t="str">
        <f>VLOOKUP(A337,'Remote work mental helath'!$A$2:$T$1001,13,)</f>
        <v>Yes</v>
      </c>
      <c r="K337">
        <f>VLOOKUP(A337,'Remote work mental helath'!$A$2:$T$1001,17,FALSE)</f>
        <v>1</v>
      </c>
    </row>
    <row r="338" spans="1:11" x14ac:dyDescent="0.3">
      <c r="A338" t="s">
        <v>387</v>
      </c>
      <c r="B338" t="str">
        <f>VLOOKUP(A338,'Remote work mental helath'!$A$2:$T$1001,12,)</f>
        <v>Burnout</v>
      </c>
      <c r="C338" t="str">
        <f>VLOOKUP(A338,'Remote work mental helath'!$A$2:$T$1001,11,)</f>
        <v>High</v>
      </c>
      <c r="D338">
        <f>VLOOKUP('Mental Helath'!A338,'Remote work mental helath'!$A$2:$T$1001,10,)</f>
        <v>4</v>
      </c>
      <c r="E338" t="str">
        <f>VLOOKUP(A338,'Remote work mental helath'!A338:T1337,19,FALSE)</f>
        <v>Poor</v>
      </c>
      <c r="F338" t="str">
        <f>VLOOKUP(A338,'Remote work mental helath'!$A$2:$T$1001,18,)</f>
        <v>Daily</v>
      </c>
      <c r="G338">
        <f>VLOOKUP(A338,'Remote work mental helath'!$A$2:$T$1001,15,FALSE)</f>
        <v>1</v>
      </c>
      <c r="H338" t="str">
        <f>VLOOKUP(A338,'Remote work mental helath'!$A$2:$T$1001,14,)</f>
        <v>Decrease</v>
      </c>
      <c r="I338" t="str">
        <f>VLOOKUP(A338,'Remote work mental helath'!$A$2:$T$1001,16,)</f>
        <v>Unsatisfied</v>
      </c>
      <c r="J338" t="str">
        <f>VLOOKUP(A338,'Remote work mental helath'!$A$2:$T$1001,13,)</f>
        <v>Yes</v>
      </c>
      <c r="K338">
        <f>VLOOKUP(A338,'Remote work mental helath'!$A$2:$T$1001,17,FALSE)</f>
        <v>2</v>
      </c>
    </row>
    <row r="339" spans="1:11" x14ac:dyDescent="0.3">
      <c r="A339" t="s">
        <v>388</v>
      </c>
      <c r="B339" t="str">
        <f>VLOOKUP(A339,'Remote work mental helath'!$A$2:$T$1001,12,)</f>
        <v>None</v>
      </c>
      <c r="C339" t="str">
        <f>VLOOKUP(A339,'Remote work mental helath'!$A$2:$T$1001,11,)</f>
        <v>Medium</v>
      </c>
      <c r="D339">
        <f>VLOOKUP('Mental Helath'!A339,'Remote work mental helath'!$A$2:$T$1001,10,)</f>
        <v>5</v>
      </c>
      <c r="E339" t="str">
        <f>VLOOKUP(A339,'Remote work mental helath'!A339:T1338,19,FALSE)</f>
        <v>Poor</v>
      </c>
      <c r="F339" t="str">
        <f>VLOOKUP(A339,'Remote work mental helath'!$A$2:$T$1001,18,)</f>
        <v>Daily</v>
      </c>
      <c r="G339">
        <f>VLOOKUP(A339,'Remote work mental helath'!$A$2:$T$1001,15,FALSE)</f>
        <v>2</v>
      </c>
      <c r="H339" t="str">
        <f>VLOOKUP(A339,'Remote work mental helath'!$A$2:$T$1001,14,)</f>
        <v>Increase</v>
      </c>
      <c r="I339" t="str">
        <f>VLOOKUP(A339,'Remote work mental helath'!$A$2:$T$1001,16,)</f>
        <v>Neutral</v>
      </c>
      <c r="J339" t="str">
        <f>VLOOKUP(A339,'Remote work mental helath'!$A$2:$T$1001,13,)</f>
        <v>No</v>
      </c>
      <c r="K339">
        <f>VLOOKUP(A339,'Remote work mental helath'!$A$2:$T$1001,17,FALSE)</f>
        <v>2</v>
      </c>
    </row>
    <row r="340" spans="1:11" x14ac:dyDescent="0.3">
      <c r="A340" t="s">
        <v>389</v>
      </c>
      <c r="B340" t="str">
        <f>VLOOKUP(A340,'Remote work mental helath'!$A$2:$T$1001,12,)</f>
        <v>Depression</v>
      </c>
      <c r="C340" t="str">
        <f>VLOOKUP(A340,'Remote work mental helath'!$A$2:$T$1001,11,)</f>
        <v>Low</v>
      </c>
      <c r="D340">
        <f>VLOOKUP('Mental Helath'!A340,'Remote work mental helath'!$A$2:$T$1001,10,)</f>
        <v>2</v>
      </c>
      <c r="E340" t="str">
        <f>VLOOKUP(A340,'Remote work mental helath'!A340:T1339,19,FALSE)</f>
        <v>Good</v>
      </c>
      <c r="F340" t="str">
        <f>VLOOKUP(A340,'Remote work mental helath'!$A$2:$T$1001,18,)</f>
        <v>None</v>
      </c>
      <c r="G340">
        <f>VLOOKUP(A340,'Remote work mental helath'!$A$2:$T$1001,15,FALSE)</f>
        <v>1</v>
      </c>
      <c r="H340" t="str">
        <f>VLOOKUP(A340,'Remote work mental helath'!$A$2:$T$1001,14,)</f>
        <v>Decrease</v>
      </c>
      <c r="I340" t="str">
        <f>VLOOKUP(A340,'Remote work mental helath'!$A$2:$T$1001,16,)</f>
        <v>Unsatisfied</v>
      </c>
      <c r="J340" t="str">
        <f>VLOOKUP(A340,'Remote work mental helath'!$A$2:$T$1001,13,)</f>
        <v>No</v>
      </c>
      <c r="K340">
        <f>VLOOKUP(A340,'Remote work mental helath'!$A$2:$T$1001,17,FALSE)</f>
        <v>1</v>
      </c>
    </row>
    <row r="341" spans="1:11" x14ac:dyDescent="0.3">
      <c r="A341" t="s">
        <v>390</v>
      </c>
      <c r="B341" t="str">
        <f>VLOOKUP(A341,'Remote work mental helath'!$A$2:$T$1001,12,)</f>
        <v>None</v>
      </c>
      <c r="C341" t="str">
        <f>VLOOKUP(A341,'Remote work mental helath'!$A$2:$T$1001,11,)</f>
        <v>High</v>
      </c>
      <c r="D341">
        <f>VLOOKUP('Mental Helath'!A341,'Remote work mental helath'!$A$2:$T$1001,10,)</f>
        <v>5</v>
      </c>
      <c r="E341" t="str">
        <f>VLOOKUP(A341,'Remote work mental helath'!A341:T1340,19,FALSE)</f>
        <v>Poor</v>
      </c>
      <c r="F341" t="str">
        <f>VLOOKUP(A341,'Remote work mental helath'!$A$2:$T$1001,18,)</f>
        <v>Weekly</v>
      </c>
      <c r="G341">
        <f>VLOOKUP(A341,'Remote work mental helath'!$A$2:$T$1001,15,FALSE)</f>
        <v>1</v>
      </c>
      <c r="H341" t="str">
        <f>VLOOKUP(A341,'Remote work mental helath'!$A$2:$T$1001,14,)</f>
        <v>No Change</v>
      </c>
      <c r="I341" t="str">
        <f>VLOOKUP(A341,'Remote work mental helath'!$A$2:$T$1001,16,)</f>
        <v>Neutral</v>
      </c>
      <c r="J341" t="str">
        <f>VLOOKUP(A341,'Remote work mental helath'!$A$2:$T$1001,13,)</f>
        <v>No</v>
      </c>
      <c r="K341">
        <f>VLOOKUP(A341,'Remote work mental helath'!$A$2:$T$1001,17,FALSE)</f>
        <v>5</v>
      </c>
    </row>
    <row r="342" spans="1:11" x14ac:dyDescent="0.3">
      <c r="A342" t="s">
        <v>391</v>
      </c>
      <c r="B342" t="str">
        <f>VLOOKUP(A342,'Remote work mental helath'!$A$2:$T$1001,12,)</f>
        <v>Burnout</v>
      </c>
      <c r="C342" t="str">
        <f>VLOOKUP(A342,'Remote work mental helath'!$A$2:$T$1001,11,)</f>
        <v>High</v>
      </c>
      <c r="D342">
        <f>VLOOKUP('Mental Helath'!A342,'Remote work mental helath'!$A$2:$T$1001,10,)</f>
        <v>1</v>
      </c>
      <c r="E342" t="str">
        <f>VLOOKUP(A342,'Remote work mental helath'!A342:T1341,19,FALSE)</f>
        <v>Good</v>
      </c>
      <c r="F342" t="str">
        <f>VLOOKUP(A342,'Remote work mental helath'!$A$2:$T$1001,18,)</f>
        <v>None</v>
      </c>
      <c r="G342">
        <f>VLOOKUP(A342,'Remote work mental helath'!$A$2:$T$1001,15,FALSE)</f>
        <v>2</v>
      </c>
      <c r="H342" t="str">
        <f>VLOOKUP(A342,'Remote work mental helath'!$A$2:$T$1001,14,)</f>
        <v>No Change</v>
      </c>
      <c r="I342" t="str">
        <f>VLOOKUP(A342,'Remote work mental helath'!$A$2:$T$1001,16,)</f>
        <v>Unsatisfied</v>
      </c>
      <c r="J342" t="str">
        <f>VLOOKUP(A342,'Remote work mental helath'!$A$2:$T$1001,13,)</f>
        <v>Yes</v>
      </c>
      <c r="K342">
        <f>VLOOKUP(A342,'Remote work mental helath'!$A$2:$T$1001,17,FALSE)</f>
        <v>2</v>
      </c>
    </row>
    <row r="343" spans="1:11" x14ac:dyDescent="0.3">
      <c r="A343" t="s">
        <v>392</v>
      </c>
      <c r="B343" t="str">
        <f>VLOOKUP(A343,'Remote work mental helath'!$A$2:$T$1001,12,)</f>
        <v>Burnout</v>
      </c>
      <c r="C343" t="str">
        <f>VLOOKUP(A343,'Remote work mental helath'!$A$2:$T$1001,11,)</f>
        <v>Low</v>
      </c>
      <c r="D343">
        <f>VLOOKUP('Mental Helath'!A343,'Remote work mental helath'!$A$2:$T$1001,10,)</f>
        <v>2</v>
      </c>
      <c r="E343" t="str">
        <f>VLOOKUP(A343,'Remote work mental helath'!A343:T1342,19,FALSE)</f>
        <v>Good</v>
      </c>
      <c r="F343" t="str">
        <f>VLOOKUP(A343,'Remote work mental helath'!$A$2:$T$1001,18,)</f>
        <v>None</v>
      </c>
      <c r="G343">
        <f>VLOOKUP(A343,'Remote work mental helath'!$A$2:$T$1001,15,FALSE)</f>
        <v>5</v>
      </c>
      <c r="H343" t="str">
        <f>VLOOKUP(A343,'Remote work mental helath'!$A$2:$T$1001,14,)</f>
        <v>Decrease</v>
      </c>
      <c r="I343" t="str">
        <f>VLOOKUP(A343,'Remote work mental helath'!$A$2:$T$1001,16,)</f>
        <v>Satisfied</v>
      </c>
      <c r="J343" t="str">
        <f>VLOOKUP(A343,'Remote work mental helath'!$A$2:$T$1001,13,)</f>
        <v>Yes</v>
      </c>
      <c r="K343">
        <f>VLOOKUP(A343,'Remote work mental helath'!$A$2:$T$1001,17,FALSE)</f>
        <v>4</v>
      </c>
    </row>
    <row r="344" spans="1:11" x14ac:dyDescent="0.3">
      <c r="A344" t="s">
        <v>393</v>
      </c>
      <c r="B344" t="str">
        <f>VLOOKUP(A344,'Remote work mental helath'!$A$2:$T$1001,12,)</f>
        <v>Depression</v>
      </c>
      <c r="C344" t="str">
        <f>VLOOKUP(A344,'Remote work mental helath'!$A$2:$T$1001,11,)</f>
        <v>Medium</v>
      </c>
      <c r="D344">
        <f>VLOOKUP('Mental Helath'!A344,'Remote work mental helath'!$A$2:$T$1001,10,)</f>
        <v>5</v>
      </c>
      <c r="E344" t="str">
        <f>VLOOKUP(A344,'Remote work mental helath'!A344:T1343,19,FALSE)</f>
        <v>Poor</v>
      </c>
      <c r="F344" t="str">
        <f>VLOOKUP(A344,'Remote work mental helath'!$A$2:$T$1001,18,)</f>
        <v>None</v>
      </c>
      <c r="G344">
        <f>VLOOKUP(A344,'Remote work mental helath'!$A$2:$T$1001,15,FALSE)</f>
        <v>1</v>
      </c>
      <c r="H344" t="str">
        <f>VLOOKUP(A344,'Remote work mental helath'!$A$2:$T$1001,14,)</f>
        <v>Increase</v>
      </c>
      <c r="I344" t="str">
        <f>VLOOKUP(A344,'Remote work mental helath'!$A$2:$T$1001,16,)</f>
        <v>Unsatisfied</v>
      </c>
      <c r="J344" t="str">
        <f>VLOOKUP(A344,'Remote work mental helath'!$A$2:$T$1001,13,)</f>
        <v>Yes</v>
      </c>
      <c r="K344">
        <f>VLOOKUP(A344,'Remote work mental helath'!$A$2:$T$1001,17,FALSE)</f>
        <v>3</v>
      </c>
    </row>
    <row r="345" spans="1:11" x14ac:dyDescent="0.3">
      <c r="A345" t="s">
        <v>394</v>
      </c>
      <c r="B345" t="str">
        <f>VLOOKUP(A345,'Remote work mental helath'!$A$2:$T$1001,12,)</f>
        <v>Burnout</v>
      </c>
      <c r="C345" t="str">
        <f>VLOOKUP(A345,'Remote work mental helath'!$A$2:$T$1001,11,)</f>
        <v>High</v>
      </c>
      <c r="D345">
        <f>VLOOKUP('Mental Helath'!A345,'Remote work mental helath'!$A$2:$T$1001,10,)</f>
        <v>3</v>
      </c>
      <c r="E345" t="str">
        <f>VLOOKUP(A345,'Remote work mental helath'!A345:T1344,19,FALSE)</f>
        <v>Average</v>
      </c>
      <c r="F345" t="str">
        <f>VLOOKUP(A345,'Remote work mental helath'!$A$2:$T$1001,18,)</f>
        <v>None</v>
      </c>
      <c r="G345">
        <f>VLOOKUP(A345,'Remote work mental helath'!$A$2:$T$1001,15,FALSE)</f>
        <v>4</v>
      </c>
      <c r="H345" t="str">
        <f>VLOOKUP(A345,'Remote work mental helath'!$A$2:$T$1001,14,)</f>
        <v>No Change</v>
      </c>
      <c r="I345" t="str">
        <f>VLOOKUP(A345,'Remote work mental helath'!$A$2:$T$1001,16,)</f>
        <v>Satisfied</v>
      </c>
      <c r="J345" t="str">
        <f>VLOOKUP(A345,'Remote work mental helath'!$A$2:$T$1001,13,)</f>
        <v>Yes</v>
      </c>
      <c r="K345">
        <f>VLOOKUP(A345,'Remote work mental helath'!$A$2:$T$1001,17,FALSE)</f>
        <v>5</v>
      </c>
    </row>
    <row r="346" spans="1:11" x14ac:dyDescent="0.3">
      <c r="A346" t="s">
        <v>395</v>
      </c>
      <c r="B346" t="str">
        <f>VLOOKUP(A346,'Remote work mental helath'!$A$2:$T$1001,12,)</f>
        <v>Burnout</v>
      </c>
      <c r="C346" t="str">
        <f>VLOOKUP(A346,'Remote work mental helath'!$A$2:$T$1001,11,)</f>
        <v>Low</v>
      </c>
      <c r="D346">
        <f>VLOOKUP('Mental Helath'!A346,'Remote work mental helath'!$A$2:$T$1001,10,)</f>
        <v>2</v>
      </c>
      <c r="E346" t="str">
        <f>VLOOKUP(A346,'Remote work mental helath'!A346:T1345,19,FALSE)</f>
        <v>Poor</v>
      </c>
      <c r="F346" t="str">
        <f>VLOOKUP(A346,'Remote work mental helath'!$A$2:$T$1001,18,)</f>
        <v>Daily</v>
      </c>
      <c r="G346">
        <f>VLOOKUP(A346,'Remote work mental helath'!$A$2:$T$1001,15,FALSE)</f>
        <v>2</v>
      </c>
      <c r="H346" t="str">
        <f>VLOOKUP(A346,'Remote work mental helath'!$A$2:$T$1001,14,)</f>
        <v>Decrease</v>
      </c>
      <c r="I346" t="str">
        <f>VLOOKUP(A346,'Remote work mental helath'!$A$2:$T$1001,16,)</f>
        <v>Satisfied</v>
      </c>
      <c r="J346" t="str">
        <f>VLOOKUP(A346,'Remote work mental helath'!$A$2:$T$1001,13,)</f>
        <v>No</v>
      </c>
      <c r="K346">
        <f>VLOOKUP(A346,'Remote work mental helath'!$A$2:$T$1001,17,FALSE)</f>
        <v>4</v>
      </c>
    </row>
    <row r="347" spans="1:11" x14ac:dyDescent="0.3">
      <c r="A347" t="s">
        <v>396</v>
      </c>
      <c r="B347" t="str">
        <f>VLOOKUP(A347,'Remote work mental helath'!$A$2:$T$1001,12,)</f>
        <v>Depression</v>
      </c>
      <c r="C347" t="str">
        <f>VLOOKUP(A347,'Remote work mental helath'!$A$2:$T$1001,11,)</f>
        <v>High</v>
      </c>
      <c r="D347">
        <f>VLOOKUP('Mental Helath'!A347,'Remote work mental helath'!$A$2:$T$1001,10,)</f>
        <v>4</v>
      </c>
      <c r="E347" t="str">
        <f>VLOOKUP(A347,'Remote work mental helath'!A347:T1346,19,FALSE)</f>
        <v>Good</v>
      </c>
      <c r="F347" t="str">
        <f>VLOOKUP(A347,'Remote work mental helath'!$A$2:$T$1001,18,)</f>
        <v>None</v>
      </c>
      <c r="G347">
        <f>VLOOKUP(A347,'Remote work mental helath'!$A$2:$T$1001,15,FALSE)</f>
        <v>3</v>
      </c>
      <c r="H347" t="str">
        <f>VLOOKUP(A347,'Remote work mental helath'!$A$2:$T$1001,14,)</f>
        <v>Decrease</v>
      </c>
      <c r="I347" t="str">
        <f>VLOOKUP(A347,'Remote work mental helath'!$A$2:$T$1001,16,)</f>
        <v>Unsatisfied</v>
      </c>
      <c r="J347" t="str">
        <f>VLOOKUP(A347,'Remote work mental helath'!$A$2:$T$1001,13,)</f>
        <v>No</v>
      </c>
      <c r="K347">
        <f>VLOOKUP(A347,'Remote work mental helath'!$A$2:$T$1001,17,FALSE)</f>
        <v>5</v>
      </c>
    </row>
    <row r="348" spans="1:11" x14ac:dyDescent="0.3">
      <c r="A348" t="s">
        <v>397</v>
      </c>
      <c r="B348" t="str">
        <f>VLOOKUP(A348,'Remote work mental helath'!$A$2:$T$1001,12,)</f>
        <v>None</v>
      </c>
      <c r="C348" t="str">
        <f>VLOOKUP(A348,'Remote work mental helath'!$A$2:$T$1001,11,)</f>
        <v>Medium</v>
      </c>
      <c r="D348">
        <f>VLOOKUP('Mental Helath'!A348,'Remote work mental helath'!$A$2:$T$1001,10,)</f>
        <v>1</v>
      </c>
      <c r="E348" t="str">
        <f>VLOOKUP(A348,'Remote work mental helath'!A348:T1347,19,FALSE)</f>
        <v>Average</v>
      </c>
      <c r="F348" t="str">
        <f>VLOOKUP(A348,'Remote work mental helath'!$A$2:$T$1001,18,)</f>
        <v>Daily</v>
      </c>
      <c r="G348">
        <f>VLOOKUP(A348,'Remote work mental helath'!$A$2:$T$1001,15,FALSE)</f>
        <v>1</v>
      </c>
      <c r="H348" t="str">
        <f>VLOOKUP(A348,'Remote work mental helath'!$A$2:$T$1001,14,)</f>
        <v>No Change</v>
      </c>
      <c r="I348" t="str">
        <f>VLOOKUP(A348,'Remote work mental helath'!$A$2:$T$1001,16,)</f>
        <v>Unsatisfied</v>
      </c>
      <c r="J348" t="str">
        <f>VLOOKUP(A348,'Remote work mental helath'!$A$2:$T$1001,13,)</f>
        <v>Yes</v>
      </c>
      <c r="K348">
        <f>VLOOKUP(A348,'Remote work mental helath'!$A$2:$T$1001,17,FALSE)</f>
        <v>3</v>
      </c>
    </row>
    <row r="349" spans="1:11" x14ac:dyDescent="0.3">
      <c r="A349" t="s">
        <v>398</v>
      </c>
      <c r="B349" t="str">
        <f>VLOOKUP(A349,'Remote work mental helath'!$A$2:$T$1001,12,)</f>
        <v>Burnout</v>
      </c>
      <c r="C349" t="str">
        <f>VLOOKUP(A349,'Remote work mental helath'!$A$2:$T$1001,11,)</f>
        <v>High</v>
      </c>
      <c r="D349">
        <f>VLOOKUP('Mental Helath'!A349,'Remote work mental helath'!$A$2:$T$1001,10,)</f>
        <v>4</v>
      </c>
      <c r="E349" t="str">
        <f>VLOOKUP(A349,'Remote work mental helath'!A349:T1348,19,FALSE)</f>
        <v>Average</v>
      </c>
      <c r="F349" t="str">
        <f>VLOOKUP(A349,'Remote work mental helath'!$A$2:$T$1001,18,)</f>
        <v>Weekly</v>
      </c>
      <c r="G349">
        <f>VLOOKUP(A349,'Remote work mental helath'!$A$2:$T$1001,15,FALSE)</f>
        <v>3</v>
      </c>
      <c r="H349" t="str">
        <f>VLOOKUP(A349,'Remote work mental helath'!$A$2:$T$1001,14,)</f>
        <v>No Change</v>
      </c>
      <c r="I349" t="str">
        <f>VLOOKUP(A349,'Remote work mental helath'!$A$2:$T$1001,16,)</f>
        <v>Unsatisfied</v>
      </c>
      <c r="J349" t="str">
        <f>VLOOKUP(A349,'Remote work mental helath'!$A$2:$T$1001,13,)</f>
        <v>Yes</v>
      </c>
      <c r="K349">
        <f>VLOOKUP(A349,'Remote work mental helath'!$A$2:$T$1001,17,FALSE)</f>
        <v>3</v>
      </c>
    </row>
    <row r="350" spans="1:11" x14ac:dyDescent="0.3">
      <c r="A350" t="s">
        <v>399</v>
      </c>
      <c r="B350" t="str">
        <f>VLOOKUP(A350,'Remote work mental helath'!$A$2:$T$1001,12,)</f>
        <v>None</v>
      </c>
      <c r="C350" t="str">
        <f>VLOOKUP(A350,'Remote work mental helath'!$A$2:$T$1001,11,)</f>
        <v>Low</v>
      </c>
      <c r="D350">
        <f>VLOOKUP('Mental Helath'!A350,'Remote work mental helath'!$A$2:$T$1001,10,)</f>
        <v>3</v>
      </c>
      <c r="E350" t="str">
        <f>VLOOKUP(A350,'Remote work mental helath'!A350:T1349,19,FALSE)</f>
        <v>Good</v>
      </c>
      <c r="F350" t="str">
        <f>VLOOKUP(A350,'Remote work mental helath'!$A$2:$T$1001,18,)</f>
        <v>Weekly</v>
      </c>
      <c r="G350">
        <f>VLOOKUP(A350,'Remote work mental helath'!$A$2:$T$1001,15,FALSE)</f>
        <v>2</v>
      </c>
      <c r="H350" t="str">
        <f>VLOOKUP(A350,'Remote work mental helath'!$A$2:$T$1001,14,)</f>
        <v>Decrease</v>
      </c>
      <c r="I350" t="str">
        <f>VLOOKUP(A350,'Remote work mental helath'!$A$2:$T$1001,16,)</f>
        <v>Neutral</v>
      </c>
      <c r="J350" t="str">
        <f>VLOOKUP(A350,'Remote work mental helath'!$A$2:$T$1001,13,)</f>
        <v>Yes</v>
      </c>
      <c r="K350">
        <f>VLOOKUP(A350,'Remote work mental helath'!$A$2:$T$1001,17,FALSE)</f>
        <v>5</v>
      </c>
    </row>
    <row r="351" spans="1:11" x14ac:dyDescent="0.3">
      <c r="A351" t="s">
        <v>400</v>
      </c>
      <c r="B351" t="str">
        <f>VLOOKUP(A351,'Remote work mental helath'!$A$2:$T$1001,12,)</f>
        <v>None</v>
      </c>
      <c r="C351" t="str">
        <f>VLOOKUP(A351,'Remote work mental helath'!$A$2:$T$1001,11,)</f>
        <v>Medium</v>
      </c>
      <c r="D351">
        <f>VLOOKUP('Mental Helath'!A351,'Remote work mental helath'!$A$2:$T$1001,10,)</f>
        <v>1</v>
      </c>
      <c r="E351" t="str">
        <f>VLOOKUP(A351,'Remote work mental helath'!A351:T1350,19,FALSE)</f>
        <v>Good</v>
      </c>
      <c r="F351" t="str">
        <f>VLOOKUP(A351,'Remote work mental helath'!$A$2:$T$1001,18,)</f>
        <v>Weekly</v>
      </c>
      <c r="G351">
        <f>VLOOKUP(A351,'Remote work mental helath'!$A$2:$T$1001,15,FALSE)</f>
        <v>4</v>
      </c>
      <c r="H351" t="str">
        <f>VLOOKUP(A351,'Remote work mental helath'!$A$2:$T$1001,14,)</f>
        <v>Decrease</v>
      </c>
      <c r="I351" t="str">
        <f>VLOOKUP(A351,'Remote work mental helath'!$A$2:$T$1001,16,)</f>
        <v>Unsatisfied</v>
      </c>
      <c r="J351" t="str">
        <f>VLOOKUP(A351,'Remote work mental helath'!$A$2:$T$1001,13,)</f>
        <v>Yes</v>
      </c>
      <c r="K351">
        <f>VLOOKUP(A351,'Remote work mental helath'!$A$2:$T$1001,17,FALSE)</f>
        <v>4</v>
      </c>
    </row>
    <row r="352" spans="1:11" x14ac:dyDescent="0.3">
      <c r="A352" t="s">
        <v>401</v>
      </c>
      <c r="B352" t="str">
        <f>VLOOKUP(A352,'Remote work mental helath'!$A$2:$T$1001,12,)</f>
        <v>Burnout</v>
      </c>
      <c r="C352" t="str">
        <f>VLOOKUP(A352,'Remote work mental helath'!$A$2:$T$1001,11,)</f>
        <v>High</v>
      </c>
      <c r="D352">
        <f>VLOOKUP('Mental Helath'!A352,'Remote work mental helath'!$A$2:$T$1001,10,)</f>
        <v>1</v>
      </c>
      <c r="E352" t="str">
        <f>VLOOKUP(A352,'Remote work mental helath'!A352:T1351,19,FALSE)</f>
        <v>Average</v>
      </c>
      <c r="F352" t="str">
        <f>VLOOKUP(A352,'Remote work mental helath'!$A$2:$T$1001,18,)</f>
        <v>Weekly</v>
      </c>
      <c r="G352">
        <f>VLOOKUP(A352,'Remote work mental helath'!$A$2:$T$1001,15,FALSE)</f>
        <v>3</v>
      </c>
      <c r="H352" t="str">
        <f>VLOOKUP(A352,'Remote work mental helath'!$A$2:$T$1001,14,)</f>
        <v>Decrease</v>
      </c>
      <c r="I352" t="str">
        <f>VLOOKUP(A352,'Remote work mental helath'!$A$2:$T$1001,16,)</f>
        <v>Unsatisfied</v>
      </c>
      <c r="J352" t="str">
        <f>VLOOKUP(A352,'Remote work mental helath'!$A$2:$T$1001,13,)</f>
        <v>Yes</v>
      </c>
      <c r="K352">
        <f>VLOOKUP(A352,'Remote work mental helath'!$A$2:$T$1001,17,FALSE)</f>
        <v>2</v>
      </c>
    </row>
    <row r="353" spans="1:11" x14ac:dyDescent="0.3">
      <c r="A353" t="s">
        <v>402</v>
      </c>
      <c r="B353" t="str">
        <f>VLOOKUP(A353,'Remote work mental helath'!$A$2:$T$1001,12,)</f>
        <v>Anxiety</v>
      </c>
      <c r="C353" t="str">
        <f>VLOOKUP(A353,'Remote work mental helath'!$A$2:$T$1001,11,)</f>
        <v>Medium</v>
      </c>
      <c r="D353">
        <f>VLOOKUP('Mental Helath'!A353,'Remote work mental helath'!$A$2:$T$1001,10,)</f>
        <v>3</v>
      </c>
      <c r="E353" t="str">
        <f>VLOOKUP(A353,'Remote work mental helath'!A353:T1352,19,FALSE)</f>
        <v>Average</v>
      </c>
      <c r="F353" t="str">
        <f>VLOOKUP(A353,'Remote work mental helath'!$A$2:$T$1001,18,)</f>
        <v>None</v>
      </c>
      <c r="G353">
        <f>VLOOKUP(A353,'Remote work mental helath'!$A$2:$T$1001,15,FALSE)</f>
        <v>2</v>
      </c>
      <c r="H353" t="str">
        <f>VLOOKUP(A353,'Remote work mental helath'!$A$2:$T$1001,14,)</f>
        <v>Increase</v>
      </c>
      <c r="I353" t="str">
        <f>VLOOKUP(A353,'Remote work mental helath'!$A$2:$T$1001,16,)</f>
        <v>Neutral</v>
      </c>
      <c r="J353" t="str">
        <f>VLOOKUP(A353,'Remote work mental helath'!$A$2:$T$1001,13,)</f>
        <v>No</v>
      </c>
      <c r="K353">
        <f>VLOOKUP(A353,'Remote work mental helath'!$A$2:$T$1001,17,FALSE)</f>
        <v>3</v>
      </c>
    </row>
    <row r="354" spans="1:11" x14ac:dyDescent="0.3">
      <c r="A354" t="s">
        <v>403</v>
      </c>
      <c r="B354" t="str">
        <f>VLOOKUP(A354,'Remote work mental helath'!$A$2:$T$1001,12,)</f>
        <v>Depression</v>
      </c>
      <c r="C354" t="str">
        <f>VLOOKUP(A354,'Remote work mental helath'!$A$2:$T$1001,11,)</f>
        <v>Low</v>
      </c>
      <c r="D354">
        <f>VLOOKUP('Mental Helath'!A354,'Remote work mental helath'!$A$2:$T$1001,10,)</f>
        <v>1</v>
      </c>
      <c r="E354" t="str">
        <f>VLOOKUP(A354,'Remote work mental helath'!A354:T1353,19,FALSE)</f>
        <v>Good</v>
      </c>
      <c r="F354" t="str">
        <f>VLOOKUP(A354,'Remote work mental helath'!$A$2:$T$1001,18,)</f>
        <v>None</v>
      </c>
      <c r="G354">
        <f>VLOOKUP(A354,'Remote work mental helath'!$A$2:$T$1001,15,FALSE)</f>
        <v>2</v>
      </c>
      <c r="H354" t="str">
        <f>VLOOKUP(A354,'Remote work mental helath'!$A$2:$T$1001,14,)</f>
        <v>Decrease</v>
      </c>
      <c r="I354" t="str">
        <f>VLOOKUP(A354,'Remote work mental helath'!$A$2:$T$1001,16,)</f>
        <v>Satisfied</v>
      </c>
      <c r="J354" t="str">
        <f>VLOOKUP(A354,'Remote work mental helath'!$A$2:$T$1001,13,)</f>
        <v>No</v>
      </c>
      <c r="K354">
        <f>VLOOKUP(A354,'Remote work mental helath'!$A$2:$T$1001,17,FALSE)</f>
        <v>2</v>
      </c>
    </row>
    <row r="355" spans="1:11" x14ac:dyDescent="0.3">
      <c r="A355" t="s">
        <v>404</v>
      </c>
      <c r="B355" t="str">
        <f>VLOOKUP(A355,'Remote work mental helath'!$A$2:$T$1001,12,)</f>
        <v>Depression</v>
      </c>
      <c r="C355" t="str">
        <f>VLOOKUP(A355,'Remote work mental helath'!$A$2:$T$1001,11,)</f>
        <v>Medium</v>
      </c>
      <c r="D355">
        <f>VLOOKUP('Mental Helath'!A355,'Remote work mental helath'!$A$2:$T$1001,10,)</f>
        <v>2</v>
      </c>
      <c r="E355" t="str">
        <f>VLOOKUP(A355,'Remote work mental helath'!A355:T1354,19,FALSE)</f>
        <v>Average</v>
      </c>
      <c r="F355" t="str">
        <f>VLOOKUP(A355,'Remote work mental helath'!$A$2:$T$1001,18,)</f>
        <v>Weekly</v>
      </c>
      <c r="G355">
        <f>VLOOKUP(A355,'Remote work mental helath'!$A$2:$T$1001,15,FALSE)</f>
        <v>5</v>
      </c>
      <c r="H355" t="str">
        <f>VLOOKUP(A355,'Remote work mental helath'!$A$2:$T$1001,14,)</f>
        <v>Decrease</v>
      </c>
      <c r="I355" t="str">
        <f>VLOOKUP(A355,'Remote work mental helath'!$A$2:$T$1001,16,)</f>
        <v>Unsatisfied</v>
      </c>
      <c r="J355" t="str">
        <f>VLOOKUP(A355,'Remote work mental helath'!$A$2:$T$1001,13,)</f>
        <v>Yes</v>
      </c>
      <c r="K355">
        <f>VLOOKUP(A355,'Remote work mental helath'!$A$2:$T$1001,17,FALSE)</f>
        <v>5</v>
      </c>
    </row>
    <row r="356" spans="1:11" x14ac:dyDescent="0.3">
      <c r="A356" t="s">
        <v>405</v>
      </c>
      <c r="B356" t="str">
        <f>VLOOKUP(A356,'Remote work mental helath'!$A$2:$T$1001,12,)</f>
        <v>Anxiety</v>
      </c>
      <c r="C356" t="str">
        <f>VLOOKUP(A356,'Remote work mental helath'!$A$2:$T$1001,11,)</f>
        <v>Medium</v>
      </c>
      <c r="D356">
        <f>VLOOKUP('Mental Helath'!A356,'Remote work mental helath'!$A$2:$T$1001,10,)</f>
        <v>5</v>
      </c>
      <c r="E356" t="str">
        <f>VLOOKUP(A356,'Remote work mental helath'!A356:T1355,19,FALSE)</f>
        <v>Average</v>
      </c>
      <c r="F356" t="str">
        <f>VLOOKUP(A356,'Remote work mental helath'!$A$2:$T$1001,18,)</f>
        <v>Daily</v>
      </c>
      <c r="G356">
        <f>VLOOKUP(A356,'Remote work mental helath'!$A$2:$T$1001,15,FALSE)</f>
        <v>4</v>
      </c>
      <c r="H356" t="str">
        <f>VLOOKUP(A356,'Remote work mental helath'!$A$2:$T$1001,14,)</f>
        <v>Increase</v>
      </c>
      <c r="I356" t="str">
        <f>VLOOKUP(A356,'Remote work mental helath'!$A$2:$T$1001,16,)</f>
        <v>Satisfied</v>
      </c>
      <c r="J356" t="str">
        <f>VLOOKUP(A356,'Remote work mental helath'!$A$2:$T$1001,13,)</f>
        <v>Yes</v>
      </c>
      <c r="K356">
        <f>VLOOKUP(A356,'Remote work mental helath'!$A$2:$T$1001,17,FALSE)</f>
        <v>3</v>
      </c>
    </row>
    <row r="357" spans="1:11" x14ac:dyDescent="0.3">
      <c r="A357" t="s">
        <v>406</v>
      </c>
      <c r="B357" t="str">
        <f>VLOOKUP(A357,'Remote work mental helath'!$A$2:$T$1001,12,)</f>
        <v>Depression</v>
      </c>
      <c r="C357" t="str">
        <f>VLOOKUP(A357,'Remote work mental helath'!$A$2:$T$1001,11,)</f>
        <v>Low</v>
      </c>
      <c r="D357">
        <f>VLOOKUP('Mental Helath'!A357,'Remote work mental helath'!$A$2:$T$1001,10,)</f>
        <v>1</v>
      </c>
      <c r="E357" t="str">
        <f>VLOOKUP(A357,'Remote work mental helath'!A357:T1356,19,FALSE)</f>
        <v>Good</v>
      </c>
      <c r="F357" t="str">
        <f>VLOOKUP(A357,'Remote work mental helath'!$A$2:$T$1001,18,)</f>
        <v>None</v>
      </c>
      <c r="G357">
        <f>VLOOKUP(A357,'Remote work mental helath'!$A$2:$T$1001,15,FALSE)</f>
        <v>2</v>
      </c>
      <c r="H357" t="str">
        <f>VLOOKUP(A357,'Remote work mental helath'!$A$2:$T$1001,14,)</f>
        <v>Increase</v>
      </c>
      <c r="I357" t="str">
        <f>VLOOKUP(A357,'Remote work mental helath'!$A$2:$T$1001,16,)</f>
        <v>Satisfied</v>
      </c>
      <c r="J357" t="str">
        <f>VLOOKUP(A357,'Remote work mental helath'!$A$2:$T$1001,13,)</f>
        <v>Yes</v>
      </c>
      <c r="K357">
        <f>VLOOKUP(A357,'Remote work mental helath'!$A$2:$T$1001,17,FALSE)</f>
        <v>2</v>
      </c>
    </row>
    <row r="358" spans="1:11" x14ac:dyDescent="0.3">
      <c r="A358" t="s">
        <v>407</v>
      </c>
      <c r="B358" t="str">
        <f>VLOOKUP(A358,'Remote work mental helath'!$A$2:$T$1001,12,)</f>
        <v>None</v>
      </c>
      <c r="C358" t="str">
        <f>VLOOKUP(A358,'Remote work mental helath'!$A$2:$T$1001,11,)</f>
        <v>Low</v>
      </c>
      <c r="D358">
        <f>VLOOKUP('Mental Helath'!A358,'Remote work mental helath'!$A$2:$T$1001,10,)</f>
        <v>1</v>
      </c>
      <c r="E358" t="str">
        <f>VLOOKUP(A358,'Remote work mental helath'!A358:T1357,19,FALSE)</f>
        <v>Good</v>
      </c>
      <c r="F358" t="str">
        <f>VLOOKUP(A358,'Remote work mental helath'!$A$2:$T$1001,18,)</f>
        <v>Daily</v>
      </c>
      <c r="G358">
        <f>VLOOKUP(A358,'Remote work mental helath'!$A$2:$T$1001,15,FALSE)</f>
        <v>2</v>
      </c>
      <c r="H358" t="str">
        <f>VLOOKUP(A358,'Remote work mental helath'!$A$2:$T$1001,14,)</f>
        <v>Increase</v>
      </c>
      <c r="I358" t="str">
        <f>VLOOKUP(A358,'Remote work mental helath'!$A$2:$T$1001,16,)</f>
        <v>Neutral</v>
      </c>
      <c r="J358" t="str">
        <f>VLOOKUP(A358,'Remote work mental helath'!$A$2:$T$1001,13,)</f>
        <v>No</v>
      </c>
      <c r="K358">
        <f>VLOOKUP(A358,'Remote work mental helath'!$A$2:$T$1001,17,FALSE)</f>
        <v>2</v>
      </c>
    </row>
    <row r="359" spans="1:11" x14ac:dyDescent="0.3">
      <c r="A359" t="s">
        <v>408</v>
      </c>
      <c r="B359" t="str">
        <f>VLOOKUP(A359,'Remote work mental helath'!$A$2:$T$1001,12,)</f>
        <v>None</v>
      </c>
      <c r="C359" t="str">
        <f>VLOOKUP(A359,'Remote work mental helath'!$A$2:$T$1001,11,)</f>
        <v>Medium</v>
      </c>
      <c r="D359">
        <f>VLOOKUP('Mental Helath'!A359,'Remote work mental helath'!$A$2:$T$1001,10,)</f>
        <v>3</v>
      </c>
      <c r="E359" t="str">
        <f>VLOOKUP(A359,'Remote work mental helath'!A359:T1358,19,FALSE)</f>
        <v>Poor</v>
      </c>
      <c r="F359" t="str">
        <f>VLOOKUP(A359,'Remote work mental helath'!$A$2:$T$1001,18,)</f>
        <v>Daily</v>
      </c>
      <c r="G359">
        <f>VLOOKUP(A359,'Remote work mental helath'!$A$2:$T$1001,15,FALSE)</f>
        <v>4</v>
      </c>
      <c r="H359" t="str">
        <f>VLOOKUP(A359,'Remote work mental helath'!$A$2:$T$1001,14,)</f>
        <v>Decrease</v>
      </c>
      <c r="I359" t="str">
        <f>VLOOKUP(A359,'Remote work mental helath'!$A$2:$T$1001,16,)</f>
        <v>Unsatisfied</v>
      </c>
      <c r="J359" t="str">
        <f>VLOOKUP(A359,'Remote work mental helath'!$A$2:$T$1001,13,)</f>
        <v>Yes</v>
      </c>
      <c r="K359">
        <f>VLOOKUP(A359,'Remote work mental helath'!$A$2:$T$1001,17,FALSE)</f>
        <v>3</v>
      </c>
    </row>
    <row r="360" spans="1:11" x14ac:dyDescent="0.3">
      <c r="A360" t="s">
        <v>409</v>
      </c>
      <c r="B360" t="str">
        <f>VLOOKUP(A360,'Remote work mental helath'!$A$2:$T$1001,12,)</f>
        <v>Anxiety</v>
      </c>
      <c r="C360" t="str">
        <f>VLOOKUP(A360,'Remote work mental helath'!$A$2:$T$1001,11,)</f>
        <v>Medium</v>
      </c>
      <c r="D360">
        <f>VLOOKUP('Mental Helath'!A360,'Remote work mental helath'!$A$2:$T$1001,10,)</f>
        <v>3</v>
      </c>
      <c r="E360" t="str">
        <f>VLOOKUP(A360,'Remote work mental helath'!A360:T1359,19,FALSE)</f>
        <v>Average</v>
      </c>
      <c r="F360" t="str">
        <f>VLOOKUP(A360,'Remote work mental helath'!$A$2:$T$1001,18,)</f>
        <v>Weekly</v>
      </c>
      <c r="G360">
        <f>VLOOKUP(A360,'Remote work mental helath'!$A$2:$T$1001,15,FALSE)</f>
        <v>4</v>
      </c>
      <c r="H360" t="str">
        <f>VLOOKUP(A360,'Remote work mental helath'!$A$2:$T$1001,14,)</f>
        <v>Increase</v>
      </c>
      <c r="I360" t="str">
        <f>VLOOKUP(A360,'Remote work mental helath'!$A$2:$T$1001,16,)</f>
        <v>Neutral</v>
      </c>
      <c r="J360" t="str">
        <f>VLOOKUP(A360,'Remote work mental helath'!$A$2:$T$1001,13,)</f>
        <v>No</v>
      </c>
      <c r="K360">
        <f>VLOOKUP(A360,'Remote work mental helath'!$A$2:$T$1001,17,FALSE)</f>
        <v>4</v>
      </c>
    </row>
    <row r="361" spans="1:11" x14ac:dyDescent="0.3">
      <c r="A361" t="s">
        <v>410</v>
      </c>
      <c r="B361" t="str">
        <f>VLOOKUP(A361,'Remote work mental helath'!$A$2:$T$1001,12,)</f>
        <v>Depression</v>
      </c>
      <c r="C361" t="str">
        <f>VLOOKUP(A361,'Remote work mental helath'!$A$2:$T$1001,11,)</f>
        <v>Medium</v>
      </c>
      <c r="D361">
        <f>VLOOKUP('Mental Helath'!A361,'Remote work mental helath'!$A$2:$T$1001,10,)</f>
        <v>2</v>
      </c>
      <c r="E361" t="str">
        <f>VLOOKUP(A361,'Remote work mental helath'!A361:T1360,19,FALSE)</f>
        <v>Good</v>
      </c>
      <c r="F361" t="str">
        <f>VLOOKUP(A361,'Remote work mental helath'!$A$2:$T$1001,18,)</f>
        <v>Daily</v>
      </c>
      <c r="G361">
        <f>VLOOKUP(A361,'Remote work mental helath'!$A$2:$T$1001,15,FALSE)</f>
        <v>4</v>
      </c>
      <c r="H361" t="str">
        <f>VLOOKUP(A361,'Remote work mental helath'!$A$2:$T$1001,14,)</f>
        <v>Decrease</v>
      </c>
      <c r="I361" t="str">
        <f>VLOOKUP(A361,'Remote work mental helath'!$A$2:$T$1001,16,)</f>
        <v>Satisfied</v>
      </c>
      <c r="J361" t="str">
        <f>VLOOKUP(A361,'Remote work mental helath'!$A$2:$T$1001,13,)</f>
        <v>Yes</v>
      </c>
      <c r="K361">
        <f>VLOOKUP(A361,'Remote work mental helath'!$A$2:$T$1001,17,FALSE)</f>
        <v>2</v>
      </c>
    </row>
    <row r="362" spans="1:11" x14ac:dyDescent="0.3">
      <c r="A362" t="s">
        <v>411</v>
      </c>
      <c r="B362" t="str">
        <f>VLOOKUP(A362,'Remote work mental helath'!$A$2:$T$1001,12,)</f>
        <v>Burnout</v>
      </c>
      <c r="C362" t="str">
        <f>VLOOKUP(A362,'Remote work mental helath'!$A$2:$T$1001,11,)</f>
        <v>Medium</v>
      </c>
      <c r="D362">
        <f>VLOOKUP('Mental Helath'!A362,'Remote work mental helath'!$A$2:$T$1001,10,)</f>
        <v>1</v>
      </c>
      <c r="E362" t="str">
        <f>VLOOKUP(A362,'Remote work mental helath'!A362:T1361,19,FALSE)</f>
        <v>Poor</v>
      </c>
      <c r="F362" t="str">
        <f>VLOOKUP(A362,'Remote work mental helath'!$A$2:$T$1001,18,)</f>
        <v>Daily</v>
      </c>
      <c r="G362">
        <f>VLOOKUP(A362,'Remote work mental helath'!$A$2:$T$1001,15,FALSE)</f>
        <v>1</v>
      </c>
      <c r="H362" t="str">
        <f>VLOOKUP(A362,'Remote work mental helath'!$A$2:$T$1001,14,)</f>
        <v>Increase</v>
      </c>
      <c r="I362" t="str">
        <f>VLOOKUP(A362,'Remote work mental helath'!$A$2:$T$1001,16,)</f>
        <v>Satisfied</v>
      </c>
      <c r="J362" t="str">
        <f>VLOOKUP(A362,'Remote work mental helath'!$A$2:$T$1001,13,)</f>
        <v>No</v>
      </c>
      <c r="K362">
        <f>VLOOKUP(A362,'Remote work mental helath'!$A$2:$T$1001,17,FALSE)</f>
        <v>5</v>
      </c>
    </row>
    <row r="363" spans="1:11" x14ac:dyDescent="0.3">
      <c r="A363" t="s">
        <v>412</v>
      </c>
      <c r="B363" t="str">
        <f>VLOOKUP(A363,'Remote work mental helath'!$A$2:$T$1001,12,)</f>
        <v>None</v>
      </c>
      <c r="C363" t="str">
        <f>VLOOKUP(A363,'Remote work mental helath'!$A$2:$T$1001,11,)</f>
        <v>Medium</v>
      </c>
      <c r="D363">
        <f>VLOOKUP('Mental Helath'!A363,'Remote work mental helath'!$A$2:$T$1001,10,)</f>
        <v>1</v>
      </c>
      <c r="E363" t="str">
        <f>VLOOKUP(A363,'Remote work mental helath'!A363:T1362,19,FALSE)</f>
        <v>Average</v>
      </c>
      <c r="F363" t="str">
        <f>VLOOKUP(A363,'Remote work mental helath'!$A$2:$T$1001,18,)</f>
        <v>None</v>
      </c>
      <c r="G363">
        <f>VLOOKUP(A363,'Remote work mental helath'!$A$2:$T$1001,15,FALSE)</f>
        <v>5</v>
      </c>
      <c r="H363" t="str">
        <f>VLOOKUP(A363,'Remote work mental helath'!$A$2:$T$1001,14,)</f>
        <v>Increase</v>
      </c>
      <c r="I363" t="str">
        <f>VLOOKUP(A363,'Remote work mental helath'!$A$2:$T$1001,16,)</f>
        <v>Satisfied</v>
      </c>
      <c r="J363" t="str">
        <f>VLOOKUP(A363,'Remote work mental helath'!$A$2:$T$1001,13,)</f>
        <v>Yes</v>
      </c>
      <c r="K363">
        <f>VLOOKUP(A363,'Remote work mental helath'!$A$2:$T$1001,17,FALSE)</f>
        <v>5</v>
      </c>
    </row>
    <row r="364" spans="1:11" x14ac:dyDescent="0.3">
      <c r="A364" t="s">
        <v>413</v>
      </c>
      <c r="B364" t="str">
        <f>VLOOKUP(A364,'Remote work mental helath'!$A$2:$T$1001,12,)</f>
        <v>None</v>
      </c>
      <c r="C364" t="str">
        <f>VLOOKUP(A364,'Remote work mental helath'!$A$2:$T$1001,11,)</f>
        <v>Medium</v>
      </c>
      <c r="D364">
        <f>VLOOKUP('Mental Helath'!A364,'Remote work mental helath'!$A$2:$T$1001,10,)</f>
        <v>4</v>
      </c>
      <c r="E364" t="str">
        <f>VLOOKUP(A364,'Remote work mental helath'!A364:T1363,19,FALSE)</f>
        <v>Average</v>
      </c>
      <c r="F364" t="str">
        <f>VLOOKUP(A364,'Remote work mental helath'!$A$2:$T$1001,18,)</f>
        <v>None</v>
      </c>
      <c r="G364">
        <f>VLOOKUP(A364,'Remote work mental helath'!$A$2:$T$1001,15,FALSE)</f>
        <v>1</v>
      </c>
      <c r="H364" t="str">
        <f>VLOOKUP(A364,'Remote work mental helath'!$A$2:$T$1001,14,)</f>
        <v>Increase</v>
      </c>
      <c r="I364" t="str">
        <f>VLOOKUP(A364,'Remote work mental helath'!$A$2:$T$1001,16,)</f>
        <v>Satisfied</v>
      </c>
      <c r="J364" t="str">
        <f>VLOOKUP(A364,'Remote work mental helath'!$A$2:$T$1001,13,)</f>
        <v>Yes</v>
      </c>
      <c r="K364">
        <f>VLOOKUP(A364,'Remote work mental helath'!$A$2:$T$1001,17,FALSE)</f>
        <v>4</v>
      </c>
    </row>
    <row r="365" spans="1:11" x14ac:dyDescent="0.3">
      <c r="A365" t="s">
        <v>414</v>
      </c>
      <c r="B365" t="str">
        <f>VLOOKUP(A365,'Remote work mental helath'!$A$2:$T$1001,12,)</f>
        <v>Anxiety</v>
      </c>
      <c r="C365" t="str">
        <f>VLOOKUP(A365,'Remote work mental helath'!$A$2:$T$1001,11,)</f>
        <v>High</v>
      </c>
      <c r="D365">
        <f>VLOOKUP('Mental Helath'!A365,'Remote work mental helath'!$A$2:$T$1001,10,)</f>
        <v>3</v>
      </c>
      <c r="E365" t="str">
        <f>VLOOKUP(A365,'Remote work mental helath'!A365:T1364,19,FALSE)</f>
        <v>Good</v>
      </c>
      <c r="F365" t="str">
        <f>VLOOKUP(A365,'Remote work mental helath'!$A$2:$T$1001,18,)</f>
        <v>Weekly</v>
      </c>
      <c r="G365">
        <f>VLOOKUP(A365,'Remote work mental helath'!$A$2:$T$1001,15,FALSE)</f>
        <v>2</v>
      </c>
      <c r="H365" t="str">
        <f>VLOOKUP(A365,'Remote work mental helath'!$A$2:$T$1001,14,)</f>
        <v>No Change</v>
      </c>
      <c r="I365" t="str">
        <f>VLOOKUP(A365,'Remote work mental helath'!$A$2:$T$1001,16,)</f>
        <v>Unsatisfied</v>
      </c>
      <c r="J365" t="str">
        <f>VLOOKUP(A365,'Remote work mental helath'!$A$2:$T$1001,13,)</f>
        <v>Yes</v>
      </c>
      <c r="K365">
        <f>VLOOKUP(A365,'Remote work mental helath'!$A$2:$T$1001,17,FALSE)</f>
        <v>2</v>
      </c>
    </row>
    <row r="366" spans="1:11" x14ac:dyDescent="0.3">
      <c r="A366" t="s">
        <v>415</v>
      </c>
      <c r="B366" t="str">
        <f>VLOOKUP(A366,'Remote work mental helath'!$A$2:$T$1001,12,)</f>
        <v>None</v>
      </c>
      <c r="C366" t="str">
        <f>VLOOKUP(A366,'Remote work mental helath'!$A$2:$T$1001,11,)</f>
        <v>Low</v>
      </c>
      <c r="D366">
        <f>VLOOKUP('Mental Helath'!A366,'Remote work mental helath'!$A$2:$T$1001,10,)</f>
        <v>1</v>
      </c>
      <c r="E366" t="str">
        <f>VLOOKUP(A366,'Remote work mental helath'!A366:T1365,19,FALSE)</f>
        <v>Poor</v>
      </c>
      <c r="F366" t="str">
        <f>VLOOKUP(A366,'Remote work mental helath'!$A$2:$T$1001,18,)</f>
        <v>Daily</v>
      </c>
      <c r="G366">
        <f>VLOOKUP(A366,'Remote work mental helath'!$A$2:$T$1001,15,FALSE)</f>
        <v>2</v>
      </c>
      <c r="H366" t="str">
        <f>VLOOKUP(A366,'Remote work mental helath'!$A$2:$T$1001,14,)</f>
        <v>No Change</v>
      </c>
      <c r="I366" t="str">
        <f>VLOOKUP(A366,'Remote work mental helath'!$A$2:$T$1001,16,)</f>
        <v>Neutral</v>
      </c>
      <c r="J366" t="str">
        <f>VLOOKUP(A366,'Remote work mental helath'!$A$2:$T$1001,13,)</f>
        <v>No</v>
      </c>
      <c r="K366">
        <f>VLOOKUP(A366,'Remote work mental helath'!$A$2:$T$1001,17,FALSE)</f>
        <v>2</v>
      </c>
    </row>
    <row r="367" spans="1:11" x14ac:dyDescent="0.3">
      <c r="A367" t="s">
        <v>416</v>
      </c>
      <c r="B367" t="str">
        <f>VLOOKUP(A367,'Remote work mental helath'!$A$2:$T$1001,12,)</f>
        <v>None</v>
      </c>
      <c r="C367" t="str">
        <f>VLOOKUP(A367,'Remote work mental helath'!$A$2:$T$1001,11,)</f>
        <v>Medium</v>
      </c>
      <c r="D367">
        <f>VLOOKUP('Mental Helath'!A367,'Remote work mental helath'!$A$2:$T$1001,10,)</f>
        <v>4</v>
      </c>
      <c r="E367" t="str">
        <f>VLOOKUP(A367,'Remote work mental helath'!A367:T1366,19,FALSE)</f>
        <v>Poor</v>
      </c>
      <c r="F367" t="str">
        <f>VLOOKUP(A367,'Remote work mental helath'!$A$2:$T$1001,18,)</f>
        <v>Weekly</v>
      </c>
      <c r="G367">
        <f>VLOOKUP(A367,'Remote work mental helath'!$A$2:$T$1001,15,FALSE)</f>
        <v>2</v>
      </c>
      <c r="H367" t="str">
        <f>VLOOKUP(A367,'Remote work mental helath'!$A$2:$T$1001,14,)</f>
        <v>Decrease</v>
      </c>
      <c r="I367" t="str">
        <f>VLOOKUP(A367,'Remote work mental helath'!$A$2:$T$1001,16,)</f>
        <v>Neutral</v>
      </c>
      <c r="J367" t="str">
        <f>VLOOKUP(A367,'Remote work mental helath'!$A$2:$T$1001,13,)</f>
        <v>No</v>
      </c>
      <c r="K367">
        <f>VLOOKUP(A367,'Remote work mental helath'!$A$2:$T$1001,17,FALSE)</f>
        <v>2</v>
      </c>
    </row>
    <row r="368" spans="1:11" x14ac:dyDescent="0.3">
      <c r="A368" t="s">
        <v>417</v>
      </c>
      <c r="B368" t="str">
        <f>VLOOKUP(A368,'Remote work mental helath'!$A$2:$T$1001,12,)</f>
        <v>Depression</v>
      </c>
      <c r="C368" t="str">
        <f>VLOOKUP(A368,'Remote work mental helath'!$A$2:$T$1001,11,)</f>
        <v>Medium</v>
      </c>
      <c r="D368">
        <f>VLOOKUP('Mental Helath'!A368,'Remote work mental helath'!$A$2:$T$1001,10,)</f>
        <v>5</v>
      </c>
      <c r="E368" t="str">
        <f>VLOOKUP(A368,'Remote work mental helath'!A368:T1367,19,FALSE)</f>
        <v>Poor</v>
      </c>
      <c r="F368" t="str">
        <f>VLOOKUP(A368,'Remote work mental helath'!$A$2:$T$1001,18,)</f>
        <v>None</v>
      </c>
      <c r="G368">
        <f>VLOOKUP(A368,'Remote work mental helath'!$A$2:$T$1001,15,FALSE)</f>
        <v>3</v>
      </c>
      <c r="H368" t="str">
        <f>VLOOKUP(A368,'Remote work mental helath'!$A$2:$T$1001,14,)</f>
        <v>Increase</v>
      </c>
      <c r="I368" t="str">
        <f>VLOOKUP(A368,'Remote work mental helath'!$A$2:$T$1001,16,)</f>
        <v>Neutral</v>
      </c>
      <c r="J368" t="str">
        <f>VLOOKUP(A368,'Remote work mental helath'!$A$2:$T$1001,13,)</f>
        <v>No</v>
      </c>
      <c r="K368">
        <f>VLOOKUP(A368,'Remote work mental helath'!$A$2:$T$1001,17,FALSE)</f>
        <v>2</v>
      </c>
    </row>
    <row r="369" spans="1:11" x14ac:dyDescent="0.3">
      <c r="A369" t="s">
        <v>418</v>
      </c>
      <c r="B369" t="str">
        <f>VLOOKUP(A369,'Remote work mental helath'!$A$2:$T$1001,12,)</f>
        <v>Anxiety</v>
      </c>
      <c r="C369" t="str">
        <f>VLOOKUP(A369,'Remote work mental helath'!$A$2:$T$1001,11,)</f>
        <v>Medium</v>
      </c>
      <c r="D369">
        <f>VLOOKUP('Mental Helath'!A369,'Remote work mental helath'!$A$2:$T$1001,10,)</f>
        <v>2</v>
      </c>
      <c r="E369" t="str">
        <f>VLOOKUP(A369,'Remote work mental helath'!A369:T1368,19,FALSE)</f>
        <v>Good</v>
      </c>
      <c r="F369" t="str">
        <f>VLOOKUP(A369,'Remote work mental helath'!$A$2:$T$1001,18,)</f>
        <v>Daily</v>
      </c>
      <c r="G369">
        <f>VLOOKUP(A369,'Remote work mental helath'!$A$2:$T$1001,15,FALSE)</f>
        <v>2</v>
      </c>
      <c r="H369" t="str">
        <f>VLOOKUP(A369,'Remote work mental helath'!$A$2:$T$1001,14,)</f>
        <v>Decrease</v>
      </c>
      <c r="I369" t="str">
        <f>VLOOKUP(A369,'Remote work mental helath'!$A$2:$T$1001,16,)</f>
        <v>Neutral</v>
      </c>
      <c r="J369" t="str">
        <f>VLOOKUP(A369,'Remote work mental helath'!$A$2:$T$1001,13,)</f>
        <v>No</v>
      </c>
      <c r="K369">
        <f>VLOOKUP(A369,'Remote work mental helath'!$A$2:$T$1001,17,FALSE)</f>
        <v>1</v>
      </c>
    </row>
    <row r="370" spans="1:11" x14ac:dyDescent="0.3">
      <c r="A370" t="s">
        <v>419</v>
      </c>
      <c r="B370" t="str">
        <f>VLOOKUP(A370,'Remote work mental helath'!$A$2:$T$1001,12,)</f>
        <v>Burnout</v>
      </c>
      <c r="C370" t="str">
        <f>VLOOKUP(A370,'Remote work mental helath'!$A$2:$T$1001,11,)</f>
        <v>High</v>
      </c>
      <c r="D370">
        <f>VLOOKUP('Mental Helath'!A370,'Remote work mental helath'!$A$2:$T$1001,10,)</f>
        <v>1</v>
      </c>
      <c r="E370" t="str">
        <f>VLOOKUP(A370,'Remote work mental helath'!A370:T1369,19,FALSE)</f>
        <v>Good</v>
      </c>
      <c r="F370" t="str">
        <f>VLOOKUP(A370,'Remote work mental helath'!$A$2:$T$1001,18,)</f>
        <v>Daily</v>
      </c>
      <c r="G370">
        <f>VLOOKUP(A370,'Remote work mental helath'!$A$2:$T$1001,15,FALSE)</f>
        <v>4</v>
      </c>
      <c r="H370" t="str">
        <f>VLOOKUP(A370,'Remote work mental helath'!$A$2:$T$1001,14,)</f>
        <v>No Change</v>
      </c>
      <c r="I370" t="str">
        <f>VLOOKUP(A370,'Remote work mental helath'!$A$2:$T$1001,16,)</f>
        <v>Satisfied</v>
      </c>
      <c r="J370" t="str">
        <f>VLOOKUP(A370,'Remote work mental helath'!$A$2:$T$1001,13,)</f>
        <v>Yes</v>
      </c>
      <c r="K370">
        <f>VLOOKUP(A370,'Remote work mental helath'!$A$2:$T$1001,17,FALSE)</f>
        <v>2</v>
      </c>
    </row>
    <row r="371" spans="1:11" x14ac:dyDescent="0.3">
      <c r="A371" t="s">
        <v>420</v>
      </c>
      <c r="B371" t="str">
        <f>VLOOKUP(A371,'Remote work mental helath'!$A$2:$T$1001,12,)</f>
        <v>Burnout</v>
      </c>
      <c r="C371" t="str">
        <f>VLOOKUP(A371,'Remote work mental helath'!$A$2:$T$1001,11,)</f>
        <v>Low</v>
      </c>
      <c r="D371">
        <f>VLOOKUP('Mental Helath'!A371,'Remote work mental helath'!$A$2:$T$1001,10,)</f>
        <v>4</v>
      </c>
      <c r="E371" t="str">
        <f>VLOOKUP(A371,'Remote work mental helath'!A371:T1370,19,FALSE)</f>
        <v>Good</v>
      </c>
      <c r="F371" t="str">
        <f>VLOOKUP(A371,'Remote work mental helath'!$A$2:$T$1001,18,)</f>
        <v>Daily</v>
      </c>
      <c r="G371">
        <f>VLOOKUP(A371,'Remote work mental helath'!$A$2:$T$1001,15,FALSE)</f>
        <v>1</v>
      </c>
      <c r="H371" t="str">
        <f>VLOOKUP(A371,'Remote work mental helath'!$A$2:$T$1001,14,)</f>
        <v>No Change</v>
      </c>
      <c r="I371" t="str">
        <f>VLOOKUP(A371,'Remote work mental helath'!$A$2:$T$1001,16,)</f>
        <v>Neutral</v>
      </c>
      <c r="J371" t="str">
        <f>VLOOKUP(A371,'Remote work mental helath'!$A$2:$T$1001,13,)</f>
        <v>No</v>
      </c>
      <c r="K371">
        <f>VLOOKUP(A371,'Remote work mental helath'!$A$2:$T$1001,17,FALSE)</f>
        <v>5</v>
      </c>
    </row>
    <row r="372" spans="1:11" x14ac:dyDescent="0.3">
      <c r="A372" t="s">
        <v>421</v>
      </c>
      <c r="B372" t="str">
        <f>VLOOKUP(A372,'Remote work mental helath'!$A$2:$T$1001,12,)</f>
        <v>None</v>
      </c>
      <c r="C372" t="str">
        <f>VLOOKUP(A372,'Remote work mental helath'!$A$2:$T$1001,11,)</f>
        <v>Medium</v>
      </c>
      <c r="D372">
        <f>VLOOKUP('Mental Helath'!A372,'Remote work mental helath'!$A$2:$T$1001,10,)</f>
        <v>1</v>
      </c>
      <c r="E372" t="str">
        <f>VLOOKUP(A372,'Remote work mental helath'!A372:T1371,19,FALSE)</f>
        <v>Average</v>
      </c>
      <c r="F372" t="str">
        <f>VLOOKUP(A372,'Remote work mental helath'!$A$2:$T$1001,18,)</f>
        <v>None</v>
      </c>
      <c r="G372">
        <f>VLOOKUP(A372,'Remote work mental helath'!$A$2:$T$1001,15,FALSE)</f>
        <v>1</v>
      </c>
      <c r="H372" t="str">
        <f>VLOOKUP(A372,'Remote work mental helath'!$A$2:$T$1001,14,)</f>
        <v>Decrease</v>
      </c>
      <c r="I372" t="str">
        <f>VLOOKUP(A372,'Remote work mental helath'!$A$2:$T$1001,16,)</f>
        <v>Satisfied</v>
      </c>
      <c r="J372" t="str">
        <f>VLOOKUP(A372,'Remote work mental helath'!$A$2:$T$1001,13,)</f>
        <v>Yes</v>
      </c>
      <c r="K372">
        <f>VLOOKUP(A372,'Remote work mental helath'!$A$2:$T$1001,17,FALSE)</f>
        <v>5</v>
      </c>
    </row>
    <row r="373" spans="1:11" x14ac:dyDescent="0.3">
      <c r="A373" t="s">
        <v>422</v>
      </c>
      <c r="B373" t="str">
        <f>VLOOKUP(A373,'Remote work mental helath'!$A$2:$T$1001,12,)</f>
        <v>None</v>
      </c>
      <c r="C373" t="str">
        <f>VLOOKUP(A373,'Remote work mental helath'!$A$2:$T$1001,11,)</f>
        <v>Medium</v>
      </c>
      <c r="D373">
        <f>VLOOKUP('Mental Helath'!A373,'Remote work mental helath'!$A$2:$T$1001,10,)</f>
        <v>4</v>
      </c>
      <c r="E373" t="str">
        <f>VLOOKUP(A373,'Remote work mental helath'!A373:T1372,19,FALSE)</f>
        <v>Good</v>
      </c>
      <c r="F373" t="str">
        <f>VLOOKUP(A373,'Remote work mental helath'!$A$2:$T$1001,18,)</f>
        <v>Weekly</v>
      </c>
      <c r="G373">
        <f>VLOOKUP(A373,'Remote work mental helath'!$A$2:$T$1001,15,FALSE)</f>
        <v>2</v>
      </c>
      <c r="H373" t="str">
        <f>VLOOKUP(A373,'Remote work mental helath'!$A$2:$T$1001,14,)</f>
        <v>Increase</v>
      </c>
      <c r="I373" t="str">
        <f>VLOOKUP(A373,'Remote work mental helath'!$A$2:$T$1001,16,)</f>
        <v>Unsatisfied</v>
      </c>
      <c r="J373" t="str">
        <f>VLOOKUP(A373,'Remote work mental helath'!$A$2:$T$1001,13,)</f>
        <v>No</v>
      </c>
      <c r="K373">
        <f>VLOOKUP(A373,'Remote work mental helath'!$A$2:$T$1001,17,FALSE)</f>
        <v>4</v>
      </c>
    </row>
    <row r="374" spans="1:11" x14ac:dyDescent="0.3">
      <c r="A374" t="s">
        <v>423</v>
      </c>
      <c r="B374" t="str">
        <f>VLOOKUP(A374,'Remote work mental helath'!$A$2:$T$1001,12,)</f>
        <v>Depression</v>
      </c>
      <c r="C374" t="str">
        <f>VLOOKUP(A374,'Remote work mental helath'!$A$2:$T$1001,11,)</f>
        <v>High</v>
      </c>
      <c r="D374">
        <f>VLOOKUP('Mental Helath'!A374,'Remote work mental helath'!$A$2:$T$1001,10,)</f>
        <v>5</v>
      </c>
      <c r="E374" t="str">
        <f>VLOOKUP(A374,'Remote work mental helath'!A374:T1373,19,FALSE)</f>
        <v>Good</v>
      </c>
      <c r="F374" t="str">
        <f>VLOOKUP(A374,'Remote work mental helath'!$A$2:$T$1001,18,)</f>
        <v>None</v>
      </c>
      <c r="G374">
        <f>VLOOKUP(A374,'Remote work mental helath'!$A$2:$T$1001,15,FALSE)</f>
        <v>5</v>
      </c>
      <c r="H374" t="str">
        <f>VLOOKUP(A374,'Remote work mental helath'!$A$2:$T$1001,14,)</f>
        <v>No Change</v>
      </c>
      <c r="I374" t="str">
        <f>VLOOKUP(A374,'Remote work mental helath'!$A$2:$T$1001,16,)</f>
        <v>Neutral</v>
      </c>
      <c r="J374" t="str">
        <f>VLOOKUP(A374,'Remote work mental helath'!$A$2:$T$1001,13,)</f>
        <v>No</v>
      </c>
      <c r="K374">
        <f>VLOOKUP(A374,'Remote work mental helath'!$A$2:$T$1001,17,FALSE)</f>
        <v>4</v>
      </c>
    </row>
    <row r="375" spans="1:11" x14ac:dyDescent="0.3">
      <c r="A375" t="s">
        <v>424</v>
      </c>
      <c r="B375" t="str">
        <f>VLOOKUP(A375,'Remote work mental helath'!$A$2:$T$1001,12,)</f>
        <v>None</v>
      </c>
      <c r="C375" t="str">
        <f>VLOOKUP(A375,'Remote work mental helath'!$A$2:$T$1001,11,)</f>
        <v>Medium</v>
      </c>
      <c r="D375">
        <f>VLOOKUP('Mental Helath'!A375,'Remote work mental helath'!$A$2:$T$1001,10,)</f>
        <v>3</v>
      </c>
      <c r="E375" t="str">
        <f>VLOOKUP(A375,'Remote work mental helath'!A375:T1374,19,FALSE)</f>
        <v>Average</v>
      </c>
      <c r="F375" t="str">
        <f>VLOOKUP(A375,'Remote work mental helath'!$A$2:$T$1001,18,)</f>
        <v>Weekly</v>
      </c>
      <c r="G375">
        <f>VLOOKUP(A375,'Remote work mental helath'!$A$2:$T$1001,15,FALSE)</f>
        <v>2</v>
      </c>
      <c r="H375" t="str">
        <f>VLOOKUP(A375,'Remote work mental helath'!$A$2:$T$1001,14,)</f>
        <v>Increase</v>
      </c>
      <c r="I375" t="str">
        <f>VLOOKUP(A375,'Remote work mental helath'!$A$2:$T$1001,16,)</f>
        <v>Unsatisfied</v>
      </c>
      <c r="J375" t="str">
        <f>VLOOKUP(A375,'Remote work mental helath'!$A$2:$T$1001,13,)</f>
        <v>Yes</v>
      </c>
      <c r="K375">
        <f>VLOOKUP(A375,'Remote work mental helath'!$A$2:$T$1001,17,FALSE)</f>
        <v>2</v>
      </c>
    </row>
    <row r="376" spans="1:11" x14ac:dyDescent="0.3">
      <c r="A376" t="s">
        <v>425</v>
      </c>
      <c r="B376" t="str">
        <f>VLOOKUP(A376,'Remote work mental helath'!$A$2:$T$1001,12,)</f>
        <v>None</v>
      </c>
      <c r="C376" t="str">
        <f>VLOOKUP(A376,'Remote work mental helath'!$A$2:$T$1001,11,)</f>
        <v>High</v>
      </c>
      <c r="D376">
        <f>VLOOKUP('Mental Helath'!A376,'Remote work mental helath'!$A$2:$T$1001,10,)</f>
        <v>1</v>
      </c>
      <c r="E376" t="str">
        <f>VLOOKUP(A376,'Remote work mental helath'!A376:T1375,19,FALSE)</f>
        <v>Poor</v>
      </c>
      <c r="F376" t="str">
        <f>VLOOKUP(A376,'Remote work mental helath'!$A$2:$T$1001,18,)</f>
        <v>Daily</v>
      </c>
      <c r="G376">
        <f>VLOOKUP(A376,'Remote work mental helath'!$A$2:$T$1001,15,FALSE)</f>
        <v>1</v>
      </c>
      <c r="H376" t="str">
        <f>VLOOKUP(A376,'Remote work mental helath'!$A$2:$T$1001,14,)</f>
        <v>Increase</v>
      </c>
      <c r="I376" t="str">
        <f>VLOOKUP(A376,'Remote work mental helath'!$A$2:$T$1001,16,)</f>
        <v>Unsatisfied</v>
      </c>
      <c r="J376" t="str">
        <f>VLOOKUP(A376,'Remote work mental helath'!$A$2:$T$1001,13,)</f>
        <v>Yes</v>
      </c>
      <c r="K376">
        <f>VLOOKUP(A376,'Remote work mental helath'!$A$2:$T$1001,17,FALSE)</f>
        <v>3</v>
      </c>
    </row>
    <row r="377" spans="1:11" x14ac:dyDescent="0.3">
      <c r="A377" t="s">
        <v>426</v>
      </c>
      <c r="B377" t="str">
        <f>VLOOKUP(A377,'Remote work mental helath'!$A$2:$T$1001,12,)</f>
        <v>Anxiety</v>
      </c>
      <c r="C377" t="str">
        <f>VLOOKUP(A377,'Remote work mental helath'!$A$2:$T$1001,11,)</f>
        <v>Low</v>
      </c>
      <c r="D377">
        <f>VLOOKUP('Mental Helath'!A377,'Remote work mental helath'!$A$2:$T$1001,10,)</f>
        <v>3</v>
      </c>
      <c r="E377" t="str">
        <f>VLOOKUP(A377,'Remote work mental helath'!A377:T1376,19,FALSE)</f>
        <v>Good</v>
      </c>
      <c r="F377" t="str">
        <f>VLOOKUP(A377,'Remote work mental helath'!$A$2:$T$1001,18,)</f>
        <v>Daily</v>
      </c>
      <c r="G377">
        <f>VLOOKUP(A377,'Remote work mental helath'!$A$2:$T$1001,15,FALSE)</f>
        <v>2</v>
      </c>
      <c r="H377" t="str">
        <f>VLOOKUP(A377,'Remote work mental helath'!$A$2:$T$1001,14,)</f>
        <v>Decrease</v>
      </c>
      <c r="I377" t="str">
        <f>VLOOKUP(A377,'Remote work mental helath'!$A$2:$T$1001,16,)</f>
        <v>Neutral</v>
      </c>
      <c r="J377" t="str">
        <f>VLOOKUP(A377,'Remote work mental helath'!$A$2:$T$1001,13,)</f>
        <v>No</v>
      </c>
      <c r="K377">
        <f>VLOOKUP(A377,'Remote work mental helath'!$A$2:$T$1001,17,FALSE)</f>
        <v>2</v>
      </c>
    </row>
    <row r="378" spans="1:11" x14ac:dyDescent="0.3">
      <c r="A378" t="s">
        <v>427</v>
      </c>
      <c r="B378" t="str">
        <f>VLOOKUP(A378,'Remote work mental helath'!$A$2:$T$1001,12,)</f>
        <v>None</v>
      </c>
      <c r="C378" t="str">
        <f>VLOOKUP(A378,'Remote work mental helath'!$A$2:$T$1001,11,)</f>
        <v>Medium</v>
      </c>
      <c r="D378">
        <f>VLOOKUP('Mental Helath'!A378,'Remote work mental helath'!$A$2:$T$1001,10,)</f>
        <v>1</v>
      </c>
      <c r="E378" t="str">
        <f>VLOOKUP(A378,'Remote work mental helath'!A378:T1377,19,FALSE)</f>
        <v>Poor</v>
      </c>
      <c r="F378" t="str">
        <f>VLOOKUP(A378,'Remote work mental helath'!$A$2:$T$1001,18,)</f>
        <v>None</v>
      </c>
      <c r="G378">
        <f>VLOOKUP(A378,'Remote work mental helath'!$A$2:$T$1001,15,FALSE)</f>
        <v>2</v>
      </c>
      <c r="H378" t="str">
        <f>VLOOKUP(A378,'Remote work mental helath'!$A$2:$T$1001,14,)</f>
        <v>Decrease</v>
      </c>
      <c r="I378" t="str">
        <f>VLOOKUP(A378,'Remote work mental helath'!$A$2:$T$1001,16,)</f>
        <v>Neutral</v>
      </c>
      <c r="J378" t="str">
        <f>VLOOKUP(A378,'Remote work mental helath'!$A$2:$T$1001,13,)</f>
        <v>No</v>
      </c>
      <c r="K378">
        <f>VLOOKUP(A378,'Remote work mental helath'!$A$2:$T$1001,17,FALSE)</f>
        <v>4</v>
      </c>
    </row>
    <row r="379" spans="1:11" x14ac:dyDescent="0.3">
      <c r="A379" t="s">
        <v>428</v>
      </c>
      <c r="B379" t="str">
        <f>VLOOKUP(A379,'Remote work mental helath'!$A$2:$T$1001,12,)</f>
        <v>Burnout</v>
      </c>
      <c r="C379" t="str">
        <f>VLOOKUP(A379,'Remote work mental helath'!$A$2:$T$1001,11,)</f>
        <v>High</v>
      </c>
      <c r="D379">
        <f>VLOOKUP('Mental Helath'!A379,'Remote work mental helath'!$A$2:$T$1001,10,)</f>
        <v>5</v>
      </c>
      <c r="E379" t="str">
        <f>VLOOKUP(A379,'Remote work mental helath'!A379:T1378,19,FALSE)</f>
        <v>Good</v>
      </c>
      <c r="F379" t="str">
        <f>VLOOKUP(A379,'Remote work mental helath'!$A$2:$T$1001,18,)</f>
        <v>Daily</v>
      </c>
      <c r="G379">
        <f>VLOOKUP(A379,'Remote work mental helath'!$A$2:$T$1001,15,FALSE)</f>
        <v>3</v>
      </c>
      <c r="H379" t="str">
        <f>VLOOKUP(A379,'Remote work mental helath'!$A$2:$T$1001,14,)</f>
        <v>No Change</v>
      </c>
      <c r="I379" t="str">
        <f>VLOOKUP(A379,'Remote work mental helath'!$A$2:$T$1001,16,)</f>
        <v>Unsatisfied</v>
      </c>
      <c r="J379" t="str">
        <f>VLOOKUP(A379,'Remote work mental helath'!$A$2:$T$1001,13,)</f>
        <v>No</v>
      </c>
      <c r="K379">
        <f>VLOOKUP(A379,'Remote work mental helath'!$A$2:$T$1001,17,FALSE)</f>
        <v>5</v>
      </c>
    </row>
    <row r="380" spans="1:11" x14ac:dyDescent="0.3">
      <c r="A380" t="s">
        <v>429</v>
      </c>
      <c r="B380" t="str">
        <f>VLOOKUP(A380,'Remote work mental helath'!$A$2:$T$1001,12,)</f>
        <v>None</v>
      </c>
      <c r="C380" t="str">
        <f>VLOOKUP(A380,'Remote work mental helath'!$A$2:$T$1001,11,)</f>
        <v>High</v>
      </c>
      <c r="D380">
        <f>VLOOKUP('Mental Helath'!A380,'Remote work mental helath'!$A$2:$T$1001,10,)</f>
        <v>5</v>
      </c>
      <c r="E380" t="str">
        <f>VLOOKUP(A380,'Remote work mental helath'!A380:T1379,19,FALSE)</f>
        <v>Good</v>
      </c>
      <c r="F380" t="str">
        <f>VLOOKUP(A380,'Remote work mental helath'!$A$2:$T$1001,18,)</f>
        <v>Daily</v>
      </c>
      <c r="G380">
        <f>VLOOKUP(A380,'Remote work mental helath'!$A$2:$T$1001,15,FALSE)</f>
        <v>3</v>
      </c>
      <c r="H380" t="str">
        <f>VLOOKUP(A380,'Remote work mental helath'!$A$2:$T$1001,14,)</f>
        <v>Increase</v>
      </c>
      <c r="I380" t="str">
        <f>VLOOKUP(A380,'Remote work mental helath'!$A$2:$T$1001,16,)</f>
        <v>Neutral</v>
      </c>
      <c r="J380" t="str">
        <f>VLOOKUP(A380,'Remote work mental helath'!$A$2:$T$1001,13,)</f>
        <v>Yes</v>
      </c>
      <c r="K380">
        <f>VLOOKUP(A380,'Remote work mental helath'!$A$2:$T$1001,17,FALSE)</f>
        <v>1</v>
      </c>
    </row>
    <row r="381" spans="1:11" x14ac:dyDescent="0.3">
      <c r="A381" t="s">
        <v>430</v>
      </c>
      <c r="B381" t="str">
        <f>VLOOKUP(A381,'Remote work mental helath'!$A$2:$T$1001,12,)</f>
        <v>Burnout</v>
      </c>
      <c r="C381" t="str">
        <f>VLOOKUP(A381,'Remote work mental helath'!$A$2:$T$1001,11,)</f>
        <v>High</v>
      </c>
      <c r="D381">
        <f>VLOOKUP('Mental Helath'!A381,'Remote work mental helath'!$A$2:$T$1001,10,)</f>
        <v>2</v>
      </c>
      <c r="E381" t="str">
        <f>VLOOKUP(A381,'Remote work mental helath'!A381:T1380,19,FALSE)</f>
        <v>Poor</v>
      </c>
      <c r="F381" t="str">
        <f>VLOOKUP(A381,'Remote work mental helath'!$A$2:$T$1001,18,)</f>
        <v>None</v>
      </c>
      <c r="G381">
        <f>VLOOKUP(A381,'Remote work mental helath'!$A$2:$T$1001,15,FALSE)</f>
        <v>5</v>
      </c>
      <c r="H381" t="str">
        <f>VLOOKUP(A381,'Remote work mental helath'!$A$2:$T$1001,14,)</f>
        <v>Decrease</v>
      </c>
      <c r="I381" t="str">
        <f>VLOOKUP(A381,'Remote work mental helath'!$A$2:$T$1001,16,)</f>
        <v>Neutral</v>
      </c>
      <c r="J381" t="str">
        <f>VLOOKUP(A381,'Remote work mental helath'!$A$2:$T$1001,13,)</f>
        <v>No</v>
      </c>
      <c r="K381">
        <f>VLOOKUP(A381,'Remote work mental helath'!$A$2:$T$1001,17,FALSE)</f>
        <v>1</v>
      </c>
    </row>
    <row r="382" spans="1:11" x14ac:dyDescent="0.3">
      <c r="A382" t="s">
        <v>431</v>
      </c>
      <c r="B382" t="str">
        <f>VLOOKUP(A382,'Remote work mental helath'!$A$2:$T$1001,12,)</f>
        <v>None</v>
      </c>
      <c r="C382" t="str">
        <f>VLOOKUP(A382,'Remote work mental helath'!$A$2:$T$1001,11,)</f>
        <v>Medium</v>
      </c>
      <c r="D382">
        <f>VLOOKUP('Mental Helath'!A382,'Remote work mental helath'!$A$2:$T$1001,10,)</f>
        <v>3</v>
      </c>
      <c r="E382" t="str">
        <f>VLOOKUP(A382,'Remote work mental helath'!A382:T1381,19,FALSE)</f>
        <v>Average</v>
      </c>
      <c r="F382" t="str">
        <f>VLOOKUP(A382,'Remote work mental helath'!$A$2:$T$1001,18,)</f>
        <v>Daily</v>
      </c>
      <c r="G382">
        <f>VLOOKUP(A382,'Remote work mental helath'!$A$2:$T$1001,15,FALSE)</f>
        <v>4</v>
      </c>
      <c r="H382" t="str">
        <f>VLOOKUP(A382,'Remote work mental helath'!$A$2:$T$1001,14,)</f>
        <v>Increase</v>
      </c>
      <c r="I382" t="str">
        <f>VLOOKUP(A382,'Remote work mental helath'!$A$2:$T$1001,16,)</f>
        <v>Unsatisfied</v>
      </c>
      <c r="J382" t="str">
        <f>VLOOKUP(A382,'Remote work mental helath'!$A$2:$T$1001,13,)</f>
        <v>Yes</v>
      </c>
      <c r="K382">
        <f>VLOOKUP(A382,'Remote work mental helath'!$A$2:$T$1001,17,FALSE)</f>
        <v>2</v>
      </c>
    </row>
    <row r="383" spans="1:11" x14ac:dyDescent="0.3">
      <c r="A383" t="s">
        <v>432</v>
      </c>
      <c r="B383" t="str">
        <f>VLOOKUP(A383,'Remote work mental helath'!$A$2:$T$1001,12,)</f>
        <v>Anxiety</v>
      </c>
      <c r="C383" t="str">
        <f>VLOOKUP(A383,'Remote work mental helath'!$A$2:$T$1001,11,)</f>
        <v>Medium</v>
      </c>
      <c r="D383">
        <f>VLOOKUP('Mental Helath'!A383,'Remote work mental helath'!$A$2:$T$1001,10,)</f>
        <v>2</v>
      </c>
      <c r="E383" t="str">
        <f>VLOOKUP(A383,'Remote work mental helath'!A383:T1382,19,FALSE)</f>
        <v>Poor</v>
      </c>
      <c r="F383" t="str">
        <f>VLOOKUP(A383,'Remote work mental helath'!$A$2:$T$1001,18,)</f>
        <v>Weekly</v>
      </c>
      <c r="G383">
        <f>VLOOKUP(A383,'Remote work mental helath'!$A$2:$T$1001,15,FALSE)</f>
        <v>5</v>
      </c>
      <c r="H383" t="str">
        <f>VLOOKUP(A383,'Remote work mental helath'!$A$2:$T$1001,14,)</f>
        <v>No Change</v>
      </c>
      <c r="I383" t="str">
        <f>VLOOKUP(A383,'Remote work mental helath'!$A$2:$T$1001,16,)</f>
        <v>Neutral</v>
      </c>
      <c r="J383" t="str">
        <f>VLOOKUP(A383,'Remote work mental helath'!$A$2:$T$1001,13,)</f>
        <v>No</v>
      </c>
      <c r="K383">
        <f>VLOOKUP(A383,'Remote work mental helath'!$A$2:$T$1001,17,FALSE)</f>
        <v>4</v>
      </c>
    </row>
    <row r="384" spans="1:11" x14ac:dyDescent="0.3">
      <c r="A384" t="s">
        <v>433</v>
      </c>
      <c r="B384" t="str">
        <f>VLOOKUP(A384,'Remote work mental helath'!$A$2:$T$1001,12,)</f>
        <v>Burnout</v>
      </c>
      <c r="C384" t="str">
        <f>VLOOKUP(A384,'Remote work mental helath'!$A$2:$T$1001,11,)</f>
        <v>Low</v>
      </c>
      <c r="D384">
        <f>VLOOKUP('Mental Helath'!A384,'Remote work mental helath'!$A$2:$T$1001,10,)</f>
        <v>3</v>
      </c>
      <c r="E384" t="str">
        <f>VLOOKUP(A384,'Remote work mental helath'!A384:T1383,19,FALSE)</f>
        <v>Average</v>
      </c>
      <c r="F384" t="str">
        <f>VLOOKUP(A384,'Remote work mental helath'!$A$2:$T$1001,18,)</f>
        <v>Daily</v>
      </c>
      <c r="G384">
        <f>VLOOKUP(A384,'Remote work mental helath'!$A$2:$T$1001,15,FALSE)</f>
        <v>2</v>
      </c>
      <c r="H384" t="str">
        <f>VLOOKUP(A384,'Remote work mental helath'!$A$2:$T$1001,14,)</f>
        <v>Decrease</v>
      </c>
      <c r="I384" t="str">
        <f>VLOOKUP(A384,'Remote work mental helath'!$A$2:$T$1001,16,)</f>
        <v>Neutral</v>
      </c>
      <c r="J384" t="str">
        <f>VLOOKUP(A384,'Remote work mental helath'!$A$2:$T$1001,13,)</f>
        <v>No</v>
      </c>
      <c r="K384">
        <f>VLOOKUP(A384,'Remote work mental helath'!$A$2:$T$1001,17,FALSE)</f>
        <v>2</v>
      </c>
    </row>
    <row r="385" spans="1:11" x14ac:dyDescent="0.3">
      <c r="A385" t="s">
        <v>434</v>
      </c>
      <c r="B385" t="str">
        <f>VLOOKUP(A385,'Remote work mental helath'!$A$2:$T$1001,12,)</f>
        <v>Anxiety</v>
      </c>
      <c r="C385" t="str">
        <f>VLOOKUP(A385,'Remote work mental helath'!$A$2:$T$1001,11,)</f>
        <v>Medium</v>
      </c>
      <c r="D385">
        <f>VLOOKUP('Mental Helath'!A385,'Remote work mental helath'!$A$2:$T$1001,10,)</f>
        <v>3</v>
      </c>
      <c r="E385" t="str">
        <f>VLOOKUP(A385,'Remote work mental helath'!A385:T1384,19,FALSE)</f>
        <v>Poor</v>
      </c>
      <c r="F385" t="str">
        <f>VLOOKUP(A385,'Remote work mental helath'!$A$2:$T$1001,18,)</f>
        <v>None</v>
      </c>
      <c r="G385">
        <f>VLOOKUP(A385,'Remote work mental helath'!$A$2:$T$1001,15,FALSE)</f>
        <v>1</v>
      </c>
      <c r="H385" t="str">
        <f>VLOOKUP(A385,'Remote work mental helath'!$A$2:$T$1001,14,)</f>
        <v>No Change</v>
      </c>
      <c r="I385" t="str">
        <f>VLOOKUP(A385,'Remote work mental helath'!$A$2:$T$1001,16,)</f>
        <v>Satisfied</v>
      </c>
      <c r="J385" t="str">
        <f>VLOOKUP(A385,'Remote work mental helath'!$A$2:$T$1001,13,)</f>
        <v>Yes</v>
      </c>
      <c r="K385">
        <f>VLOOKUP(A385,'Remote work mental helath'!$A$2:$T$1001,17,FALSE)</f>
        <v>4</v>
      </c>
    </row>
    <row r="386" spans="1:11" x14ac:dyDescent="0.3">
      <c r="A386" t="s">
        <v>435</v>
      </c>
      <c r="B386" t="str">
        <f>VLOOKUP(A386,'Remote work mental helath'!$A$2:$T$1001,12,)</f>
        <v>Burnout</v>
      </c>
      <c r="C386" t="str">
        <f>VLOOKUP(A386,'Remote work mental helath'!$A$2:$T$1001,11,)</f>
        <v>High</v>
      </c>
      <c r="D386">
        <f>VLOOKUP('Mental Helath'!A386,'Remote work mental helath'!$A$2:$T$1001,10,)</f>
        <v>2</v>
      </c>
      <c r="E386" t="str">
        <f>VLOOKUP(A386,'Remote work mental helath'!A386:T1385,19,FALSE)</f>
        <v>Poor</v>
      </c>
      <c r="F386" t="str">
        <f>VLOOKUP(A386,'Remote work mental helath'!$A$2:$T$1001,18,)</f>
        <v>None</v>
      </c>
      <c r="G386">
        <f>VLOOKUP(A386,'Remote work mental helath'!$A$2:$T$1001,15,FALSE)</f>
        <v>1</v>
      </c>
      <c r="H386" t="str">
        <f>VLOOKUP(A386,'Remote work mental helath'!$A$2:$T$1001,14,)</f>
        <v>Increase</v>
      </c>
      <c r="I386" t="str">
        <f>VLOOKUP(A386,'Remote work mental helath'!$A$2:$T$1001,16,)</f>
        <v>Neutral</v>
      </c>
      <c r="J386" t="str">
        <f>VLOOKUP(A386,'Remote work mental helath'!$A$2:$T$1001,13,)</f>
        <v>Yes</v>
      </c>
      <c r="K386">
        <f>VLOOKUP(A386,'Remote work mental helath'!$A$2:$T$1001,17,FALSE)</f>
        <v>4</v>
      </c>
    </row>
    <row r="387" spans="1:11" x14ac:dyDescent="0.3">
      <c r="A387" t="s">
        <v>436</v>
      </c>
      <c r="B387" t="str">
        <f>VLOOKUP(A387,'Remote work mental helath'!$A$2:$T$1001,12,)</f>
        <v>Anxiety</v>
      </c>
      <c r="C387" t="str">
        <f>VLOOKUP(A387,'Remote work mental helath'!$A$2:$T$1001,11,)</f>
        <v>High</v>
      </c>
      <c r="D387">
        <f>VLOOKUP('Mental Helath'!A387,'Remote work mental helath'!$A$2:$T$1001,10,)</f>
        <v>1</v>
      </c>
      <c r="E387" t="str">
        <f>VLOOKUP(A387,'Remote work mental helath'!A387:T1386,19,FALSE)</f>
        <v>Average</v>
      </c>
      <c r="F387" t="str">
        <f>VLOOKUP(A387,'Remote work mental helath'!$A$2:$T$1001,18,)</f>
        <v>Weekly</v>
      </c>
      <c r="G387">
        <f>VLOOKUP(A387,'Remote work mental helath'!$A$2:$T$1001,15,FALSE)</f>
        <v>5</v>
      </c>
      <c r="H387" t="str">
        <f>VLOOKUP(A387,'Remote work mental helath'!$A$2:$T$1001,14,)</f>
        <v>Increase</v>
      </c>
      <c r="I387" t="str">
        <f>VLOOKUP(A387,'Remote work mental helath'!$A$2:$T$1001,16,)</f>
        <v>Unsatisfied</v>
      </c>
      <c r="J387" t="str">
        <f>VLOOKUP(A387,'Remote work mental helath'!$A$2:$T$1001,13,)</f>
        <v>No</v>
      </c>
      <c r="K387">
        <f>VLOOKUP(A387,'Remote work mental helath'!$A$2:$T$1001,17,FALSE)</f>
        <v>2</v>
      </c>
    </row>
    <row r="388" spans="1:11" x14ac:dyDescent="0.3">
      <c r="A388" t="s">
        <v>437</v>
      </c>
      <c r="B388" t="str">
        <f>VLOOKUP(A388,'Remote work mental helath'!$A$2:$T$1001,12,)</f>
        <v>Depression</v>
      </c>
      <c r="C388" t="str">
        <f>VLOOKUP(A388,'Remote work mental helath'!$A$2:$T$1001,11,)</f>
        <v>Medium</v>
      </c>
      <c r="D388">
        <f>VLOOKUP('Mental Helath'!A388,'Remote work mental helath'!$A$2:$T$1001,10,)</f>
        <v>3</v>
      </c>
      <c r="E388" t="str">
        <f>VLOOKUP(A388,'Remote work mental helath'!A388:T1387,19,FALSE)</f>
        <v>Average</v>
      </c>
      <c r="F388" t="str">
        <f>VLOOKUP(A388,'Remote work mental helath'!$A$2:$T$1001,18,)</f>
        <v>None</v>
      </c>
      <c r="G388">
        <f>VLOOKUP(A388,'Remote work mental helath'!$A$2:$T$1001,15,FALSE)</f>
        <v>1</v>
      </c>
      <c r="H388" t="str">
        <f>VLOOKUP(A388,'Remote work mental helath'!$A$2:$T$1001,14,)</f>
        <v>No Change</v>
      </c>
      <c r="I388" t="str">
        <f>VLOOKUP(A388,'Remote work mental helath'!$A$2:$T$1001,16,)</f>
        <v>Neutral</v>
      </c>
      <c r="J388" t="str">
        <f>VLOOKUP(A388,'Remote work mental helath'!$A$2:$T$1001,13,)</f>
        <v>Yes</v>
      </c>
      <c r="K388">
        <f>VLOOKUP(A388,'Remote work mental helath'!$A$2:$T$1001,17,FALSE)</f>
        <v>5</v>
      </c>
    </row>
    <row r="389" spans="1:11" x14ac:dyDescent="0.3">
      <c r="A389" t="s">
        <v>438</v>
      </c>
      <c r="B389" t="str">
        <f>VLOOKUP(A389,'Remote work mental helath'!$A$2:$T$1001,12,)</f>
        <v>Depression</v>
      </c>
      <c r="C389" t="str">
        <f>VLOOKUP(A389,'Remote work mental helath'!$A$2:$T$1001,11,)</f>
        <v>High</v>
      </c>
      <c r="D389">
        <f>VLOOKUP('Mental Helath'!A389,'Remote work mental helath'!$A$2:$T$1001,10,)</f>
        <v>5</v>
      </c>
      <c r="E389" t="str">
        <f>VLOOKUP(A389,'Remote work mental helath'!A389:T1388,19,FALSE)</f>
        <v>Poor</v>
      </c>
      <c r="F389" t="str">
        <f>VLOOKUP(A389,'Remote work mental helath'!$A$2:$T$1001,18,)</f>
        <v>Daily</v>
      </c>
      <c r="G389">
        <f>VLOOKUP(A389,'Remote work mental helath'!$A$2:$T$1001,15,FALSE)</f>
        <v>4</v>
      </c>
      <c r="H389" t="str">
        <f>VLOOKUP(A389,'Remote work mental helath'!$A$2:$T$1001,14,)</f>
        <v>Decrease</v>
      </c>
      <c r="I389" t="str">
        <f>VLOOKUP(A389,'Remote work mental helath'!$A$2:$T$1001,16,)</f>
        <v>Neutral</v>
      </c>
      <c r="J389" t="str">
        <f>VLOOKUP(A389,'Remote work mental helath'!$A$2:$T$1001,13,)</f>
        <v>No</v>
      </c>
      <c r="K389">
        <f>VLOOKUP(A389,'Remote work mental helath'!$A$2:$T$1001,17,FALSE)</f>
        <v>3</v>
      </c>
    </row>
    <row r="390" spans="1:11" x14ac:dyDescent="0.3">
      <c r="A390" t="s">
        <v>439</v>
      </c>
      <c r="B390" t="str">
        <f>VLOOKUP(A390,'Remote work mental helath'!$A$2:$T$1001,12,)</f>
        <v>Depression</v>
      </c>
      <c r="C390" t="str">
        <f>VLOOKUP(A390,'Remote work mental helath'!$A$2:$T$1001,11,)</f>
        <v>High</v>
      </c>
      <c r="D390">
        <f>VLOOKUP('Mental Helath'!A390,'Remote work mental helath'!$A$2:$T$1001,10,)</f>
        <v>5</v>
      </c>
      <c r="E390" t="str">
        <f>VLOOKUP(A390,'Remote work mental helath'!A390:T1389,19,FALSE)</f>
        <v>Good</v>
      </c>
      <c r="F390" t="str">
        <f>VLOOKUP(A390,'Remote work mental helath'!$A$2:$T$1001,18,)</f>
        <v>Weekly</v>
      </c>
      <c r="G390">
        <f>VLOOKUP(A390,'Remote work mental helath'!$A$2:$T$1001,15,FALSE)</f>
        <v>2</v>
      </c>
      <c r="H390" t="str">
        <f>VLOOKUP(A390,'Remote work mental helath'!$A$2:$T$1001,14,)</f>
        <v>No Change</v>
      </c>
      <c r="I390" t="str">
        <f>VLOOKUP(A390,'Remote work mental helath'!$A$2:$T$1001,16,)</f>
        <v>Neutral</v>
      </c>
      <c r="J390" t="str">
        <f>VLOOKUP(A390,'Remote work mental helath'!$A$2:$T$1001,13,)</f>
        <v>Yes</v>
      </c>
      <c r="K390">
        <f>VLOOKUP(A390,'Remote work mental helath'!$A$2:$T$1001,17,FALSE)</f>
        <v>3</v>
      </c>
    </row>
    <row r="391" spans="1:11" x14ac:dyDescent="0.3">
      <c r="A391" t="s">
        <v>440</v>
      </c>
      <c r="B391" t="str">
        <f>VLOOKUP(A391,'Remote work mental helath'!$A$2:$T$1001,12,)</f>
        <v>Burnout</v>
      </c>
      <c r="C391" t="str">
        <f>VLOOKUP(A391,'Remote work mental helath'!$A$2:$T$1001,11,)</f>
        <v>Medium</v>
      </c>
      <c r="D391">
        <f>VLOOKUP('Mental Helath'!A391,'Remote work mental helath'!$A$2:$T$1001,10,)</f>
        <v>5</v>
      </c>
      <c r="E391" t="str">
        <f>VLOOKUP(A391,'Remote work mental helath'!A391:T1390,19,FALSE)</f>
        <v>Poor</v>
      </c>
      <c r="F391" t="str">
        <f>VLOOKUP(A391,'Remote work mental helath'!$A$2:$T$1001,18,)</f>
        <v>Weekly</v>
      </c>
      <c r="G391">
        <f>VLOOKUP(A391,'Remote work mental helath'!$A$2:$T$1001,15,FALSE)</f>
        <v>3</v>
      </c>
      <c r="H391" t="str">
        <f>VLOOKUP(A391,'Remote work mental helath'!$A$2:$T$1001,14,)</f>
        <v>No Change</v>
      </c>
      <c r="I391" t="str">
        <f>VLOOKUP(A391,'Remote work mental helath'!$A$2:$T$1001,16,)</f>
        <v>Satisfied</v>
      </c>
      <c r="J391" t="str">
        <f>VLOOKUP(A391,'Remote work mental helath'!$A$2:$T$1001,13,)</f>
        <v>No</v>
      </c>
      <c r="K391">
        <f>VLOOKUP(A391,'Remote work mental helath'!$A$2:$T$1001,17,FALSE)</f>
        <v>1</v>
      </c>
    </row>
    <row r="392" spans="1:11" x14ac:dyDescent="0.3">
      <c r="A392" t="s">
        <v>441</v>
      </c>
      <c r="B392" t="str">
        <f>VLOOKUP(A392,'Remote work mental helath'!$A$2:$T$1001,12,)</f>
        <v>Burnout</v>
      </c>
      <c r="C392" t="str">
        <f>VLOOKUP(A392,'Remote work mental helath'!$A$2:$T$1001,11,)</f>
        <v>Medium</v>
      </c>
      <c r="D392">
        <f>VLOOKUP('Mental Helath'!A392,'Remote work mental helath'!$A$2:$T$1001,10,)</f>
        <v>3</v>
      </c>
      <c r="E392" t="str">
        <f>VLOOKUP(A392,'Remote work mental helath'!A392:T1391,19,FALSE)</f>
        <v>Average</v>
      </c>
      <c r="F392" t="str">
        <f>VLOOKUP(A392,'Remote work mental helath'!$A$2:$T$1001,18,)</f>
        <v>None</v>
      </c>
      <c r="G392">
        <f>VLOOKUP(A392,'Remote work mental helath'!$A$2:$T$1001,15,FALSE)</f>
        <v>1</v>
      </c>
      <c r="H392" t="str">
        <f>VLOOKUP(A392,'Remote work mental helath'!$A$2:$T$1001,14,)</f>
        <v>Decrease</v>
      </c>
      <c r="I392" t="str">
        <f>VLOOKUP(A392,'Remote work mental helath'!$A$2:$T$1001,16,)</f>
        <v>Satisfied</v>
      </c>
      <c r="J392" t="str">
        <f>VLOOKUP(A392,'Remote work mental helath'!$A$2:$T$1001,13,)</f>
        <v>No</v>
      </c>
      <c r="K392">
        <f>VLOOKUP(A392,'Remote work mental helath'!$A$2:$T$1001,17,FALSE)</f>
        <v>3</v>
      </c>
    </row>
    <row r="393" spans="1:11" x14ac:dyDescent="0.3">
      <c r="A393" t="s">
        <v>442</v>
      </c>
      <c r="B393" t="str">
        <f>VLOOKUP(A393,'Remote work mental helath'!$A$2:$T$1001,12,)</f>
        <v>None</v>
      </c>
      <c r="C393" t="str">
        <f>VLOOKUP(A393,'Remote work mental helath'!$A$2:$T$1001,11,)</f>
        <v>Medium</v>
      </c>
      <c r="D393">
        <f>VLOOKUP('Mental Helath'!A393,'Remote work mental helath'!$A$2:$T$1001,10,)</f>
        <v>5</v>
      </c>
      <c r="E393" t="str">
        <f>VLOOKUP(A393,'Remote work mental helath'!A393:T1392,19,FALSE)</f>
        <v>Good</v>
      </c>
      <c r="F393" t="str">
        <f>VLOOKUP(A393,'Remote work mental helath'!$A$2:$T$1001,18,)</f>
        <v>Weekly</v>
      </c>
      <c r="G393">
        <f>VLOOKUP(A393,'Remote work mental helath'!$A$2:$T$1001,15,FALSE)</f>
        <v>5</v>
      </c>
      <c r="H393" t="str">
        <f>VLOOKUP(A393,'Remote work mental helath'!$A$2:$T$1001,14,)</f>
        <v>Increase</v>
      </c>
      <c r="I393" t="str">
        <f>VLOOKUP(A393,'Remote work mental helath'!$A$2:$T$1001,16,)</f>
        <v>Unsatisfied</v>
      </c>
      <c r="J393" t="str">
        <f>VLOOKUP(A393,'Remote work mental helath'!$A$2:$T$1001,13,)</f>
        <v>No</v>
      </c>
      <c r="K393">
        <f>VLOOKUP(A393,'Remote work mental helath'!$A$2:$T$1001,17,FALSE)</f>
        <v>1</v>
      </c>
    </row>
    <row r="394" spans="1:11" x14ac:dyDescent="0.3">
      <c r="A394" t="s">
        <v>443</v>
      </c>
      <c r="B394" t="str">
        <f>VLOOKUP(A394,'Remote work mental helath'!$A$2:$T$1001,12,)</f>
        <v>Depression</v>
      </c>
      <c r="C394" t="str">
        <f>VLOOKUP(A394,'Remote work mental helath'!$A$2:$T$1001,11,)</f>
        <v>Low</v>
      </c>
      <c r="D394">
        <f>VLOOKUP('Mental Helath'!A394,'Remote work mental helath'!$A$2:$T$1001,10,)</f>
        <v>5</v>
      </c>
      <c r="E394" t="str">
        <f>VLOOKUP(A394,'Remote work mental helath'!A394:T1393,19,FALSE)</f>
        <v>Average</v>
      </c>
      <c r="F394" t="str">
        <f>VLOOKUP(A394,'Remote work mental helath'!$A$2:$T$1001,18,)</f>
        <v>Daily</v>
      </c>
      <c r="G394">
        <f>VLOOKUP(A394,'Remote work mental helath'!$A$2:$T$1001,15,FALSE)</f>
        <v>4</v>
      </c>
      <c r="H394" t="str">
        <f>VLOOKUP(A394,'Remote work mental helath'!$A$2:$T$1001,14,)</f>
        <v>No Change</v>
      </c>
      <c r="I394" t="str">
        <f>VLOOKUP(A394,'Remote work mental helath'!$A$2:$T$1001,16,)</f>
        <v>Neutral</v>
      </c>
      <c r="J394" t="str">
        <f>VLOOKUP(A394,'Remote work mental helath'!$A$2:$T$1001,13,)</f>
        <v>No</v>
      </c>
      <c r="K394">
        <f>VLOOKUP(A394,'Remote work mental helath'!$A$2:$T$1001,17,FALSE)</f>
        <v>4</v>
      </c>
    </row>
    <row r="395" spans="1:11" x14ac:dyDescent="0.3">
      <c r="A395" t="s">
        <v>444</v>
      </c>
      <c r="B395" t="str">
        <f>VLOOKUP(A395,'Remote work mental helath'!$A$2:$T$1001,12,)</f>
        <v>Anxiety</v>
      </c>
      <c r="C395" t="str">
        <f>VLOOKUP(A395,'Remote work mental helath'!$A$2:$T$1001,11,)</f>
        <v>Low</v>
      </c>
      <c r="D395">
        <f>VLOOKUP('Mental Helath'!A395,'Remote work mental helath'!$A$2:$T$1001,10,)</f>
        <v>4</v>
      </c>
      <c r="E395" t="str">
        <f>VLOOKUP(A395,'Remote work mental helath'!A395:T1394,19,FALSE)</f>
        <v>Poor</v>
      </c>
      <c r="F395" t="str">
        <f>VLOOKUP(A395,'Remote work mental helath'!$A$2:$T$1001,18,)</f>
        <v>None</v>
      </c>
      <c r="G395">
        <f>VLOOKUP(A395,'Remote work mental helath'!$A$2:$T$1001,15,FALSE)</f>
        <v>4</v>
      </c>
      <c r="H395" t="str">
        <f>VLOOKUP(A395,'Remote work mental helath'!$A$2:$T$1001,14,)</f>
        <v>No Change</v>
      </c>
      <c r="I395" t="str">
        <f>VLOOKUP(A395,'Remote work mental helath'!$A$2:$T$1001,16,)</f>
        <v>Satisfied</v>
      </c>
      <c r="J395" t="str">
        <f>VLOOKUP(A395,'Remote work mental helath'!$A$2:$T$1001,13,)</f>
        <v>Yes</v>
      </c>
      <c r="K395">
        <f>VLOOKUP(A395,'Remote work mental helath'!$A$2:$T$1001,17,FALSE)</f>
        <v>5</v>
      </c>
    </row>
    <row r="396" spans="1:11" x14ac:dyDescent="0.3">
      <c r="A396" t="s">
        <v>445</v>
      </c>
      <c r="B396" t="str">
        <f>VLOOKUP(A396,'Remote work mental helath'!$A$2:$T$1001,12,)</f>
        <v>Anxiety</v>
      </c>
      <c r="C396" t="str">
        <f>VLOOKUP(A396,'Remote work mental helath'!$A$2:$T$1001,11,)</f>
        <v>Medium</v>
      </c>
      <c r="D396">
        <f>VLOOKUP('Mental Helath'!A396,'Remote work mental helath'!$A$2:$T$1001,10,)</f>
        <v>2</v>
      </c>
      <c r="E396" t="str">
        <f>VLOOKUP(A396,'Remote work mental helath'!A396:T1395,19,FALSE)</f>
        <v>Average</v>
      </c>
      <c r="F396" t="str">
        <f>VLOOKUP(A396,'Remote work mental helath'!$A$2:$T$1001,18,)</f>
        <v>Weekly</v>
      </c>
      <c r="G396">
        <f>VLOOKUP(A396,'Remote work mental helath'!$A$2:$T$1001,15,FALSE)</f>
        <v>3</v>
      </c>
      <c r="H396" t="str">
        <f>VLOOKUP(A396,'Remote work mental helath'!$A$2:$T$1001,14,)</f>
        <v>No Change</v>
      </c>
      <c r="I396" t="str">
        <f>VLOOKUP(A396,'Remote work mental helath'!$A$2:$T$1001,16,)</f>
        <v>Neutral</v>
      </c>
      <c r="J396" t="str">
        <f>VLOOKUP(A396,'Remote work mental helath'!$A$2:$T$1001,13,)</f>
        <v>Yes</v>
      </c>
      <c r="K396">
        <f>VLOOKUP(A396,'Remote work mental helath'!$A$2:$T$1001,17,FALSE)</f>
        <v>5</v>
      </c>
    </row>
    <row r="397" spans="1:11" x14ac:dyDescent="0.3">
      <c r="A397" t="s">
        <v>446</v>
      </c>
      <c r="B397" t="str">
        <f>VLOOKUP(A397,'Remote work mental helath'!$A$2:$T$1001,12,)</f>
        <v>Anxiety</v>
      </c>
      <c r="C397" t="str">
        <f>VLOOKUP(A397,'Remote work mental helath'!$A$2:$T$1001,11,)</f>
        <v>Medium</v>
      </c>
      <c r="D397">
        <f>VLOOKUP('Mental Helath'!A397,'Remote work mental helath'!$A$2:$T$1001,10,)</f>
        <v>3</v>
      </c>
      <c r="E397" t="str">
        <f>VLOOKUP(A397,'Remote work mental helath'!A397:T1396,19,FALSE)</f>
        <v>Good</v>
      </c>
      <c r="F397" t="str">
        <f>VLOOKUP(A397,'Remote work mental helath'!$A$2:$T$1001,18,)</f>
        <v>Weekly</v>
      </c>
      <c r="G397">
        <f>VLOOKUP(A397,'Remote work mental helath'!$A$2:$T$1001,15,FALSE)</f>
        <v>4</v>
      </c>
      <c r="H397" t="str">
        <f>VLOOKUP(A397,'Remote work mental helath'!$A$2:$T$1001,14,)</f>
        <v>Increase</v>
      </c>
      <c r="I397" t="str">
        <f>VLOOKUP(A397,'Remote work mental helath'!$A$2:$T$1001,16,)</f>
        <v>Satisfied</v>
      </c>
      <c r="J397" t="str">
        <f>VLOOKUP(A397,'Remote work mental helath'!$A$2:$T$1001,13,)</f>
        <v>No</v>
      </c>
      <c r="K397">
        <f>VLOOKUP(A397,'Remote work mental helath'!$A$2:$T$1001,17,FALSE)</f>
        <v>5</v>
      </c>
    </row>
    <row r="398" spans="1:11" x14ac:dyDescent="0.3">
      <c r="A398" t="s">
        <v>447</v>
      </c>
      <c r="B398" t="str">
        <f>VLOOKUP(A398,'Remote work mental helath'!$A$2:$T$1001,12,)</f>
        <v>Burnout</v>
      </c>
      <c r="C398" t="str">
        <f>VLOOKUP(A398,'Remote work mental helath'!$A$2:$T$1001,11,)</f>
        <v>Low</v>
      </c>
      <c r="D398">
        <f>VLOOKUP('Mental Helath'!A398,'Remote work mental helath'!$A$2:$T$1001,10,)</f>
        <v>5</v>
      </c>
      <c r="E398" t="str">
        <f>VLOOKUP(A398,'Remote work mental helath'!A398:T1397,19,FALSE)</f>
        <v>Average</v>
      </c>
      <c r="F398" t="str">
        <f>VLOOKUP(A398,'Remote work mental helath'!$A$2:$T$1001,18,)</f>
        <v>Daily</v>
      </c>
      <c r="G398">
        <f>VLOOKUP(A398,'Remote work mental helath'!$A$2:$T$1001,15,FALSE)</f>
        <v>4</v>
      </c>
      <c r="H398" t="str">
        <f>VLOOKUP(A398,'Remote work mental helath'!$A$2:$T$1001,14,)</f>
        <v>No Change</v>
      </c>
      <c r="I398" t="str">
        <f>VLOOKUP(A398,'Remote work mental helath'!$A$2:$T$1001,16,)</f>
        <v>Unsatisfied</v>
      </c>
      <c r="J398" t="str">
        <f>VLOOKUP(A398,'Remote work mental helath'!$A$2:$T$1001,13,)</f>
        <v>No</v>
      </c>
      <c r="K398">
        <f>VLOOKUP(A398,'Remote work mental helath'!$A$2:$T$1001,17,FALSE)</f>
        <v>1</v>
      </c>
    </row>
    <row r="399" spans="1:11" x14ac:dyDescent="0.3">
      <c r="A399" t="s">
        <v>448</v>
      </c>
      <c r="B399" t="str">
        <f>VLOOKUP(A399,'Remote work mental helath'!$A$2:$T$1001,12,)</f>
        <v>Burnout</v>
      </c>
      <c r="C399" t="str">
        <f>VLOOKUP(A399,'Remote work mental helath'!$A$2:$T$1001,11,)</f>
        <v>High</v>
      </c>
      <c r="D399">
        <f>VLOOKUP('Mental Helath'!A399,'Remote work mental helath'!$A$2:$T$1001,10,)</f>
        <v>1</v>
      </c>
      <c r="E399" t="str">
        <f>VLOOKUP(A399,'Remote work mental helath'!A399:T1398,19,FALSE)</f>
        <v>Poor</v>
      </c>
      <c r="F399" t="str">
        <f>VLOOKUP(A399,'Remote work mental helath'!$A$2:$T$1001,18,)</f>
        <v>None</v>
      </c>
      <c r="G399">
        <f>VLOOKUP(A399,'Remote work mental helath'!$A$2:$T$1001,15,FALSE)</f>
        <v>3</v>
      </c>
      <c r="H399" t="str">
        <f>VLOOKUP(A399,'Remote work mental helath'!$A$2:$T$1001,14,)</f>
        <v>Increase</v>
      </c>
      <c r="I399" t="str">
        <f>VLOOKUP(A399,'Remote work mental helath'!$A$2:$T$1001,16,)</f>
        <v>Neutral</v>
      </c>
      <c r="J399" t="str">
        <f>VLOOKUP(A399,'Remote work mental helath'!$A$2:$T$1001,13,)</f>
        <v>No</v>
      </c>
      <c r="K399">
        <f>VLOOKUP(A399,'Remote work mental helath'!$A$2:$T$1001,17,FALSE)</f>
        <v>1</v>
      </c>
    </row>
    <row r="400" spans="1:11" x14ac:dyDescent="0.3">
      <c r="A400" t="s">
        <v>449</v>
      </c>
      <c r="B400" t="str">
        <f>VLOOKUP(A400,'Remote work mental helath'!$A$2:$T$1001,12,)</f>
        <v>Burnout</v>
      </c>
      <c r="C400" t="str">
        <f>VLOOKUP(A400,'Remote work mental helath'!$A$2:$T$1001,11,)</f>
        <v>Medium</v>
      </c>
      <c r="D400">
        <f>VLOOKUP('Mental Helath'!A400,'Remote work mental helath'!$A$2:$T$1001,10,)</f>
        <v>2</v>
      </c>
      <c r="E400" t="str">
        <f>VLOOKUP(A400,'Remote work mental helath'!A400:T1399,19,FALSE)</f>
        <v>Good</v>
      </c>
      <c r="F400" t="str">
        <f>VLOOKUP(A400,'Remote work mental helath'!$A$2:$T$1001,18,)</f>
        <v>Daily</v>
      </c>
      <c r="G400">
        <f>VLOOKUP(A400,'Remote work mental helath'!$A$2:$T$1001,15,FALSE)</f>
        <v>2</v>
      </c>
      <c r="H400" t="str">
        <f>VLOOKUP(A400,'Remote work mental helath'!$A$2:$T$1001,14,)</f>
        <v>No Change</v>
      </c>
      <c r="I400" t="str">
        <f>VLOOKUP(A400,'Remote work mental helath'!$A$2:$T$1001,16,)</f>
        <v>Neutral</v>
      </c>
      <c r="J400" t="str">
        <f>VLOOKUP(A400,'Remote work mental helath'!$A$2:$T$1001,13,)</f>
        <v>No</v>
      </c>
      <c r="K400">
        <f>VLOOKUP(A400,'Remote work mental helath'!$A$2:$T$1001,17,FALSE)</f>
        <v>5</v>
      </c>
    </row>
    <row r="401" spans="1:11" x14ac:dyDescent="0.3">
      <c r="A401" t="s">
        <v>450</v>
      </c>
      <c r="B401" t="str">
        <f>VLOOKUP(A401,'Remote work mental helath'!$A$2:$T$1001,12,)</f>
        <v>None</v>
      </c>
      <c r="C401" t="str">
        <f>VLOOKUP(A401,'Remote work mental helath'!$A$2:$T$1001,11,)</f>
        <v>High</v>
      </c>
      <c r="D401">
        <f>VLOOKUP('Mental Helath'!A401,'Remote work mental helath'!$A$2:$T$1001,10,)</f>
        <v>5</v>
      </c>
      <c r="E401" t="str">
        <f>VLOOKUP(A401,'Remote work mental helath'!A401:T1400,19,FALSE)</f>
        <v>Good</v>
      </c>
      <c r="F401" t="str">
        <f>VLOOKUP(A401,'Remote work mental helath'!$A$2:$T$1001,18,)</f>
        <v>Weekly</v>
      </c>
      <c r="G401">
        <f>VLOOKUP(A401,'Remote work mental helath'!$A$2:$T$1001,15,FALSE)</f>
        <v>1</v>
      </c>
      <c r="H401" t="str">
        <f>VLOOKUP(A401,'Remote work mental helath'!$A$2:$T$1001,14,)</f>
        <v>Decrease</v>
      </c>
      <c r="I401" t="str">
        <f>VLOOKUP(A401,'Remote work mental helath'!$A$2:$T$1001,16,)</f>
        <v>Satisfied</v>
      </c>
      <c r="J401" t="str">
        <f>VLOOKUP(A401,'Remote work mental helath'!$A$2:$T$1001,13,)</f>
        <v>Yes</v>
      </c>
      <c r="K401">
        <f>VLOOKUP(A401,'Remote work mental helath'!$A$2:$T$1001,17,FALSE)</f>
        <v>3</v>
      </c>
    </row>
    <row r="402" spans="1:11" x14ac:dyDescent="0.3">
      <c r="A402" t="s">
        <v>451</v>
      </c>
      <c r="B402" t="str">
        <f>VLOOKUP(A402,'Remote work mental helath'!$A$2:$T$1001,12,)</f>
        <v>Anxiety</v>
      </c>
      <c r="C402" t="str">
        <f>VLOOKUP(A402,'Remote work mental helath'!$A$2:$T$1001,11,)</f>
        <v>High</v>
      </c>
      <c r="D402">
        <f>VLOOKUP('Mental Helath'!A402,'Remote work mental helath'!$A$2:$T$1001,10,)</f>
        <v>4</v>
      </c>
      <c r="E402" t="str">
        <f>VLOOKUP(A402,'Remote work mental helath'!A402:T1401,19,FALSE)</f>
        <v>Poor</v>
      </c>
      <c r="F402" t="str">
        <f>VLOOKUP(A402,'Remote work mental helath'!$A$2:$T$1001,18,)</f>
        <v>Daily</v>
      </c>
      <c r="G402">
        <f>VLOOKUP(A402,'Remote work mental helath'!$A$2:$T$1001,15,FALSE)</f>
        <v>4</v>
      </c>
      <c r="H402" t="str">
        <f>VLOOKUP(A402,'Remote work mental helath'!$A$2:$T$1001,14,)</f>
        <v>No Change</v>
      </c>
      <c r="I402" t="str">
        <f>VLOOKUP(A402,'Remote work mental helath'!$A$2:$T$1001,16,)</f>
        <v>Neutral</v>
      </c>
      <c r="J402" t="str">
        <f>VLOOKUP(A402,'Remote work mental helath'!$A$2:$T$1001,13,)</f>
        <v>Yes</v>
      </c>
      <c r="K402">
        <f>VLOOKUP(A402,'Remote work mental helath'!$A$2:$T$1001,17,FALSE)</f>
        <v>2</v>
      </c>
    </row>
    <row r="403" spans="1:11" x14ac:dyDescent="0.3">
      <c r="A403" t="s">
        <v>452</v>
      </c>
      <c r="B403" t="str">
        <f>VLOOKUP(A403,'Remote work mental helath'!$A$2:$T$1001,12,)</f>
        <v>Anxiety</v>
      </c>
      <c r="C403" t="str">
        <f>VLOOKUP(A403,'Remote work mental helath'!$A$2:$T$1001,11,)</f>
        <v>Low</v>
      </c>
      <c r="D403">
        <f>VLOOKUP('Mental Helath'!A403,'Remote work mental helath'!$A$2:$T$1001,10,)</f>
        <v>4</v>
      </c>
      <c r="E403" t="str">
        <f>VLOOKUP(A403,'Remote work mental helath'!A403:T1402,19,FALSE)</f>
        <v>Average</v>
      </c>
      <c r="F403" t="str">
        <f>VLOOKUP(A403,'Remote work mental helath'!$A$2:$T$1001,18,)</f>
        <v>Daily</v>
      </c>
      <c r="G403">
        <f>VLOOKUP(A403,'Remote work mental helath'!$A$2:$T$1001,15,FALSE)</f>
        <v>1</v>
      </c>
      <c r="H403" t="str">
        <f>VLOOKUP(A403,'Remote work mental helath'!$A$2:$T$1001,14,)</f>
        <v>Decrease</v>
      </c>
      <c r="I403" t="str">
        <f>VLOOKUP(A403,'Remote work mental helath'!$A$2:$T$1001,16,)</f>
        <v>Satisfied</v>
      </c>
      <c r="J403" t="str">
        <f>VLOOKUP(A403,'Remote work mental helath'!$A$2:$T$1001,13,)</f>
        <v>No</v>
      </c>
      <c r="K403">
        <f>VLOOKUP(A403,'Remote work mental helath'!$A$2:$T$1001,17,FALSE)</f>
        <v>1</v>
      </c>
    </row>
    <row r="404" spans="1:11" x14ac:dyDescent="0.3">
      <c r="A404" t="s">
        <v>453</v>
      </c>
      <c r="B404" t="str">
        <f>VLOOKUP(A404,'Remote work mental helath'!$A$2:$T$1001,12,)</f>
        <v>Anxiety</v>
      </c>
      <c r="C404" t="str">
        <f>VLOOKUP(A404,'Remote work mental helath'!$A$2:$T$1001,11,)</f>
        <v>Low</v>
      </c>
      <c r="D404">
        <f>VLOOKUP('Mental Helath'!A404,'Remote work mental helath'!$A$2:$T$1001,10,)</f>
        <v>2</v>
      </c>
      <c r="E404" t="str">
        <f>VLOOKUP(A404,'Remote work mental helath'!A404:T1403,19,FALSE)</f>
        <v>Poor</v>
      </c>
      <c r="F404" t="str">
        <f>VLOOKUP(A404,'Remote work mental helath'!$A$2:$T$1001,18,)</f>
        <v>Weekly</v>
      </c>
      <c r="G404">
        <f>VLOOKUP(A404,'Remote work mental helath'!$A$2:$T$1001,15,FALSE)</f>
        <v>2</v>
      </c>
      <c r="H404" t="str">
        <f>VLOOKUP(A404,'Remote work mental helath'!$A$2:$T$1001,14,)</f>
        <v>Decrease</v>
      </c>
      <c r="I404" t="str">
        <f>VLOOKUP(A404,'Remote work mental helath'!$A$2:$T$1001,16,)</f>
        <v>Neutral</v>
      </c>
      <c r="J404" t="str">
        <f>VLOOKUP(A404,'Remote work mental helath'!$A$2:$T$1001,13,)</f>
        <v>No</v>
      </c>
      <c r="K404">
        <f>VLOOKUP(A404,'Remote work mental helath'!$A$2:$T$1001,17,FALSE)</f>
        <v>2</v>
      </c>
    </row>
    <row r="405" spans="1:11" x14ac:dyDescent="0.3">
      <c r="A405" t="s">
        <v>454</v>
      </c>
      <c r="B405" t="str">
        <f>VLOOKUP(A405,'Remote work mental helath'!$A$2:$T$1001,12,)</f>
        <v>Burnout</v>
      </c>
      <c r="C405" t="str">
        <f>VLOOKUP(A405,'Remote work mental helath'!$A$2:$T$1001,11,)</f>
        <v>High</v>
      </c>
      <c r="D405">
        <f>VLOOKUP('Mental Helath'!A405,'Remote work mental helath'!$A$2:$T$1001,10,)</f>
        <v>3</v>
      </c>
      <c r="E405" t="str">
        <f>VLOOKUP(A405,'Remote work mental helath'!A405:T1404,19,FALSE)</f>
        <v>Poor</v>
      </c>
      <c r="F405" t="str">
        <f>VLOOKUP(A405,'Remote work mental helath'!$A$2:$T$1001,18,)</f>
        <v>Weekly</v>
      </c>
      <c r="G405">
        <f>VLOOKUP(A405,'Remote work mental helath'!$A$2:$T$1001,15,FALSE)</f>
        <v>3</v>
      </c>
      <c r="H405" t="str">
        <f>VLOOKUP(A405,'Remote work mental helath'!$A$2:$T$1001,14,)</f>
        <v>Increase</v>
      </c>
      <c r="I405" t="str">
        <f>VLOOKUP(A405,'Remote work mental helath'!$A$2:$T$1001,16,)</f>
        <v>Unsatisfied</v>
      </c>
      <c r="J405" t="str">
        <f>VLOOKUP(A405,'Remote work mental helath'!$A$2:$T$1001,13,)</f>
        <v>Yes</v>
      </c>
      <c r="K405">
        <f>VLOOKUP(A405,'Remote work mental helath'!$A$2:$T$1001,17,FALSE)</f>
        <v>1</v>
      </c>
    </row>
    <row r="406" spans="1:11" x14ac:dyDescent="0.3">
      <c r="A406" t="s">
        <v>455</v>
      </c>
      <c r="B406" t="str">
        <f>VLOOKUP(A406,'Remote work mental helath'!$A$2:$T$1001,12,)</f>
        <v>Anxiety</v>
      </c>
      <c r="C406" t="str">
        <f>VLOOKUP(A406,'Remote work mental helath'!$A$2:$T$1001,11,)</f>
        <v>Medium</v>
      </c>
      <c r="D406">
        <f>VLOOKUP('Mental Helath'!A406,'Remote work mental helath'!$A$2:$T$1001,10,)</f>
        <v>4</v>
      </c>
      <c r="E406" t="str">
        <f>VLOOKUP(A406,'Remote work mental helath'!A406:T1405,19,FALSE)</f>
        <v>Average</v>
      </c>
      <c r="F406" t="str">
        <f>VLOOKUP(A406,'Remote work mental helath'!$A$2:$T$1001,18,)</f>
        <v>Daily</v>
      </c>
      <c r="G406">
        <f>VLOOKUP(A406,'Remote work mental helath'!$A$2:$T$1001,15,FALSE)</f>
        <v>2</v>
      </c>
      <c r="H406" t="str">
        <f>VLOOKUP(A406,'Remote work mental helath'!$A$2:$T$1001,14,)</f>
        <v>Increase</v>
      </c>
      <c r="I406" t="str">
        <f>VLOOKUP(A406,'Remote work mental helath'!$A$2:$T$1001,16,)</f>
        <v>Unsatisfied</v>
      </c>
      <c r="J406" t="str">
        <f>VLOOKUP(A406,'Remote work mental helath'!$A$2:$T$1001,13,)</f>
        <v>No</v>
      </c>
      <c r="K406">
        <f>VLOOKUP(A406,'Remote work mental helath'!$A$2:$T$1001,17,FALSE)</f>
        <v>1</v>
      </c>
    </row>
    <row r="407" spans="1:11" x14ac:dyDescent="0.3">
      <c r="A407" t="s">
        <v>456</v>
      </c>
      <c r="B407" t="str">
        <f>VLOOKUP(A407,'Remote work mental helath'!$A$2:$T$1001,12,)</f>
        <v>None</v>
      </c>
      <c r="C407" t="str">
        <f>VLOOKUP(A407,'Remote work mental helath'!$A$2:$T$1001,11,)</f>
        <v>High</v>
      </c>
      <c r="D407">
        <f>VLOOKUP('Mental Helath'!A407,'Remote work mental helath'!$A$2:$T$1001,10,)</f>
        <v>4</v>
      </c>
      <c r="E407" t="str">
        <f>VLOOKUP(A407,'Remote work mental helath'!A407:T1406,19,FALSE)</f>
        <v>Good</v>
      </c>
      <c r="F407" t="str">
        <f>VLOOKUP(A407,'Remote work mental helath'!$A$2:$T$1001,18,)</f>
        <v>None</v>
      </c>
      <c r="G407">
        <f>VLOOKUP(A407,'Remote work mental helath'!$A$2:$T$1001,15,FALSE)</f>
        <v>2</v>
      </c>
      <c r="H407" t="str">
        <f>VLOOKUP(A407,'Remote work mental helath'!$A$2:$T$1001,14,)</f>
        <v>No Change</v>
      </c>
      <c r="I407" t="str">
        <f>VLOOKUP(A407,'Remote work mental helath'!$A$2:$T$1001,16,)</f>
        <v>Neutral</v>
      </c>
      <c r="J407" t="str">
        <f>VLOOKUP(A407,'Remote work mental helath'!$A$2:$T$1001,13,)</f>
        <v>No</v>
      </c>
      <c r="K407">
        <f>VLOOKUP(A407,'Remote work mental helath'!$A$2:$T$1001,17,FALSE)</f>
        <v>1</v>
      </c>
    </row>
    <row r="408" spans="1:11" x14ac:dyDescent="0.3">
      <c r="A408" t="s">
        <v>457</v>
      </c>
      <c r="B408" t="str">
        <f>VLOOKUP(A408,'Remote work mental helath'!$A$2:$T$1001,12,)</f>
        <v>None</v>
      </c>
      <c r="C408" t="str">
        <f>VLOOKUP(A408,'Remote work mental helath'!$A$2:$T$1001,11,)</f>
        <v>High</v>
      </c>
      <c r="D408">
        <f>VLOOKUP('Mental Helath'!A408,'Remote work mental helath'!$A$2:$T$1001,10,)</f>
        <v>3</v>
      </c>
      <c r="E408" t="str">
        <f>VLOOKUP(A408,'Remote work mental helath'!A408:T1407,19,FALSE)</f>
        <v>Average</v>
      </c>
      <c r="F408" t="str">
        <f>VLOOKUP(A408,'Remote work mental helath'!$A$2:$T$1001,18,)</f>
        <v>None</v>
      </c>
      <c r="G408">
        <f>VLOOKUP(A408,'Remote work mental helath'!$A$2:$T$1001,15,FALSE)</f>
        <v>3</v>
      </c>
      <c r="H408" t="str">
        <f>VLOOKUP(A408,'Remote work mental helath'!$A$2:$T$1001,14,)</f>
        <v>Decrease</v>
      </c>
      <c r="I408" t="str">
        <f>VLOOKUP(A408,'Remote work mental helath'!$A$2:$T$1001,16,)</f>
        <v>Satisfied</v>
      </c>
      <c r="J408" t="str">
        <f>VLOOKUP(A408,'Remote work mental helath'!$A$2:$T$1001,13,)</f>
        <v>Yes</v>
      </c>
      <c r="K408">
        <f>VLOOKUP(A408,'Remote work mental helath'!$A$2:$T$1001,17,FALSE)</f>
        <v>3</v>
      </c>
    </row>
    <row r="409" spans="1:11" x14ac:dyDescent="0.3">
      <c r="A409" t="s">
        <v>458</v>
      </c>
      <c r="B409" t="str">
        <f>VLOOKUP(A409,'Remote work mental helath'!$A$2:$T$1001,12,)</f>
        <v>Burnout</v>
      </c>
      <c r="C409" t="str">
        <f>VLOOKUP(A409,'Remote work mental helath'!$A$2:$T$1001,11,)</f>
        <v>Low</v>
      </c>
      <c r="D409">
        <f>VLOOKUP('Mental Helath'!A409,'Remote work mental helath'!$A$2:$T$1001,10,)</f>
        <v>4</v>
      </c>
      <c r="E409" t="str">
        <f>VLOOKUP(A409,'Remote work mental helath'!A409:T1408,19,FALSE)</f>
        <v>Poor</v>
      </c>
      <c r="F409" t="str">
        <f>VLOOKUP(A409,'Remote work mental helath'!$A$2:$T$1001,18,)</f>
        <v>Daily</v>
      </c>
      <c r="G409">
        <f>VLOOKUP(A409,'Remote work mental helath'!$A$2:$T$1001,15,FALSE)</f>
        <v>2</v>
      </c>
      <c r="H409" t="str">
        <f>VLOOKUP(A409,'Remote work mental helath'!$A$2:$T$1001,14,)</f>
        <v>Decrease</v>
      </c>
      <c r="I409" t="str">
        <f>VLOOKUP(A409,'Remote work mental helath'!$A$2:$T$1001,16,)</f>
        <v>Satisfied</v>
      </c>
      <c r="J409" t="str">
        <f>VLOOKUP(A409,'Remote work mental helath'!$A$2:$T$1001,13,)</f>
        <v>No</v>
      </c>
      <c r="K409">
        <f>VLOOKUP(A409,'Remote work mental helath'!$A$2:$T$1001,17,FALSE)</f>
        <v>1</v>
      </c>
    </row>
    <row r="410" spans="1:11" x14ac:dyDescent="0.3">
      <c r="A410" t="s">
        <v>459</v>
      </c>
      <c r="B410" t="str">
        <f>VLOOKUP(A410,'Remote work mental helath'!$A$2:$T$1001,12,)</f>
        <v>None</v>
      </c>
      <c r="C410" t="str">
        <f>VLOOKUP(A410,'Remote work mental helath'!$A$2:$T$1001,11,)</f>
        <v>Low</v>
      </c>
      <c r="D410">
        <f>VLOOKUP('Mental Helath'!A410,'Remote work mental helath'!$A$2:$T$1001,10,)</f>
        <v>1</v>
      </c>
      <c r="E410" t="str">
        <f>VLOOKUP(A410,'Remote work mental helath'!A410:T1409,19,FALSE)</f>
        <v>Poor</v>
      </c>
      <c r="F410" t="str">
        <f>VLOOKUP(A410,'Remote work mental helath'!$A$2:$T$1001,18,)</f>
        <v>Weekly</v>
      </c>
      <c r="G410">
        <f>VLOOKUP(A410,'Remote work mental helath'!$A$2:$T$1001,15,FALSE)</f>
        <v>5</v>
      </c>
      <c r="H410" t="str">
        <f>VLOOKUP(A410,'Remote work mental helath'!$A$2:$T$1001,14,)</f>
        <v>Decrease</v>
      </c>
      <c r="I410" t="str">
        <f>VLOOKUP(A410,'Remote work mental helath'!$A$2:$T$1001,16,)</f>
        <v>Satisfied</v>
      </c>
      <c r="J410" t="str">
        <f>VLOOKUP(A410,'Remote work mental helath'!$A$2:$T$1001,13,)</f>
        <v>No</v>
      </c>
      <c r="K410">
        <f>VLOOKUP(A410,'Remote work mental helath'!$A$2:$T$1001,17,FALSE)</f>
        <v>5</v>
      </c>
    </row>
    <row r="411" spans="1:11" x14ac:dyDescent="0.3">
      <c r="A411" t="s">
        <v>460</v>
      </c>
      <c r="B411" t="str">
        <f>VLOOKUP(A411,'Remote work mental helath'!$A$2:$T$1001,12,)</f>
        <v>Burnout</v>
      </c>
      <c r="C411" t="str">
        <f>VLOOKUP(A411,'Remote work mental helath'!$A$2:$T$1001,11,)</f>
        <v>Medium</v>
      </c>
      <c r="D411">
        <f>VLOOKUP('Mental Helath'!A411,'Remote work mental helath'!$A$2:$T$1001,10,)</f>
        <v>2</v>
      </c>
      <c r="E411" t="str">
        <f>VLOOKUP(A411,'Remote work mental helath'!A411:T1410,19,FALSE)</f>
        <v>Good</v>
      </c>
      <c r="F411" t="str">
        <f>VLOOKUP(A411,'Remote work mental helath'!$A$2:$T$1001,18,)</f>
        <v>Weekly</v>
      </c>
      <c r="G411">
        <f>VLOOKUP(A411,'Remote work mental helath'!$A$2:$T$1001,15,FALSE)</f>
        <v>3</v>
      </c>
      <c r="H411" t="str">
        <f>VLOOKUP(A411,'Remote work mental helath'!$A$2:$T$1001,14,)</f>
        <v>No Change</v>
      </c>
      <c r="I411" t="str">
        <f>VLOOKUP(A411,'Remote work mental helath'!$A$2:$T$1001,16,)</f>
        <v>Unsatisfied</v>
      </c>
      <c r="J411" t="str">
        <f>VLOOKUP(A411,'Remote work mental helath'!$A$2:$T$1001,13,)</f>
        <v>No</v>
      </c>
      <c r="K411">
        <f>VLOOKUP(A411,'Remote work mental helath'!$A$2:$T$1001,17,FALSE)</f>
        <v>3</v>
      </c>
    </row>
    <row r="412" spans="1:11" x14ac:dyDescent="0.3">
      <c r="A412" t="s">
        <v>461</v>
      </c>
      <c r="B412" t="str">
        <f>VLOOKUP(A412,'Remote work mental helath'!$A$2:$T$1001,12,)</f>
        <v>None</v>
      </c>
      <c r="C412" t="str">
        <f>VLOOKUP(A412,'Remote work mental helath'!$A$2:$T$1001,11,)</f>
        <v>Medium</v>
      </c>
      <c r="D412">
        <f>VLOOKUP('Mental Helath'!A412,'Remote work mental helath'!$A$2:$T$1001,10,)</f>
        <v>2</v>
      </c>
      <c r="E412" t="str">
        <f>VLOOKUP(A412,'Remote work mental helath'!A412:T1411,19,FALSE)</f>
        <v>Good</v>
      </c>
      <c r="F412" t="str">
        <f>VLOOKUP(A412,'Remote work mental helath'!$A$2:$T$1001,18,)</f>
        <v>Daily</v>
      </c>
      <c r="G412">
        <f>VLOOKUP(A412,'Remote work mental helath'!$A$2:$T$1001,15,FALSE)</f>
        <v>4</v>
      </c>
      <c r="H412" t="str">
        <f>VLOOKUP(A412,'Remote work mental helath'!$A$2:$T$1001,14,)</f>
        <v>No Change</v>
      </c>
      <c r="I412" t="str">
        <f>VLOOKUP(A412,'Remote work mental helath'!$A$2:$T$1001,16,)</f>
        <v>Unsatisfied</v>
      </c>
      <c r="J412" t="str">
        <f>VLOOKUP(A412,'Remote work mental helath'!$A$2:$T$1001,13,)</f>
        <v>No</v>
      </c>
      <c r="K412">
        <f>VLOOKUP(A412,'Remote work mental helath'!$A$2:$T$1001,17,FALSE)</f>
        <v>4</v>
      </c>
    </row>
    <row r="413" spans="1:11" x14ac:dyDescent="0.3">
      <c r="A413" t="s">
        <v>462</v>
      </c>
      <c r="B413" t="str">
        <f>VLOOKUP(A413,'Remote work mental helath'!$A$2:$T$1001,12,)</f>
        <v>Anxiety</v>
      </c>
      <c r="C413" t="str">
        <f>VLOOKUP(A413,'Remote work mental helath'!$A$2:$T$1001,11,)</f>
        <v>Medium</v>
      </c>
      <c r="D413">
        <f>VLOOKUP('Mental Helath'!A413,'Remote work mental helath'!$A$2:$T$1001,10,)</f>
        <v>5</v>
      </c>
      <c r="E413" t="str">
        <f>VLOOKUP(A413,'Remote work mental helath'!A413:T1412,19,FALSE)</f>
        <v>Good</v>
      </c>
      <c r="F413" t="str">
        <f>VLOOKUP(A413,'Remote work mental helath'!$A$2:$T$1001,18,)</f>
        <v>Daily</v>
      </c>
      <c r="G413">
        <f>VLOOKUP(A413,'Remote work mental helath'!$A$2:$T$1001,15,FALSE)</f>
        <v>5</v>
      </c>
      <c r="H413" t="str">
        <f>VLOOKUP(A413,'Remote work mental helath'!$A$2:$T$1001,14,)</f>
        <v>Decrease</v>
      </c>
      <c r="I413" t="str">
        <f>VLOOKUP(A413,'Remote work mental helath'!$A$2:$T$1001,16,)</f>
        <v>Unsatisfied</v>
      </c>
      <c r="J413" t="str">
        <f>VLOOKUP(A413,'Remote work mental helath'!$A$2:$T$1001,13,)</f>
        <v>Yes</v>
      </c>
      <c r="K413">
        <f>VLOOKUP(A413,'Remote work mental helath'!$A$2:$T$1001,17,FALSE)</f>
        <v>2</v>
      </c>
    </row>
    <row r="414" spans="1:11" x14ac:dyDescent="0.3">
      <c r="A414" t="s">
        <v>463</v>
      </c>
      <c r="B414" t="str">
        <f>VLOOKUP(A414,'Remote work mental helath'!$A$2:$T$1001,12,)</f>
        <v>Burnout</v>
      </c>
      <c r="C414" t="str">
        <f>VLOOKUP(A414,'Remote work mental helath'!$A$2:$T$1001,11,)</f>
        <v>Medium</v>
      </c>
      <c r="D414">
        <f>VLOOKUP('Mental Helath'!A414,'Remote work mental helath'!$A$2:$T$1001,10,)</f>
        <v>1</v>
      </c>
      <c r="E414" t="str">
        <f>VLOOKUP(A414,'Remote work mental helath'!A414:T1413,19,FALSE)</f>
        <v>Average</v>
      </c>
      <c r="F414" t="str">
        <f>VLOOKUP(A414,'Remote work mental helath'!$A$2:$T$1001,18,)</f>
        <v>None</v>
      </c>
      <c r="G414">
        <f>VLOOKUP(A414,'Remote work mental helath'!$A$2:$T$1001,15,FALSE)</f>
        <v>2</v>
      </c>
      <c r="H414" t="str">
        <f>VLOOKUP(A414,'Remote work mental helath'!$A$2:$T$1001,14,)</f>
        <v>No Change</v>
      </c>
      <c r="I414" t="str">
        <f>VLOOKUP(A414,'Remote work mental helath'!$A$2:$T$1001,16,)</f>
        <v>Neutral</v>
      </c>
      <c r="J414" t="str">
        <f>VLOOKUP(A414,'Remote work mental helath'!$A$2:$T$1001,13,)</f>
        <v>Yes</v>
      </c>
      <c r="K414">
        <f>VLOOKUP(A414,'Remote work mental helath'!$A$2:$T$1001,17,FALSE)</f>
        <v>3</v>
      </c>
    </row>
    <row r="415" spans="1:11" x14ac:dyDescent="0.3">
      <c r="A415" t="s">
        <v>464</v>
      </c>
      <c r="B415" t="str">
        <f>VLOOKUP(A415,'Remote work mental helath'!$A$2:$T$1001,12,)</f>
        <v>Anxiety</v>
      </c>
      <c r="C415" t="str">
        <f>VLOOKUP(A415,'Remote work mental helath'!$A$2:$T$1001,11,)</f>
        <v>Medium</v>
      </c>
      <c r="D415">
        <f>VLOOKUP('Mental Helath'!A415,'Remote work mental helath'!$A$2:$T$1001,10,)</f>
        <v>1</v>
      </c>
      <c r="E415" t="str">
        <f>VLOOKUP(A415,'Remote work mental helath'!A415:T1414,19,FALSE)</f>
        <v>Average</v>
      </c>
      <c r="F415" t="str">
        <f>VLOOKUP(A415,'Remote work mental helath'!$A$2:$T$1001,18,)</f>
        <v>Weekly</v>
      </c>
      <c r="G415">
        <f>VLOOKUP(A415,'Remote work mental helath'!$A$2:$T$1001,15,FALSE)</f>
        <v>3</v>
      </c>
      <c r="H415" t="str">
        <f>VLOOKUP(A415,'Remote work mental helath'!$A$2:$T$1001,14,)</f>
        <v>Decrease</v>
      </c>
      <c r="I415" t="str">
        <f>VLOOKUP(A415,'Remote work mental helath'!$A$2:$T$1001,16,)</f>
        <v>Satisfied</v>
      </c>
      <c r="J415" t="str">
        <f>VLOOKUP(A415,'Remote work mental helath'!$A$2:$T$1001,13,)</f>
        <v>No</v>
      </c>
      <c r="K415">
        <f>VLOOKUP(A415,'Remote work mental helath'!$A$2:$T$1001,17,FALSE)</f>
        <v>1</v>
      </c>
    </row>
    <row r="416" spans="1:11" x14ac:dyDescent="0.3">
      <c r="A416" t="s">
        <v>465</v>
      </c>
      <c r="B416" t="str">
        <f>VLOOKUP(A416,'Remote work mental helath'!$A$2:$T$1001,12,)</f>
        <v>Burnout</v>
      </c>
      <c r="C416" t="str">
        <f>VLOOKUP(A416,'Remote work mental helath'!$A$2:$T$1001,11,)</f>
        <v>Medium</v>
      </c>
      <c r="D416">
        <f>VLOOKUP('Mental Helath'!A416,'Remote work mental helath'!$A$2:$T$1001,10,)</f>
        <v>3</v>
      </c>
      <c r="E416" t="str">
        <f>VLOOKUP(A416,'Remote work mental helath'!A416:T1415,19,FALSE)</f>
        <v>Poor</v>
      </c>
      <c r="F416" t="str">
        <f>VLOOKUP(A416,'Remote work mental helath'!$A$2:$T$1001,18,)</f>
        <v>Daily</v>
      </c>
      <c r="G416">
        <f>VLOOKUP(A416,'Remote work mental helath'!$A$2:$T$1001,15,FALSE)</f>
        <v>4</v>
      </c>
      <c r="H416" t="str">
        <f>VLOOKUP(A416,'Remote work mental helath'!$A$2:$T$1001,14,)</f>
        <v>Increase</v>
      </c>
      <c r="I416" t="str">
        <f>VLOOKUP(A416,'Remote work mental helath'!$A$2:$T$1001,16,)</f>
        <v>Satisfied</v>
      </c>
      <c r="J416" t="str">
        <f>VLOOKUP(A416,'Remote work mental helath'!$A$2:$T$1001,13,)</f>
        <v>No</v>
      </c>
      <c r="K416">
        <f>VLOOKUP(A416,'Remote work mental helath'!$A$2:$T$1001,17,FALSE)</f>
        <v>5</v>
      </c>
    </row>
    <row r="417" spans="1:11" x14ac:dyDescent="0.3">
      <c r="A417" t="s">
        <v>466</v>
      </c>
      <c r="B417" t="str">
        <f>VLOOKUP(A417,'Remote work mental helath'!$A$2:$T$1001,12,)</f>
        <v>Depression</v>
      </c>
      <c r="C417" t="str">
        <f>VLOOKUP(A417,'Remote work mental helath'!$A$2:$T$1001,11,)</f>
        <v>Low</v>
      </c>
      <c r="D417">
        <f>VLOOKUP('Mental Helath'!A417,'Remote work mental helath'!$A$2:$T$1001,10,)</f>
        <v>4</v>
      </c>
      <c r="E417" t="str">
        <f>VLOOKUP(A417,'Remote work mental helath'!A417:T1416,19,FALSE)</f>
        <v>Poor</v>
      </c>
      <c r="F417" t="str">
        <f>VLOOKUP(A417,'Remote work mental helath'!$A$2:$T$1001,18,)</f>
        <v>None</v>
      </c>
      <c r="G417">
        <f>VLOOKUP(A417,'Remote work mental helath'!$A$2:$T$1001,15,FALSE)</f>
        <v>4</v>
      </c>
      <c r="H417" t="str">
        <f>VLOOKUP(A417,'Remote work mental helath'!$A$2:$T$1001,14,)</f>
        <v>Decrease</v>
      </c>
      <c r="I417" t="str">
        <f>VLOOKUP(A417,'Remote work mental helath'!$A$2:$T$1001,16,)</f>
        <v>Satisfied</v>
      </c>
      <c r="J417" t="str">
        <f>VLOOKUP(A417,'Remote work mental helath'!$A$2:$T$1001,13,)</f>
        <v>No</v>
      </c>
      <c r="K417">
        <f>VLOOKUP(A417,'Remote work mental helath'!$A$2:$T$1001,17,FALSE)</f>
        <v>5</v>
      </c>
    </row>
    <row r="418" spans="1:11" x14ac:dyDescent="0.3">
      <c r="A418" t="s">
        <v>467</v>
      </c>
      <c r="B418" t="str">
        <f>VLOOKUP(A418,'Remote work mental helath'!$A$2:$T$1001,12,)</f>
        <v>Depression</v>
      </c>
      <c r="C418" t="str">
        <f>VLOOKUP(A418,'Remote work mental helath'!$A$2:$T$1001,11,)</f>
        <v>High</v>
      </c>
      <c r="D418">
        <f>VLOOKUP('Mental Helath'!A418,'Remote work mental helath'!$A$2:$T$1001,10,)</f>
        <v>4</v>
      </c>
      <c r="E418" t="str">
        <f>VLOOKUP(A418,'Remote work mental helath'!A418:T1417,19,FALSE)</f>
        <v>Good</v>
      </c>
      <c r="F418" t="str">
        <f>VLOOKUP(A418,'Remote work mental helath'!$A$2:$T$1001,18,)</f>
        <v>Daily</v>
      </c>
      <c r="G418">
        <f>VLOOKUP(A418,'Remote work mental helath'!$A$2:$T$1001,15,FALSE)</f>
        <v>2</v>
      </c>
      <c r="H418" t="str">
        <f>VLOOKUP(A418,'Remote work mental helath'!$A$2:$T$1001,14,)</f>
        <v>No Change</v>
      </c>
      <c r="I418" t="str">
        <f>VLOOKUP(A418,'Remote work mental helath'!$A$2:$T$1001,16,)</f>
        <v>Unsatisfied</v>
      </c>
      <c r="J418" t="str">
        <f>VLOOKUP(A418,'Remote work mental helath'!$A$2:$T$1001,13,)</f>
        <v>No</v>
      </c>
      <c r="K418">
        <f>VLOOKUP(A418,'Remote work mental helath'!$A$2:$T$1001,17,FALSE)</f>
        <v>3</v>
      </c>
    </row>
    <row r="419" spans="1:11" x14ac:dyDescent="0.3">
      <c r="A419" t="s">
        <v>468</v>
      </c>
      <c r="B419" t="str">
        <f>VLOOKUP(A419,'Remote work mental helath'!$A$2:$T$1001,12,)</f>
        <v>Burnout</v>
      </c>
      <c r="C419" t="str">
        <f>VLOOKUP(A419,'Remote work mental helath'!$A$2:$T$1001,11,)</f>
        <v>Medium</v>
      </c>
      <c r="D419">
        <f>VLOOKUP('Mental Helath'!A419,'Remote work mental helath'!$A$2:$T$1001,10,)</f>
        <v>2</v>
      </c>
      <c r="E419" t="str">
        <f>VLOOKUP(A419,'Remote work mental helath'!A419:T1418,19,FALSE)</f>
        <v>Poor</v>
      </c>
      <c r="F419" t="str">
        <f>VLOOKUP(A419,'Remote work mental helath'!$A$2:$T$1001,18,)</f>
        <v>Daily</v>
      </c>
      <c r="G419">
        <f>VLOOKUP(A419,'Remote work mental helath'!$A$2:$T$1001,15,FALSE)</f>
        <v>2</v>
      </c>
      <c r="H419" t="str">
        <f>VLOOKUP(A419,'Remote work mental helath'!$A$2:$T$1001,14,)</f>
        <v>Increase</v>
      </c>
      <c r="I419" t="str">
        <f>VLOOKUP(A419,'Remote work mental helath'!$A$2:$T$1001,16,)</f>
        <v>Unsatisfied</v>
      </c>
      <c r="J419" t="str">
        <f>VLOOKUP(A419,'Remote work mental helath'!$A$2:$T$1001,13,)</f>
        <v>No</v>
      </c>
      <c r="K419">
        <f>VLOOKUP(A419,'Remote work mental helath'!$A$2:$T$1001,17,FALSE)</f>
        <v>5</v>
      </c>
    </row>
    <row r="420" spans="1:11" x14ac:dyDescent="0.3">
      <c r="A420" t="s">
        <v>469</v>
      </c>
      <c r="B420" t="str">
        <f>VLOOKUP(A420,'Remote work mental helath'!$A$2:$T$1001,12,)</f>
        <v>Depression</v>
      </c>
      <c r="C420" t="str">
        <f>VLOOKUP(A420,'Remote work mental helath'!$A$2:$T$1001,11,)</f>
        <v>High</v>
      </c>
      <c r="D420">
        <f>VLOOKUP('Mental Helath'!A420,'Remote work mental helath'!$A$2:$T$1001,10,)</f>
        <v>4</v>
      </c>
      <c r="E420" t="str">
        <f>VLOOKUP(A420,'Remote work mental helath'!A420:T1419,19,FALSE)</f>
        <v>Good</v>
      </c>
      <c r="F420" t="str">
        <f>VLOOKUP(A420,'Remote work mental helath'!$A$2:$T$1001,18,)</f>
        <v>Weekly</v>
      </c>
      <c r="G420">
        <f>VLOOKUP(A420,'Remote work mental helath'!$A$2:$T$1001,15,FALSE)</f>
        <v>4</v>
      </c>
      <c r="H420" t="str">
        <f>VLOOKUP(A420,'Remote work mental helath'!$A$2:$T$1001,14,)</f>
        <v>No Change</v>
      </c>
      <c r="I420" t="str">
        <f>VLOOKUP(A420,'Remote work mental helath'!$A$2:$T$1001,16,)</f>
        <v>Neutral</v>
      </c>
      <c r="J420" t="str">
        <f>VLOOKUP(A420,'Remote work mental helath'!$A$2:$T$1001,13,)</f>
        <v>No</v>
      </c>
      <c r="K420">
        <f>VLOOKUP(A420,'Remote work mental helath'!$A$2:$T$1001,17,FALSE)</f>
        <v>4</v>
      </c>
    </row>
    <row r="421" spans="1:11" x14ac:dyDescent="0.3">
      <c r="A421" t="s">
        <v>470</v>
      </c>
      <c r="B421" t="str">
        <f>VLOOKUP(A421,'Remote work mental helath'!$A$2:$T$1001,12,)</f>
        <v>Anxiety</v>
      </c>
      <c r="C421" t="str">
        <f>VLOOKUP(A421,'Remote work mental helath'!$A$2:$T$1001,11,)</f>
        <v>Medium</v>
      </c>
      <c r="D421">
        <f>VLOOKUP('Mental Helath'!A421,'Remote work mental helath'!$A$2:$T$1001,10,)</f>
        <v>2</v>
      </c>
      <c r="E421" t="str">
        <f>VLOOKUP(A421,'Remote work mental helath'!A421:T1420,19,FALSE)</f>
        <v>Poor</v>
      </c>
      <c r="F421" t="str">
        <f>VLOOKUP(A421,'Remote work mental helath'!$A$2:$T$1001,18,)</f>
        <v>Daily</v>
      </c>
      <c r="G421">
        <f>VLOOKUP(A421,'Remote work mental helath'!$A$2:$T$1001,15,FALSE)</f>
        <v>2</v>
      </c>
      <c r="H421" t="str">
        <f>VLOOKUP(A421,'Remote work mental helath'!$A$2:$T$1001,14,)</f>
        <v>No Change</v>
      </c>
      <c r="I421" t="str">
        <f>VLOOKUP(A421,'Remote work mental helath'!$A$2:$T$1001,16,)</f>
        <v>Neutral</v>
      </c>
      <c r="J421" t="str">
        <f>VLOOKUP(A421,'Remote work mental helath'!$A$2:$T$1001,13,)</f>
        <v>Yes</v>
      </c>
      <c r="K421">
        <f>VLOOKUP(A421,'Remote work mental helath'!$A$2:$T$1001,17,FALSE)</f>
        <v>1</v>
      </c>
    </row>
    <row r="422" spans="1:11" x14ac:dyDescent="0.3">
      <c r="A422" t="s">
        <v>471</v>
      </c>
      <c r="B422" t="str">
        <f>VLOOKUP(A422,'Remote work mental helath'!$A$2:$T$1001,12,)</f>
        <v>Burnout</v>
      </c>
      <c r="C422" t="str">
        <f>VLOOKUP(A422,'Remote work mental helath'!$A$2:$T$1001,11,)</f>
        <v>Medium</v>
      </c>
      <c r="D422">
        <f>VLOOKUP('Mental Helath'!A422,'Remote work mental helath'!$A$2:$T$1001,10,)</f>
        <v>1</v>
      </c>
      <c r="E422" t="str">
        <f>VLOOKUP(A422,'Remote work mental helath'!A422:T1421,19,FALSE)</f>
        <v>Poor</v>
      </c>
      <c r="F422" t="str">
        <f>VLOOKUP(A422,'Remote work mental helath'!$A$2:$T$1001,18,)</f>
        <v>Weekly</v>
      </c>
      <c r="G422">
        <f>VLOOKUP(A422,'Remote work mental helath'!$A$2:$T$1001,15,FALSE)</f>
        <v>4</v>
      </c>
      <c r="H422" t="str">
        <f>VLOOKUP(A422,'Remote work mental helath'!$A$2:$T$1001,14,)</f>
        <v>Decrease</v>
      </c>
      <c r="I422" t="str">
        <f>VLOOKUP(A422,'Remote work mental helath'!$A$2:$T$1001,16,)</f>
        <v>Satisfied</v>
      </c>
      <c r="J422" t="str">
        <f>VLOOKUP(A422,'Remote work mental helath'!$A$2:$T$1001,13,)</f>
        <v>Yes</v>
      </c>
      <c r="K422">
        <f>VLOOKUP(A422,'Remote work mental helath'!$A$2:$T$1001,17,FALSE)</f>
        <v>2</v>
      </c>
    </row>
    <row r="423" spans="1:11" x14ac:dyDescent="0.3">
      <c r="A423" t="s">
        <v>472</v>
      </c>
      <c r="B423" t="str">
        <f>VLOOKUP(A423,'Remote work mental helath'!$A$2:$T$1001,12,)</f>
        <v>None</v>
      </c>
      <c r="C423" t="str">
        <f>VLOOKUP(A423,'Remote work mental helath'!$A$2:$T$1001,11,)</f>
        <v>Medium</v>
      </c>
      <c r="D423">
        <f>VLOOKUP('Mental Helath'!A423,'Remote work mental helath'!$A$2:$T$1001,10,)</f>
        <v>1</v>
      </c>
      <c r="E423" t="str">
        <f>VLOOKUP(A423,'Remote work mental helath'!A423:T1422,19,FALSE)</f>
        <v>Good</v>
      </c>
      <c r="F423" t="str">
        <f>VLOOKUP(A423,'Remote work mental helath'!$A$2:$T$1001,18,)</f>
        <v>None</v>
      </c>
      <c r="G423">
        <f>VLOOKUP(A423,'Remote work mental helath'!$A$2:$T$1001,15,FALSE)</f>
        <v>3</v>
      </c>
      <c r="H423" t="str">
        <f>VLOOKUP(A423,'Remote work mental helath'!$A$2:$T$1001,14,)</f>
        <v>Increase</v>
      </c>
      <c r="I423" t="str">
        <f>VLOOKUP(A423,'Remote work mental helath'!$A$2:$T$1001,16,)</f>
        <v>Satisfied</v>
      </c>
      <c r="J423" t="str">
        <f>VLOOKUP(A423,'Remote work mental helath'!$A$2:$T$1001,13,)</f>
        <v>Yes</v>
      </c>
      <c r="K423">
        <f>VLOOKUP(A423,'Remote work mental helath'!$A$2:$T$1001,17,FALSE)</f>
        <v>3</v>
      </c>
    </row>
    <row r="424" spans="1:11" x14ac:dyDescent="0.3">
      <c r="A424" t="s">
        <v>473</v>
      </c>
      <c r="B424" t="str">
        <f>VLOOKUP(A424,'Remote work mental helath'!$A$2:$T$1001,12,)</f>
        <v>None</v>
      </c>
      <c r="C424" t="str">
        <f>VLOOKUP(A424,'Remote work mental helath'!$A$2:$T$1001,11,)</f>
        <v>High</v>
      </c>
      <c r="D424">
        <f>VLOOKUP('Mental Helath'!A424,'Remote work mental helath'!$A$2:$T$1001,10,)</f>
        <v>2</v>
      </c>
      <c r="E424" t="str">
        <f>VLOOKUP(A424,'Remote work mental helath'!A424:T1423,19,FALSE)</f>
        <v>Average</v>
      </c>
      <c r="F424" t="str">
        <f>VLOOKUP(A424,'Remote work mental helath'!$A$2:$T$1001,18,)</f>
        <v>None</v>
      </c>
      <c r="G424">
        <f>VLOOKUP(A424,'Remote work mental helath'!$A$2:$T$1001,15,FALSE)</f>
        <v>2</v>
      </c>
      <c r="H424" t="str">
        <f>VLOOKUP(A424,'Remote work mental helath'!$A$2:$T$1001,14,)</f>
        <v>Decrease</v>
      </c>
      <c r="I424" t="str">
        <f>VLOOKUP(A424,'Remote work mental helath'!$A$2:$T$1001,16,)</f>
        <v>Unsatisfied</v>
      </c>
      <c r="J424" t="str">
        <f>VLOOKUP(A424,'Remote work mental helath'!$A$2:$T$1001,13,)</f>
        <v>No</v>
      </c>
      <c r="K424">
        <f>VLOOKUP(A424,'Remote work mental helath'!$A$2:$T$1001,17,FALSE)</f>
        <v>4</v>
      </c>
    </row>
    <row r="425" spans="1:11" x14ac:dyDescent="0.3">
      <c r="A425" t="s">
        <v>474</v>
      </c>
      <c r="B425" t="str">
        <f>VLOOKUP(A425,'Remote work mental helath'!$A$2:$T$1001,12,)</f>
        <v>Depression</v>
      </c>
      <c r="C425" t="str">
        <f>VLOOKUP(A425,'Remote work mental helath'!$A$2:$T$1001,11,)</f>
        <v>Medium</v>
      </c>
      <c r="D425">
        <f>VLOOKUP('Mental Helath'!A425,'Remote work mental helath'!$A$2:$T$1001,10,)</f>
        <v>5</v>
      </c>
      <c r="E425" t="str">
        <f>VLOOKUP(A425,'Remote work mental helath'!A425:T1424,19,FALSE)</f>
        <v>Poor</v>
      </c>
      <c r="F425" t="str">
        <f>VLOOKUP(A425,'Remote work mental helath'!$A$2:$T$1001,18,)</f>
        <v>Daily</v>
      </c>
      <c r="G425">
        <f>VLOOKUP(A425,'Remote work mental helath'!$A$2:$T$1001,15,FALSE)</f>
        <v>1</v>
      </c>
      <c r="H425" t="str">
        <f>VLOOKUP(A425,'Remote work mental helath'!$A$2:$T$1001,14,)</f>
        <v>Increase</v>
      </c>
      <c r="I425" t="str">
        <f>VLOOKUP(A425,'Remote work mental helath'!$A$2:$T$1001,16,)</f>
        <v>Neutral</v>
      </c>
      <c r="J425" t="str">
        <f>VLOOKUP(A425,'Remote work mental helath'!$A$2:$T$1001,13,)</f>
        <v>Yes</v>
      </c>
      <c r="K425">
        <f>VLOOKUP(A425,'Remote work mental helath'!$A$2:$T$1001,17,FALSE)</f>
        <v>1</v>
      </c>
    </row>
    <row r="426" spans="1:11" x14ac:dyDescent="0.3">
      <c r="A426" t="s">
        <v>475</v>
      </c>
      <c r="B426" t="str">
        <f>VLOOKUP(A426,'Remote work mental helath'!$A$2:$T$1001,12,)</f>
        <v>Anxiety</v>
      </c>
      <c r="C426" t="str">
        <f>VLOOKUP(A426,'Remote work mental helath'!$A$2:$T$1001,11,)</f>
        <v>Medium</v>
      </c>
      <c r="D426">
        <f>VLOOKUP('Mental Helath'!A426,'Remote work mental helath'!$A$2:$T$1001,10,)</f>
        <v>2</v>
      </c>
      <c r="E426" t="str">
        <f>VLOOKUP(A426,'Remote work mental helath'!A426:T1425,19,FALSE)</f>
        <v>Good</v>
      </c>
      <c r="F426" t="str">
        <f>VLOOKUP(A426,'Remote work mental helath'!$A$2:$T$1001,18,)</f>
        <v>Weekly</v>
      </c>
      <c r="G426">
        <f>VLOOKUP(A426,'Remote work mental helath'!$A$2:$T$1001,15,FALSE)</f>
        <v>2</v>
      </c>
      <c r="H426" t="str">
        <f>VLOOKUP(A426,'Remote work mental helath'!$A$2:$T$1001,14,)</f>
        <v>Increase</v>
      </c>
      <c r="I426" t="str">
        <f>VLOOKUP(A426,'Remote work mental helath'!$A$2:$T$1001,16,)</f>
        <v>Neutral</v>
      </c>
      <c r="J426" t="str">
        <f>VLOOKUP(A426,'Remote work mental helath'!$A$2:$T$1001,13,)</f>
        <v>Yes</v>
      </c>
      <c r="K426">
        <f>VLOOKUP(A426,'Remote work mental helath'!$A$2:$T$1001,17,FALSE)</f>
        <v>5</v>
      </c>
    </row>
    <row r="427" spans="1:11" x14ac:dyDescent="0.3">
      <c r="A427" t="s">
        <v>476</v>
      </c>
      <c r="B427" t="str">
        <f>VLOOKUP(A427,'Remote work mental helath'!$A$2:$T$1001,12,)</f>
        <v>Depression</v>
      </c>
      <c r="C427" t="str">
        <f>VLOOKUP(A427,'Remote work mental helath'!$A$2:$T$1001,11,)</f>
        <v>Medium</v>
      </c>
      <c r="D427">
        <f>VLOOKUP('Mental Helath'!A427,'Remote work mental helath'!$A$2:$T$1001,10,)</f>
        <v>1</v>
      </c>
      <c r="E427" t="str">
        <f>VLOOKUP(A427,'Remote work mental helath'!A427:T1426,19,FALSE)</f>
        <v>Average</v>
      </c>
      <c r="F427" t="str">
        <f>VLOOKUP(A427,'Remote work mental helath'!$A$2:$T$1001,18,)</f>
        <v>Daily</v>
      </c>
      <c r="G427">
        <f>VLOOKUP(A427,'Remote work mental helath'!$A$2:$T$1001,15,FALSE)</f>
        <v>1</v>
      </c>
      <c r="H427" t="str">
        <f>VLOOKUP(A427,'Remote work mental helath'!$A$2:$T$1001,14,)</f>
        <v>Decrease</v>
      </c>
      <c r="I427" t="str">
        <f>VLOOKUP(A427,'Remote work mental helath'!$A$2:$T$1001,16,)</f>
        <v>Neutral</v>
      </c>
      <c r="J427" t="str">
        <f>VLOOKUP(A427,'Remote work mental helath'!$A$2:$T$1001,13,)</f>
        <v>Yes</v>
      </c>
      <c r="K427">
        <f>VLOOKUP(A427,'Remote work mental helath'!$A$2:$T$1001,17,FALSE)</f>
        <v>1</v>
      </c>
    </row>
    <row r="428" spans="1:11" x14ac:dyDescent="0.3">
      <c r="A428" t="s">
        <v>477</v>
      </c>
      <c r="B428" t="str">
        <f>VLOOKUP(A428,'Remote work mental helath'!$A$2:$T$1001,12,)</f>
        <v>Burnout</v>
      </c>
      <c r="C428" t="str">
        <f>VLOOKUP(A428,'Remote work mental helath'!$A$2:$T$1001,11,)</f>
        <v>Low</v>
      </c>
      <c r="D428">
        <f>VLOOKUP('Mental Helath'!A428,'Remote work mental helath'!$A$2:$T$1001,10,)</f>
        <v>2</v>
      </c>
      <c r="E428" t="str">
        <f>VLOOKUP(A428,'Remote work mental helath'!A428:T1427,19,FALSE)</f>
        <v>Average</v>
      </c>
      <c r="F428" t="str">
        <f>VLOOKUP(A428,'Remote work mental helath'!$A$2:$T$1001,18,)</f>
        <v>Weekly</v>
      </c>
      <c r="G428">
        <f>VLOOKUP(A428,'Remote work mental helath'!$A$2:$T$1001,15,FALSE)</f>
        <v>2</v>
      </c>
      <c r="H428" t="str">
        <f>VLOOKUP(A428,'Remote work mental helath'!$A$2:$T$1001,14,)</f>
        <v>Increase</v>
      </c>
      <c r="I428" t="str">
        <f>VLOOKUP(A428,'Remote work mental helath'!$A$2:$T$1001,16,)</f>
        <v>Neutral</v>
      </c>
      <c r="J428" t="str">
        <f>VLOOKUP(A428,'Remote work mental helath'!$A$2:$T$1001,13,)</f>
        <v>Yes</v>
      </c>
      <c r="K428">
        <f>VLOOKUP(A428,'Remote work mental helath'!$A$2:$T$1001,17,FALSE)</f>
        <v>3</v>
      </c>
    </row>
    <row r="429" spans="1:11" x14ac:dyDescent="0.3">
      <c r="A429" t="s">
        <v>478</v>
      </c>
      <c r="B429" t="str">
        <f>VLOOKUP(A429,'Remote work mental helath'!$A$2:$T$1001,12,)</f>
        <v>Anxiety</v>
      </c>
      <c r="C429" t="str">
        <f>VLOOKUP(A429,'Remote work mental helath'!$A$2:$T$1001,11,)</f>
        <v>Low</v>
      </c>
      <c r="D429">
        <f>VLOOKUP('Mental Helath'!A429,'Remote work mental helath'!$A$2:$T$1001,10,)</f>
        <v>4</v>
      </c>
      <c r="E429" t="str">
        <f>VLOOKUP(A429,'Remote work mental helath'!A429:T1428,19,FALSE)</f>
        <v>Average</v>
      </c>
      <c r="F429" t="str">
        <f>VLOOKUP(A429,'Remote work mental helath'!$A$2:$T$1001,18,)</f>
        <v>None</v>
      </c>
      <c r="G429">
        <f>VLOOKUP(A429,'Remote work mental helath'!$A$2:$T$1001,15,FALSE)</f>
        <v>1</v>
      </c>
      <c r="H429" t="str">
        <f>VLOOKUP(A429,'Remote work mental helath'!$A$2:$T$1001,14,)</f>
        <v>No Change</v>
      </c>
      <c r="I429" t="str">
        <f>VLOOKUP(A429,'Remote work mental helath'!$A$2:$T$1001,16,)</f>
        <v>Satisfied</v>
      </c>
      <c r="J429" t="str">
        <f>VLOOKUP(A429,'Remote work mental helath'!$A$2:$T$1001,13,)</f>
        <v>Yes</v>
      </c>
      <c r="K429">
        <f>VLOOKUP(A429,'Remote work mental helath'!$A$2:$T$1001,17,FALSE)</f>
        <v>5</v>
      </c>
    </row>
    <row r="430" spans="1:11" x14ac:dyDescent="0.3">
      <c r="A430" t="s">
        <v>479</v>
      </c>
      <c r="B430" t="str">
        <f>VLOOKUP(A430,'Remote work mental helath'!$A$2:$T$1001,12,)</f>
        <v>Anxiety</v>
      </c>
      <c r="C430" t="str">
        <f>VLOOKUP(A430,'Remote work mental helath'!$A$2:$T$1001,11,)</f>
        <v>High</v>
      </c>
      <c r="D430">
        <f>VLOOKUP('Mental Helath'!A430,'Remote work mental helath'!$A$2:$T$1001,10,)</f>
        <v>1</v>
      </c>
      <c r="E430" t="str">
        <f>VLOOKUP(A430,'Remote work mental helath'!A430:T1429,19,FALSE)</f>
        <v>Average</v>
      </c>
      <c r="F430" t="str">
        <f>VLOOKUP(A430,'Remote work mental helath'!$A$2:$T$1001,18,)</f>
        <v>Daily</v>
      </c>
      <c r="G430">
        <f>VLOOKUP(A430,'Remote work mental helath'!$A$2:$T$1001,15,FALSE)</f>
        <v>3</v>
      </c>
      <c r="H430" t="str">
        <f>VLOOKUP(A430,'Remote work mental helath'!$A$2:$T$1001,14,)</f>
        <v>No Change</v>
      </c>
      <c r="I430" t="str">
        <f>VLOOKUP(A430,'Remote work mental helath'!$A$2:$T$1001,16,)</f>
        <v>Neutral</v>
      </c>
      <c r="J430" t="str">
        <f>VLOOKUP(A430,'Remote work mental helath'!$A$2:$T$1001,13,)</f>
        <v>Yes</v>
      </c>
      <c r="K430">
        <f>VLOOKUP(A430,'Remote work mental helath'!$A$2:$T$1001,17,FALSE)</f>
        <v>1</v>
      </c>
    </row>
    <row r="431" spans="1:11" x14ac:dyDescent="0.3">
      <c r="A431" t="s">
        <v>480</v>
      </c>
      <c r="B431" t="str">
        <f>VLOOKUP(A431,'Remote work mental helath'!$A$2:$T$1001,12,)</f>
        <v>Anxiety</v>
      </c>
      <c r="C431" t="str">
        <f>VLOOKUP(A431,'Remote work mental helath'!$A$2:$T$1001,11,)</f>
        <v>High</v>
      </c>
      <c r="D431">
        <f>VLOOKUP('Mental Helath'!A431,'Remote work mental helath'!$A$2:$T$1001,10,)</f>
        <v>5</v>
      </c>
      <c r="E431" t="str">
        <f>VLOOKUP(A431,'Remote work mental helath'!A431:T1430,19,FALSE)</f>
        <v>Poor</v>
      </c>
      <c r="F431" t="str">
        <f>VLOOKUP(A431,'Remote work mental helath'!$A$2:$T$1001,18,)</f>
        <v>Daily</v>
      </c>
      <c r="G431">
        <f>VLOOKUP(A431,'Remote work mental helath'!$A$2:$T$1001,15,FALSE)</f>
        <v>5</v>
      </c>
      <c r="H431" t="str">
        <f>VLOOKUP(A431,'Remote work mental helath'!$A$2:$T$1001,14,)</f>
        <v>Increase</v>
      </c>
      <c r="I431" t="str">
        <f>VLOOKUP(A431,'Remote work mental helath'!$A$2:$T$1001,16,)</f>
        <v>Satisfied</v>
      </c>
      <c r="J431" t="str">
        <f>VLOOKUP(A431,'Remote work mental helath'!$A$2:$T$1001,13,)</f>
        <v>Yes</v>
      </c>
      <c r="K431">
        <f>VLOOKUP(A431,'Remote work mental helath'!$A$2:$T$1001,17,FALSE)</f>
        <v>5</v>
      </c>
    </row>
    <row r="432" spans="1:11" x14ac:dyDescent="0.3">
      <c r="A432" t="s">
        <v>481</v>
      </c>
      <c r="B432" t="str">
        <f>VLOOKUP(A432,'Remote work mental helath'!$A$2:$T$1001,12,)</f>
        <v>None</v>
      </c>
      <c r="C432" t="str">
        <f>VLOOKUP(A432,'Remote work mental helath'!$A$2:$T$1001,11,)</f>
        <v>High</v>
      </c>
      <c r="D432">
        <f>VLOOKUP('Mental Helath'!A432,'Remote work mental helath'!$A$2:$T$1001,10,)</f>
        <v>3</v>
      </c>
      <c r="E432" t="str">
        <f>VLOOKUP(A432,'Remote work mental helath'!A432:T1431,19,FALSE)</f>
        <v>Average</v>
      </c>
      <c r="F432" t="str">
        <f>VLOOKUP(A432,'Remote work mental helath'!$A$2:$T$1001,18,)</f>
        <v>None</v>
      </c>
      <c r="G432">
        <f>VLOOKUP(A432,'Remote work mental helath'!$A$2:$T$1001,15,FALSE)</f>
        <v>2</v>
      </c>
      <c r="H432" t="str">
        <f>VLOOKUP(A432,'Remote work mental helath'!$A$2:$T$1001,14,)</f>
        <v>Increase</v>
      </c>
      <c r="I432" t="str">
        <f>VLOOKUP(A432,'Remote work mental helath'!$A$2:$T$1001,16,)</f>
        <v>Unsatisfied</v>
      </c>
      <c r="J432" t="str">
        <f>VLOOKUP(A432,'Remote work mental helath'!$A$2:$T$1001,13,)</f>
        <v>Yes</v>
      </c>
      <c r="K432">
        <f>VLOOKUP(A432,'Remote work mental helath'!$A$2:$T$1001,17,FALSE)</f>
        <v>2</v>
      </c>
    </row>
    <row r="433" spans="1:11" x14ac:dyDescent="0.3">
      <c r="A433" t="s">
        <v>482</v>
      </c>
      <c r="B433" t="str">
        <f>VLOOKUP(A433,'Remote work mental helath'!$A$2:$T$1001,12,)</f>
        <v>Depression</v>
      </c>
      <c r="C433" t="str">
        <f>VLOOKUP(A433,'Remote work mental helath'!$A$2:$T$1001,11,)</f>
        <v>High</v>
      </c>
      <c r="D433">
        <f>VLOOKUP('Mental Helath'!A433,'Remote work mental helath'!$A$2:$T$1001,10,)</f>
        <v>3</v>
      </c>
      <c r="E433" t="str">
        <f>VLOOKUP(A433,'Remote work mental helath'!A433:T1432,19,FALSE)</f>
        <v>Poor</v>
      </c>
      <c r="F433" t="str">
        <f>VLOOKUP(A433,'Remote work mental helath'!$A$2:$T$1001,18,)</f>
        <v>Daily</v>
      </c>
      <c r="G433">
        <f>VLOOKUP(A433,'Remote work mental helath'!$A$2:$T$1001,15,FALSE)</f>
        <v>1</v>
      </c>
      <c r="H433" t="str">
        <f>VLOOKUP(A433,'Remote work mental helath'!$A$2:$T$1001,14,)</f>
        <v>No Change</v>
      </c>
      <c r="I433" t="str">
        <f>VLOOKUP(A433,'Remote work mental helath'!$A$2:$T$1001,16,)</f>
        <v>Unsatisfied</v>
      </c>
      <c r="J433" t="str">
        <f>VLOOKUP(A433,'Remote work mental helath'!$A$2:$T$1001,13,)</f>
        <v>No</v>
      </c>
      <c r="K433">
        <f>VLOOKUP(A433,'Remote work mental helath'!$A$2:$T$1001,17,FALSE)</f>
        <v>1</v>
      </c>
    </row>
    <row r="434" spans="1:11" x14ac:dyDescent="0.3">
      <c r="A434" t="s">
        <v>483</v>
      </c>
      <c r="B434" t="str">
        <f>VLOOKUP(A434,'Remote work mental helath'!$A$2:$T$1001,12,)</f>
        <v>Burnout</v>
      </c>
      <c r="C434" t="str">
        <f>VLOOKUP(A434,'Remote work mental helath'!$A$2:$T$1001,11,)</f>
        <v>High</v>
      </c>
      <c r="D434">
        <f>VLOOKUP('Mental Helath'!A434,'Remote work mental helath'!$A$2:$T$1001,10,)</f>
        <v>5</v>
      </c>
      <c r="E434" t="str">
        <f>VLOOKUP(A434,'Remote work mental helath'!A434:T1433,19,FALSE)</f>
        <v>Poor</v>
      </c>
      <c r="F434" t="str">
        <f>VLOOKUP(A434,'Remote work mental helath'!$A$2:$T$1001,18,)</f>
        <v>Weekly</v>
      </c>
      <c r="G434">
        <f>VLOOKUP(A434,'Remote work mental helath'!$A$2:$T$1001,15,FALSE)</f>
        <v>1</v>
      </c>
      <c r="H434" t="str">
        <f>VLOOKUP(A434,'Remote work mental helath'!$A$2:$T$1001,14,)</f>
        <v>Decrease</v>
      </c>
      <c r="I434" t="str">
        <f>VLOOKUP(A434,'Remote work mental helath'!$A$2:$T$1001,16,)</f>
        <v>Neutral</v>
      </c>
      <c r="J434" t="str">
        <f>VLOOKUP(A434,'Remote work mental helath'!$A$2:$T$1001,13,)</f>
        <v>Yes</v>
      </c>
      <c r="K434">
        <f>VLOOKUP(A434,'Remote work mental helath'!$A$2:$T$1001,17,FALSE)</f>
        <v>2</v>
      </c>
    </row>
    <row r="435" spans="1:11" x14ac:dyDescent="0.3">
      <c r="A435" t="s">
        <v>484</v>
      </c>
      <c r="B435" t="str">
        <f>VLOOKUP(A435,'Remote work mental helath'!$A$2:$T$1001,12,)</f>
        <v>Burnout</v>
      </c>
      <c r="C435" t="str">
        <f>VLOOKUP(A435,'Remote work mental helath'!$A$2:$T$1001,11,)</f>
        <v>Low</v>
      </c>
      <c r="D435">
        <f>VLOOKUP('Mental Helath'!A435,'Remote work mental helath'!$A$2:$T$1001,10,)</f>
        <v>2</v>
      </c>
      <c r="E435" t="str">
        <f>VLOOKUP(A435,'Remote work mental helath'!A435:T1434,19,FALSE)</f>
        <v>Poor</v>
      </c>
      <c r="F435" t="str">
        <f>VLOOKUP(A435,'Remote work mental helath'!$A$2:$T$1001,18,)</f>
        <v>None</v>
      </c>
      <c r="G435">
        <f>VLOOKUP(A435,'Remote work mental helath'!$A$2:$T$1001,15,FALSE)</f>
        <v>3</v>
      </c>
      <c r="H435" t="str">
        <f>VLOOKUP(A435,'Remote work mental helath'!$A$2:$T$1001,14,)</f>
        <v>Decrease</v>
      </c>
      <c r="I435" t="str">
        <f>VLOOKUP(A435,'Remote work mental helath'!$A$2:$T$1001,16,)</f>
        <v>Neutral</v>
      </c>
      <c r="J435" t="str">
        <f>VLOOKUP(A435,'Remote work mental helath'!$A$2:$T$1001,13,)</f>
        <v>No</v>
      </c>
      <c r="K435">
        <f>VLOOKUP(A435,'Remote work mental helath'!$A$2:$T$1001,17,FALSE)</f>
        <v>1</v>
      </c>
    </row>
    <row r="436" spans="1:11" x14ac:dyDescent="0.3">
      <c r="A436" t="s">
        <v>485</v>
      </c>
      <c r="B436" t="str">
        <f>VLOOKUP(A436,'Remote work mental helath'!$A$2:$T$1001,12,)</f>
        <v>Anxiety</v>
      </c>
      <c r="C436" t="str">
        <f>VLOOKUP(A436,'Remote work mental helath'!$A$2:$T$1001,11,)</f>
        <v>High</v>
      </c>
      <c r="D436">
        <f>VLOOKUP('Mental Helath'!A436,'Remote work mental helath'!$A$2:$T$1001,10,)</f>
        <v>5</v>
      </c>
      <c r="E436" t="str">
        <f>VLOOKUP(A436,'Remote work mental helath'!A436:T1435,19,FALSE)</f>
        <v>Poor</v>
      </c>
      <c r="F436" t="str">
        <f>VLOOKUP(A436,'Remote work mental helath'!$A$2:$T$1001,18,)</f>
        <v>Daily</v>
      </c>
      <c r="G436">
        <f>VLOOKUP(A436,'Remote work mental helath'!$A$2:$T$1001,15,FALSE)</f>
        <v>3</v>
      </c>
      <c r="H436" t="str">
        <f>VLOOKUP(A436,'Remote work mental helath'!$A$2:$T$1001,14,)</f>
        <v>Decrease</v>
      </c>
      <c r="I436" t="str">
        <f>VLOOKUP(A436,'Remote work mental helath'!$A$2:$T$1001,16,)</f>
        <v>Satisfied</v>
      </c>
      <c r="J436" t="str">
        <f>VLOOKUP(A436,'Remote work mental helath'!$A$2:$T$1001,13,)</f>
        <v>Yes</v>
      </c>
      <c r="K436">
        <f>VLOOKUP(A436,'Remote work mental helath'!$A$2:$T$1001,17,FALSE)</f>
        <v>2</v>
      </c>
    </row>
    <row r="437" spans="1:11" x14ac:dyDescent="0.3">
      <c r="A437" t="s">
        <v>486</v>
      </c>
      <c r="B437" t="str">
        <f>VLOOKUP(A437,'Remote work mental helath'!$A$2:$T$1001,12,)</f>
        <v>None</v>
      </c>
      <c r="C437" t="str">
        <f>VLOOKUP(A437,'Remote work mental helath'!$A$2:$T$1001,11,)</f>
        <v>Medium</v>
      </c>
      <c r="D437">
        <f>VLOOKUP('Mental Helath'!A437,'Remote work mental helath'!$A$2:$T$1001,10,)</f>
        <v>2</v>
      </c>
      <c r="E437" t="str">
        <f>VLOOKUP(A437,'Remote work mental helath'!A437:T1436,19,FALSE)</f>
        <v>Good</v>
      </c>
      <c r="F437" t="str">
        <f>VLOOKUP(A437,'Remote work mental helath'!$A$2:$T$1001,18,)</f>
        <v>Daily</v>
      </c>
      <c r="G437">
        <f>VLOOKUP(A437,'Remote work mental helath'!$A$2:$T$1001,15,FALSE)</f>
        <v>3</v>
      </c>
      <c r="H437" t="str">
        <f>VLOOKUP(A437,'Remote work mental helath'!$A$2:$T$1001,14,)</f>
        <v>No Change</v>
      </c>
      <c r="I437" t="str">
        <f>VLOOKUP(A437,'Remote work mental helath'!$A$2:$T$1001,16,)</f>
        <v>Satisfied</v>
      </c>
      <c r="J437" t="str">
        <f>VLOOKUP(A437,'Remote work mental helath'!$A$2:$T$1001,13,)</f>
        <v>Yes</v>
      </c>
      <c r="K437">
        <f>VLOOKUP(A437,'Remote work mental helath'!$A$2:$T$1001,17,FALSE)</f>
        <v>3</v>
      </c>
    </row>
    <row r="438" spans="1:11" x14ac:dyDescent="0.3">
      <c r="A438" t="s">
        <v>487</v>
      </c>
      <c r="B438" t="str">
        <f>VLOOKUP(A438,'Remote work mental helath'!$A$2:$T$1001,12,)</f>
        <v>Depression</v>
      </c>
      <c r="C438" t="str">
        <f>VLOOKUP(A438,'Remote work mental helath'!$A$2:$T$1001,11,)</f>
        <v>High</v>
      </c>
      <c r="D438">
        <f>VLOOKUP('Mental Helath'!A438,'Remote work mental helath'!$A$2:$T$1001,10,)</f>
        <v>4</v>
      </c>
      <c r="E438" t="str">
        <f>VLOOKUP(A438,'Remote work mental helath'!A438:T1437,19,FALSE)</f>
        <v>Good</v>
      </c>
      <c r="F438" t="str">
        <f>VLOOKUP(A438,'Remote work mental helath'!$A$2:$T$1001,18,)</f>
        <v>Weekly</v>
      </c>
      <c r="G438">
        <f>VLOOKUP(A438,'Remote work mental helath'!$A$2:$T$1001,15,FALSE)</f>
        <v>2</v>
      </c>
      <c r="H438" t="str">
        <f>VLOOKUP(A438,'Remote work mental helath'!$A$2:$T$1001,14,)</f>
        <v>Increase</v>
      </c>
      <c r="I438" t="str">
        <f>VLOOKUP(A438,'Remote work mental helath'!$A$2:$T$1001,16,)</f>
        <v>Unsatisfied</v>
      </c>
      <c r="J438" t="str">
        <f>VLOOKUP(A438,'Remote work mental helath'!$A$2:$T$1001,13,)</f>
        <v>No</v>
      </c>
      <c r="K438">
        <f>VLOOKUP(A438,'Remote work mental helath'!$A$2:$T$1001,17,FALSE)</f>
        <v>1</v>
      </c>
    </row>
    <row r="439" spans="1:11" x14ac:dyDescent="0.3">
      <c r="A439" t="s">
        <v>488</v>
      </c>
      <c r="B439" t="str">
        <f>VLOOKUP(A439,'Remote work mental helath'!$A$2:$T$1001,12,)</f>
        <v>Depression</v>
      </c>
      <c r="C439" t="str">
        <f>VLOOKUP(A439,'Remote work mental helath'!$A$2:$T$1001,11,)</f>
        <v>Medium</v>
      </c>
      <c r="D439">
        <f>VLOOKUP('Mental Helath'!A439,'Remote work mental helath'!$A$2:$T$1001,10,)</f>
        <v>2</v>
      </c>
      <c r="E439" t="str">
        <f>VLOOKUP(A439,'Remote work mental helath'!A439:T1438,19,FALSE)</f>
        <v>Good</v>
      </c>
      <c r="F439" t="str">
        <f>VLOOKUP(A439,'Remote work mental helath'!$A$2:$T$1001,18,)</f>
        <v>Weekly</v>
      </c>
      <c r="G439">
        <f>VLOOKUP(A439,'Remote work mental helath'!$A$2:$T$1001,15,FALSE)</f>
        <v>5</v>
      </c>
      <c r="H439" t="str">
        <f>VLOOKUP(A439,'Remote work mental helath'!$A$2:$T$1001,14,)</f>
        <v>Decrease</v>
      </c>
      <c r="I439" t="str">
        <f>VLOOKUP(A439,'Remote work mental helath'!$A$2:$T$1001,16,)</f>
        <v>Neutral</v>
      </c>
      <c r="J439" t="str">
        <f>VLOOKUP(A439,'Remote work mental helath'!$A$2:$T$1001,13,)</f>
        <v>Yes</v>
      </c>
      <c r="K439">
        <f>VLOOKUP(A439,'Remote work mental helath'!$A$2:$T$1001,17,FALSE)</f>
        <v>1</v>
      </c>
    </row>
    <row r="440" spans="1:11" x14ac:dyDescent="0.3">
      <c r="A440" t="s">
        <v>489</v>
      </c>
      <c r="B440" t="str">
        <f>VLOOKUP(A440,'Remote work mental helath'!$A$2:$T$1001,12,)</f>
        <v>Burnout</v>
      </c>
      <c r="C440" t="str">
        <f>VLOOKUP(A440,'Remote work mental helath'!$A$2:$T$1001,11,)</f>
        <v>High</v>
      </c>
      <c r="D440">
        <f>VLOOKUP('Mental Helath'!A440,'Remote work mental helath'!$A$2:$T$1001,10,)</f>
        <v>4</v>
      </c>
      <c r="E440" t="str">
        <f>VLOOKUP(A440,'Remote work mental helath'!A440:T1439,19,FALSE)</f>
        <v>Average</v>
      </c>
      <c r="F440" t="str">
        <f>VLOOKUP(A440,'Remote work mental helath'!$A$2:$T$1001,18,)</f>
        <v>Daily</v>
      </c>
      <c r="G440">
        <f>VLOOKUP(A440,'Remote work mental helath'!$A$2:$T$1001,15,FALSE)</f>
        <v>2</v>
      </c>
      <c r="H440" t="str">
        <f>VLOOKUP(A440,'Remote work mental helath'!$A$2:$T$1001,14,)</f>
        <v>Increase</v>
      </c>
      <c r="I440" t="str">
        <f>VLOOKUP(A440,'Remote work mental helath'!$A$2:$T$1001,16,)</f>
        <v>Satisfied</v>
      </c>
      <c r="J440" t="str">
        <f>VLOOKUP(A440,'Remote work mental helath'!$A$2:$T$1001,13,)</f>
        <v>Yes</v>
      </c>
      <c r="K440">
        <f>VLOOKUP(A440,'Remote work mental helath'!$A$2:$T$1001,17,FALSE)</f>
        <v>3</v>
      </c>
    </row>
    <row r="441" spans="1:11" x14ac:dyDescent="0.3">
      <c r="A441" t="s">
        <v>490</v>
      </c>
      <c r="B441" t="str">
        <f>VLOOKUP(A441,'Remote work mental helath'!$A$2:$T$1001,12,)</f>
        <v>Burnout</v>
      </c>
      <c r="C441" t="str">
        <f>VLOOKUP(A441,'Remote work mental helath'!$A$2:$T$1001,11,)</f>
        <v>Medium</v>
      </c>
      <c r="D441">
        <f>VLOOKUP('Mental Helath'!A441,'Remote work mental helath'!$A$2:$T$1001,10,)</f>
        <v>1</v>
      </c>
      <c r="E441" t="str">
        <f>VLOOKUP(A441,'Remote work mental helath'!A441:T1440,19,FALSE)</f>
        <v>Average</v>
      </c>
      <c r="F441" t="str">
        <f>VLOOKUP(A441,'Remote work mental helath'!$A$2:$T$1001,18,)</f>
        <v>None</v>
      </c>
      <c r="G441">
        <f>VLOOKUP(A441,'Remote work mental helath'!$A$2:$T$1001,15,FALSE)</f>
        <v>3</v>
      </c>
      <c r="H441" t="str">
        <f>VLOOKUP(A441,'Remote work mental helath'!$A$2:$T$1001,14,)</f>
        <v>Decrease</v>
      </c>
      <c r="I441" t="str">
        <f>VLOOKUP(A441,'Remote work mental helath'!$A$2:$T$1001,16,)</f>
        <v>Neutral</v>
      </c>
      <c r="J441" t="str">
        <f>VLOOKUP(A441,'Remote work mental helath'!$A$2:$T$1001,13,)</f>
        <v>No</v>
      </c>
      <c r="K441">
        <f>VLOOKUP(A441,'Remote work mental helath'!$A$2:$T$1001,17,FALSE)</f>
        <v>1</v>
      </c>
    </row>
    <row r="442" spans="1:11" x14ac:dyDescent="0.3">
      <c r="A442" t="s">
        <v>491</v>
      </c>
      <c r="B442" t="str">
        <f>VLOOKUP(A442,'Remote work mental helath'!$A$2:$T$1001,12,)</f>
        <v>Depression</v>
      </c>
      <c r="C442" t="str">
        <f>VLOOKUP(A442,'Remote work mental helath'!$A$2:$T$1001,11,)</f>
        <v>Low</v>
      </c>
      <c r="D442">
        <f>VLOOKUP('Mental Helath'!A442,'Remote work mental helath'!$A$2:$T$1001,10,)</f>
        <v>2</v>
      </c>
      <c r="E442" t="str">
        <f>VLOOKUP(A442,'Remote work mental helath'!A442:T1441,19,FALSE)</f>
        <v>Good</v>
      </c>
      <c r="F442" t="str">
        <f>VLOOKUP(A442,'Remote work mental helath'!$A$2:$T$1001,18,)</f>
        <v>Daily</v>
      </c>
      <c r="G442">
        <f>VLOOKUP(A442,'Remote work mental helath'!$A$2:$T$1001,15,FALSE)</f>
        <v>2</v>
      </c>
      <c r="H442" t="str">
        <f>VLOOKUP(A442,'Remote work mental helath'!$A$2:$T$1001,14,)</f>
        <v>Decrease</v>
      </c>
      <c r="I442" t="str">
        <f>VLOOKUP(A442,'Remote work mental helath'!$A$2:$T$1001,16,)</f>
        <v>Satisfied</v>
      </c>
      <c r="J442" t="str">
        <f>VLOOKUP(A442,'Remote work mental helath'!$A$2:$T$1001,13,)</f>
        <v>No</v>
      </c>
      <c r="K442">
        <f>VLOOKUP(A442,'Remote work mental helath'!$A$2:$T$1001,17,FALSE)</f>
        <v>4</v>
      </c>
    </row>
    <row r="443" spans="1:11" x14ac:dyDescent="0.3">
      <c r="A443" t="s">
        <v>492</v>
      </c>
      <c r="B443" t="str">
        <f>VLOOKUP(A443,'Remote work mental helath'!$A$2:$T$1001,12,)</f>
        <v>Depression</v>
      </c>
      <c r="C443" t="str">
        <f>VLOOKUP(A443,'Remote work mental helath'!$A$2:$T$1001,11,)</f>
        <v>Low</v>
      </c>
      <c r="D443">
        <f>VLOOKUP('Mental Helath'!A443,'Remote work mental helath'!$A$2:$T$1001,10,)</f>
        <v>4</v>
      </c>
      <c r="E443" t="str">
        <f>VLOOKUP(A443,'Remote work mental helath'!A443:T1442,19,FALSE)</f>
        <v>Poor</v>
      </c>
      <c r="F443" t="str">
        <f>VLOOKUP(A443,'Remote work mental helath'!$A$2:$T$1001,18,)</f>
        <v>Weekly</v>
      </c>
      <c r="G443">
        <f>VLOOKUP(A443,'Remote work mental helath'!$A$2:$T$1001,15,FALSE)</f>
        <v>1</v>
      </c>
      <c r="H443" t="str">
        <f>VLOOKUP(A443,'Remote work mental helath'!$A$2:$T$1001,14,)</f>
        <v>No Change</v>
      </c>
      <c r="I443" t="str">
        <f>VLOOKUP(A443,'Remote work mental helath'!$A$2:$T$1001,16,)</f>
        <v>Neutral</v>
      </c>
      <c r="J443" t="str">
        <f>VLOOKUP(A443,'Remote work mental helath'!$A$2:$T$1001,13,)</f>
        <v>Yes</v>
      </c>
      <c r="K443">
        <f>VLOOKUP(A443,'Remote work mental helath'!$A$2:$T$1001,17,FALSE)</f>
        <v>5</v>
      </c>
    </row>
    <row r="444" spans="1:11" x14ac:dyDescent="0.3">
      <c r="A444" t="s">
        <v>493</v>
      </c>
      <c r="B444" t="str">
        <f>VLOOKUP(A444,'Remote work mental helath'!$A$2:$T$1001,12,)</f>
        <v>Depression</v>
      </c>
      <c r="C444" t="str">
        <f>VLOOKUP(A444,'Remote work mental helath'!$A$2:$T$1001,11,)</f>
        <v>High</v>
      </c>
      <c r="D444">
        <f>VLOOKUP('Mental Helath'!A444,'Remote work mental helath'!$A$2:$T$1001,10,)</f>
        <v>1</v>
      </c>
      <c r="E444" t="str">
        <f>VLOOKUP(A444,'Remote work mental helath'!A444:T1443,19,FALSE)</f>
        <v>Average</v>
      </c>
      <c r="F444" t="str">
        <f>VLOOKUP(A444,'Remote work mental helath'!$A$2:$T$1001,18,)</f>
        <v>None</v>
      </c>
      <c r="G444">
        <f>VLOOKUP(A444,'Remote work mental helath'!$A$2:$T$1001,15,FALSE)</f>
        <v>4</v>
      </c>
      <c r="H444" t="str">
        <f>VLOOKUP(A444,'Remote work mental helath'!$A$2:$T$1001,14,)</f>
        <v>Decrease</v>
      </c>
      <c r="I444" t="str">
        <f>VLOOKUP(A444,'Remote work mental helath'!$A$2:$T$1001,16,)</f>
        <v>Unsatisfied</v>
      </c>
      <c r="J444" t="str">
        <f>VLOOKUP(A444,'Remote work mental helath'!$A$2:$T$1001,13,)</f>
        <v>Yes</v>
      </c>
      <c r="K444">
        <f>VLOOKUP(A444,'Remote work mental helath'!$A$2:$T$1001,17,FALSE)</f>
        <v>5</v>
      </c>
    </row>
    <row r="445" spans="1:11" x14ac:dyDescent="0.3">
      <c r="A445" t="s">
        <v>494</v>
      </c>
      <c r="B445" t="str">
        <f>VLOOKUP(A445,'Remote work mental helath'!$A$2:$T$1001,12,)</f>
        <v>Burnout</v>
      </c>
      <c r="C445" t="str">
        <f>VLOOKUP(A445,'Remote work mental helath'!$A$2:$T$1001,11,)</f>
        <v>High</v>
      </c>
      <c r="D445">
        <f>VLOOKUP('Mental Helath'!A445,'Remote work mental helath'!$A$2:$T$1001,10,)</f>
        <v>5</v>
      </c>
      <c r="E445" t="str">
        <f>VLOOKUP(A445,'Remote work mental helath'!A445:T1444,19,FALSE)</f>
        <v>Poor</v>
      </c>
      <c r="F445" t="str">
        <f>VLOOKUP(A445,'Remote work mental helath'!$A$2:$T$1001,18,)</f>
        <v>Weekly</v>
      </c>
      <c r="G445">
        <f>VLOOKUP(A445,'Remote work mental helath'!$A$2:$T$1001,15,FALSE)</f>
        <v>5</v>
      </c>
      <c r="H445" t="str">
        <f>VLOOKUP(A445,'Remote work mental helath'!$A$2:$T$1001,14,)</f>
        <v>Increase</v>
      </c>
      <c r="I445" t="str">
        <f>VLOOKUP(A445,'Remote work mental helath'!$A$2:$T$1001,16,)</f>
        <v>Unsatisfied</v>
      </c>
      <c r="J445" t="str">
        <f>VLOOKUP(A445,'Remote work mental helath'!$A$2:$T$1001,13,)</f>
        <v>No</v>
      </c>
      <c r="K445">
        <f>VLOOKUP(A445,'Remote work mental helath'!$A$2:$T$1001,17,FALSE)</f>
        <v>1</v>
      </c>
    </row>
    <row r="446" spans="1:11" x14ac:dyDescent="0.3">
      <c r="A446" t="s">
        <v>495</v>
      </c>
      <c r="B446" t="str">
        <f>VLOOKUP(A446,'Remote work mental helath'!$A$2:$T$1001,12,)</f>
        <v>Anxiety</v>
      </c>
      <c r="C446" t="str">
        <f>VLOOKUP(A446,'Remote work mental helath'!$A$2:$T$1001,11,)</f>
        <v>Low</v>
      </c>
      <c r="D446">
        <f>VLOOKUP('Mental Helath'!A446,'Remote work mental helath'!$A$2:$T$1001,10,)</f>
        <v>3</v>
      </c>
      <c r="E446" t="str">
        <f>VLOOKUP(A446,'Remote work mental helath'!A446:T1445,19,FALSE)</f>
        <v>Poor</v>
      </c>
      <c r="F446" t="str">
        <f>VLOOKUP(A446,'Remote work mental helath'!$A$2:$T$1001,18,)</f>
        <v>None</v>
      </c>
      <c r="G446">
        <f>VLOOKUP(A446,'Remote work mental helath'!$A$2:$T$1001,15,FALSE)</f>
        <v>1</v>
      </c>
      <c r="H446" t="str">
        <f>VLOOKUP(A446,'Remote work mental helath'!$A$2:$T$1001,14,)</f>
        <v>Increase</v>
      </c>
      <c r="I446" t="str">
        <f>VLOOKUP(A446,'Remote work mental helath'!$A$2:$T$1001,16,)</f>
        <v>Neutral</v>
      </c>
      <c r="J446" t="str">
        <f>VLOOKUP(A446,'Remote work mental helath'!$A$2:$T$1001,13,)</f>
        <v>No</v>
      </c>
      <c r="K446">
        <f>VLOOKUP(A446,'Remote work mental helath'!$A$2:$T$1001,17,FALSE)</f>
        <v>4</v>
      </c>
    </row>
    <row r="447" spans="1:11" x14ac:dyDescent="0.3">
      <c r="A447" t="s">
        <v>496</v>
      </c>
      <c r="B447" t="str">
        <f>VLOOKUP(A447,'Remote work mental helath'!$A$2:$T$1001,12,)</f>
        <v>Depression</v>
      </c>
      <c r="C447" t="str">
        <f>VLOOKUP(A447,'Remote work mental helath'!$A$2:$T$1001,11,)</f>
        <v>Low</v>
      </c>
      <c r="D447">
        <f>VLOOKUP('Mental Helath'!A447,'Remote work mental helath'!$A$2:$T$1001,10,)</f>
        <v>2</v>
      </c>
      <c r="E447" t="str">
        <f>VLOOKUP(A447,'Remote work mental helath'!A447:T1446,19,FALSE)</f>
        <v>Good</v>
      </c>
      <c r="F447" t="str">
        <f>VLOOKUP(A447,'Remote work mental helath'!$A$2:$T$1001,18,)</f>
        <v>Daily</v>
      </c>
      <c r="G447">
        <f>VLOOKUP(A447,'Remote work mental helath'!$A$2:$T$1001,15,FALSE)</f>
        <v>3</v>
      </c>
      <c r="H447" t="str">
        <f>VLOOKUP(A447,'Remote work mental helath'!$A$2:$T$1001,14,)</f>
        <v>No Change</v>
      </c>
      <c r="I447" t="str">
        <f>VLOOKUP(A447,'Remote work mental helath'!$A$2:$T$1001,16,)</f>
        <v>Unsatisfied</v>
      </c>
      <c r="J447" t="str">
        <f>VLOOKUP(A447,'Remote work mental helath'!$A$2:$T$1001,13,)</f>
        <v>Yes</v>
      </c>
      <c r="K447">
        <f>VLOOKUP(A447,'Remote work mental helath'!$A$2:$T$1001,17,FALSE)</f>
        <v>1</v>
      </c>
    </row>
    <row r="448" spans="1:11" x14ac:dyDescent="0.3">
      <c r="A448" t="s">
        <v>497</v>
      </c>
      <c r="B448" t="str">
        <f>VLOOKUP(A448,'Remote work mental helath'!$A$2:$T$1001,12,)</f>
        <v>Burnout</v>
      </c>
      <c r="C448" t="str">
        <f>VLOOKUP(A448,'Remote work mental helath'!$A$2:$T$1001,11,)</f>
        <v>Low</v>
      </c>
      <c r="D448">
        <f>VLOOKUP('Mental Helath'!A448,'Remote work mental helath'!$A$2:$T$1001,10,)</f>
        <v>5</v>
      </c>
      <c r="E448" t="str">
        <f>VLOOKUP(A448,'Remote work mental helath'!A448:T1447,19,FALSE)</f>
        <v>Poor</v>
      </c>
      <c r="F448" t="str">
        <f>VLOOKUP(A448,'Remote work mental helath'!$A$2:$T$1001,18,)</f>
        <v>Daily</v>
      </c>
      <c r="G448">
        <f>VLOOKUP(A448,'Remote work mental helath'!$A$2:$T$1001,15,FALSE)</f>
        <v>1</v>
      </c>
      <c r="H448" t="str">
        <f>VLOOKUP(A448,'Remote work mental helath'!$A$2:$T$1001,14,)</f>
        <v>Increase</v>
      </c>
      <c r="I448" t="str">
        <f>VLOOKUP(A448,'Remote work mental helath'!$A$2:$T$1001,16,)</f>
        <v>Unsatisfied</v>
      </c>
      <c r="J448" t="str">
        <f>VLOOKUP(A448,'Remote work mental helath'!$A$2:$T$1001,13,)</f>
        <v>No</v>
      </c>
      <c r="K448">
        <f>VLOOKUP(A448,'Remote work mental helath'!$A$2:$T$1001,17,FALSE)</f>
        <v>3</v>
      </c>
    </row>
    <row r="449" spans="1:11" x14ac:dyDescent="0.3">
      <c r="A449" t="s">
        <v>498</v>
      </c>
      <c r="B449" t="str">
        <f>VLOOKUP(A449,'Remote work mental helath'!$A$2:$T$1001,12,)</f>
        <v>Burnout</v>
      </c>
      <c r="C449" t="str">
        <f>VLOOKUP(A449,'Remote work mental helath'!$A$2:$T$1001,11,)</f>
        <v>Medium</v>
      </c>
      <c r="D449">
        <f>VLOOKUP('Mental Helath'!A449,'Remote work mental helath'!$A$2:$T$1001,10,)</f>
        <v>3</v>
      </c>
      <c r="E449" t="str">
        <f>VLOOKUP(A449,'Remote work mental helath'!A449:T1448,19,FALSE)</f>
        <v>Poor</v>
      </c>
      <c r="F449" t="str">
        <f>VLOOKUP(A449,'Remote work mental helath'!$A$2:$T$1001,18,)</f>
        <v>Weekly</v>
      </c>
      <c r="G449">
        <f>VLOOKUP(A449,'Remote work mental helath'!$A$2:$T$1001,15,FALSE)</f>
        <v>4</v>
      </c>
      <c r="H449" t="str">
        <f>VLOOKUP(A449,'Remote work mental helath'!$A$2:$T$1001,14,)</f>
        <v>Increase</v>
      </c>
      <c r="I449" t="str">
        <f>VLOOKUP(A449,'Remote work mental helath'!$A$2:$T$1001,16,)</f>
        <v>Satisfied</v>
      </c>
      <c r="J449" t="str">
        <f>VLOOKUP(A449,'Remote work mental helath'!$A$2:$T$1001,13,)</f>
        <v>No</v>
      </c>
      <c r="K449">
        <f>VLOOKUP(A449,'Remote work mental helath'!$A$2:$T$1001,17,FALSE)</f>
        <v>2</v>
      </c>
    </row>
    <row r="450" spans="1:11" x14ac:dyDescent="0.3">
      <c r="A450" t="s">
        <v>499</v>
      </c>
      <c r="B450" t="str">
        <f>VLOOKUP(A450,'Remote work mental helath'!$A$2:$T$1001,12,)</f>
        <v>Burnout</v>
      </c>
      <c r="C450" t="str">
        <f>VLOOKUP(A450,'Remote work mental helath'!$A$2:$T$1001,11,)</f>
        <v>Low</v>
      </c>
      <c r="D450">
        <f>VLOOKUP('Mental Helath'!A450,'Remote work mental helath'!$A$2:$T$1001,10,)</f>
        <v>1</v>
      </c>
      <c r="E450" t="str">
        <f>VLOOKUP(A450,'Remote work mental helath'!A450:T1449,19,FALSE)</f>
        <v>Average</v>
      </c>
      <c r="F450" t="str">
        <f>VLOOKUP(A450,'Remote work mental helath'!$A$2:$T$1001,18,)</f>
        <v>None</v>
      </c>
      <c r="G450">
        <f>VLOOKUP(A450,'Remote work mental helath'!$A$2:$T$1001,15,FALSE)</f>
        <v>4</v>
      </c>
      <c r="H450" t="str">
        <f>VLOOKUP(A450,'Remote work mental helath'!$A$2:$T$1001,14,)</f>
        <v>Decrease</v>
      </c>
      <c r="I450" t="str">
        <f>VLOOKUP(A450,'Remote work mental helath'!$A$2:$T$1001,16,)</f>
        <v>Unsatisfied</v>
      </c>
      <c r="J450" t="str">
        <f>VLOOKUP(A450,'Remote work mental helath'!$A$2:$T$1001,13,)</f>
        <v>No</v>
      </c>
      <c r="K450">
        <f>VLOOKUP(A450,'Remote work mental helath'!$A$2:$T$1001,17,FALSE)</f>
        <v>5</v>
      </c>
    </row>
    <row r="451" spans="1:11" x14ac:dyDescent="0.3">
      <c r="A451" t="s">
        <v>500</v>
      </c>
      <c r="B451" t="str">
        <f>VLOOKUP(A451,'Remote work mental helath'!$A$2:$T$1001,12,)</f>
        <v>Burnout</v>
      </c>
      <c r="C451" t="str">
        <f>VLOOKUP(A451,'Remote work mental helath'!$A$2:$T$1001,11,)</f>
        <v>High</v>
      </c>
      <c r="D451">
        <f>VLOOKUP('Mental Helath'!A451,'Remote work mental helath'!$A$2:$T$1001,10,)</f>
        <v>1</v>
      </c>
      <c r="E451" t="str">
        <f>VLOOKUP(A451,'Remote work mental helath'!A451:T1450,19,FALSE)</f>
        <v>Poor</v>
      </c>
      <c r="F451" t="str">
        <f>VLOOKUP(A451,'Remote work mental helath'!$A$2:$T$1001,18,)</f>
        <v>None</v>
      </c>
      <c r="G451">
        <f>VLOOKUP(A451,'Remote work mental helath'!$A$2:$T$1001,15,FALSE)</f>
        <v>1</v>
      </c>
      <c r="H451" t="str">
        <f>VLOOKUP(A451,'Remote work mental helath'!$A$2:$T$1001,14,)</f>
        <v>Decrease</v>
      </c>
      <c r="I451" t="str">
        <f>VLOOKUP(A451,'Remote work mental helath'!$A$2:$T$1001,16,)</f>
        <v>Unsatisfied</v>
      </c>
      <c r="J451" t="str">
        <f>VLOOKUP(A451,'Remote work mental helath'!$A$2:$T$1001,13,)</f>
        <v>Yes</v>
      </c>
      <c r="K451">
        <f>VLOOKUP(A451,'Remote work mental helath'!$A$2:$T$1001,17,FALSE)</f>
        <v>4</v>
      </c>
    </row>
    <row r="452" spans="1:11" x14ac:dyDescent="0.3">
      <c r="A452" t="s">
        <v>501</v>
      </c>
      <c r="B452" t="str">
        <f>VLOOKUP(A452,'Remote work mental helath'!$A$2:$T$1001,12,)</f>
        <v>Anxiety</v>
      </c>
      <c r="C452" t="str">
        <f>VLOOKUP(A452,'Remote work mental helath'!$A$2:$T$1001,11,)</f>
        <v>Low</v>
      </c>
      <c r="D452">
        <f>VLOOKUP('Mental Helath'!A452,'Remote work mental helath'!$A$2:$T$1001,10,)</f>
        <v>5</v>
      </c>
      <c r="E452" t="str">
        <f>VLOOKUP(A452,'Remote work mental helath'!A452:T1451,19,FALSE)</f>
        <v>Good</v>
      </c>
      <c r="F452" t="str">
        <f>VLOOKUP(A452,'Remote work mental helath'!$A$2:$T$1001,18,)</f>
        <v>Weekly</v>
      </c>
      <c r="G452">
        <f>VLOOKUP(A452,'Remote work mental helath'!$A$2:$T$1001,15,FALSE)</f>
        <v>4</v>
      </c>
      <c r="H452" t="str">
        <f>VLOOKUP(A452,'Remote work mental helath'!$A$2:$T$1001,14,)</f>
        <v>No Change</v>
      </c>
      <c r="I452" t="str">
        <f>VLOOKUP(A452,'Remote work mental helath'!$A$2:$T$1001,16,)</f>
        <v>Satisfied</v>
      </c>
      <c r="J452" t="str">
        <f>VLOOKUP(A452,'Remote work mental helath'!$A$2:$T$1001,13,)</f>
        <v>Yes</v>
      </c>
      <c r="K452">
        <f>VLOOKUP(A452,'Remote work mental helath'!$A$2:$T$1001,17,FALSE)</f>
        <v>5</v>
      </c>
    </row>
    <row r="453" spans="1:11" x14ac:dyDescent="0.3">
      <c r="A453" t="s">
        <v>502</v>
      </c>
      <c r="B453" t="str">
        <f>VLOOKUP(A453,'Remote work mental helath'!$A$2:$T$1001,12,)</f>
        <v>Anxiety</v>
      </c>
      <c r="C453" t="str">
        <f>VLOOKUP(A453,'Remote work mental helath'!$A$2:$T$1001,11,)</f>
        <v>High</v>
      </c>
      <c r="D453">
        <f>VLOOKUP('Mental Helath'!A453,'Remote work mental helath'!$A$2:$T$1001,10,)</f>
        <v>3</v>
      </c>
      <c r="E453" t="str">
        <f>VLOOKUP(A453,'Remote work mental helath'!A453:T1452,19,FALSE)</f>
        <v>Good</v>
      </c>
      <c r="F453" t="str">
        <f>VLOOKUP(A453,'Remote work mental helath'!$A$2:$T$1001,18,)</f>
        <v>Daily</v>
      </c>
      <c r="G453">
        <f>VLOOKUP(A453,'Remote work mental helath'!$A$2:$T$1001,15,FALSE)</f>
        <v>4</v>
      </c>
      <c r="H453" t="str">
        <f>VLOOKUP(A453,'Remote work mental helath'!$A$2:$T$1001,14,)</f>
        <v>No Change</v>
      </c>
      <c r="I453" t="str">
        <f>VLOOKUP(A453,'Remote work mental helath'!$A$2:$T$1001,16,)</f>
        <v>Satisfied</v>
      </c>
      <c r="J453" t="str">
        <f>VLOOKUP(A453,'Remote work mental helath'!$A$2:$T$1001,13,)</f>
        <v>No</v>
      </c>
      <c r="K453">
        <f>VLOOKUP(A453,'Remote work mental helath'!$A$2:$T$1001,17,FALSE)</f>
        <v>5</v>
      </c>
    </row>
    <row r="454" spans="1:11" x14ac:dyDescent="0.3">
      <c r="A454" t="s">
        <v>503</v>
      </c>
      <c r="B454" t="str">
        <f>VLOOKUP(A454,'Remote work mental helath'!$A$2:$T$1001,12,)</f>
        <v>Burnout</v>
      </c>
      <c r="C454" t="str">
        <f>VLOOKUP(A454,'Remote work mental helath'!$A$2:$T$1001,11,)</f>
        <v>Low</v>
      </c>
      <c r="D454">
        <f>VLOOKUP('Mental Helath'!A454,'Remote work mental helath'!$A$2:$T$1001,10,)</f>
        <v>4</v>
      </c>
      <c r="E454" t="str">
        <f>VLOOKUP(A454,'Remote work mental helath'!A454:T1453,19,FALSE)</f>
        <v>Average</v>
      </c>
      <c r="F454" t="str">
        <f>VLOOKUP(A454,'Remote work mental helath'!$A$2:$T$1001,18,)</f>
        <v>Daily</v>
      </c>
      <c r="G454">
        <f>VLOOKUP(A454,'Remote work mental helath'!$A$2:$T$1001,15,FALSE)</f>
        <v>4</v>
      </c>
      <c r="H454" t="str">
        <f>VLOOKUP(A454,'Remote work mental helath'!$A$2:$T$1001,14,)</f>
        <v>Increase</v>
      </c>
      <c r="I454" t="str">
        <f>VLOOKUP(A454,'Remote work mental helath'!$A$2:$T$1001,16,)</f>
        <v>Unsatisfied</v>
      </c>
      <c r="J454" t="str">
        <f>VLOOKUP(A454,'Remote work mental helath'!$A$2:$T$1001,13,)</f>
        <v>Yes</v>
      </c>
      <c r="K454">
        <f>VLOOKUP(A454,'Remote work mental helath'!$A$2:$T$1001,17,FALSE)</f>
        <v>1</v>
      </c>
    </row>
    <row r="455" spans="1:11" x14ac:dyDescent="0.3">
      <c r="A455" t="s">
        <v>504</v>
      </c>
      <c r="B455" t="str">
        <f>VLOOKUP(A455,'Remote work mental helath'!$A$2:$T$1001,12,)</f>
        <v>None</v>
      </c>
      <c r="C455" t="str">
        <f>VLOOKUP(A455,'Remote work mental helath'!$A$2:$T$1001,11,)</f>
        <v>Medium</v>
      </c>
      <c r="D455">
        <f>VLOOKUP('Mental Helath'!A455,'Remote work mental helath'!$A$2:$T$1001,10,)</f>
        <v>4</v>
      </c>
      <c r="E455" t="str">
        <f>VLOOKUP(A455,'Remote work mental helath'!A455:T1454,19,FALSE)</f>
        <v>Good</v>
      </c>
      <c r="F455" t="str">
        <f>VLOOKUP(A455,'Remote work mental helath'!$A$2:$T$1001,18,)</f>
        <v>Weekly</v>
      </c>
      <c r="G455">
        <f>VLOOKUP(A455,'Remote work mental helath'!$A$2:$T$1001,15,FALSE)</f>
        <v>5</v>
      </c>
      <c r="H455" t="str">
        <f>VLOOKUP(A455,'Remote work mental helath'!$A$2:$T$1001,14,)</f>
        <v>Decrease</v>
      </c>
      <c r="I455" t="str">
        <f>VLOOKUP(A455,'Remote work mental helath'!$A$2:$T$1001,16,)</f>
        <v>Unsatisfied</v>
      </c>
      <c r="J455" t="str">
        <f>VLOOKUP(A455,'Remote work mental helath'!$A$2:$T$1001,13,)</f>
        <v>No</v>
      </c>
      <c r="K455">
        <f>VLOOKUP(A455,'Remote work mental helath'!$A$2:$T$1001,17,FALSE)</f>
        <v>3</v>
      </c>
    </row>
    <row r="456" spans="1:11" x14ac:dyDescent="0.3">
      <c r="A456" t="s">
        <v>505</v>
      </c>
      <c r="B456" t="str">
        <f>VLOOKUP(A456,'Remote work mental helath'!$A$2:$T$1001,12,)</f>
        <v>Depression</v>
      </c>
      <c r="C456" t="str">
        <f>VLOOKUP(A456,'Remote work mental helath'!$A$2:$T$1001,11,)</f>
        <v>Low</v>
      </c>
      <c r="D456">
        <f>VLOOKUP('Mental Helath'!A456,'Remote work mental helath'!$A$2:$T$1001,10,)</f>
        <v>3</v>
      </c>
      <c r="E456" t="str">
        <f>VLOOKUP(A456,'Remote work mental helath'!A456:T1455,19,FALSE)</f>
        <v>Average</v>
      </c>
      <c r="F456" t="str">
        <f>VLOOKUP(A456,'Remote work mental helath'!$A$2:$T$1001,18,)</f>
        <v>None</v>
      </c>
      <c r="G456">
        <f>VLOOKUP(A456,'Remote work mental helath'!$A$2:$T$1001,15,FALSE)</f>
        <v>4</v>
      </c>
      <c r="H456" t="str">
        <f>VLOOKUP(A456,'Remote work mental helath'!$A$2:$T$1001,14,)</f>
        <v>Decrease</v>
      </c>
      <c r="I456" t="str">
        <f>VLOOKUP(A456,'Remote work mental helath'!$A$2:$T$1001,16,)</f>
        <v>Satisfied</v>
      </c>
      <c r="J456" t="str">
        <f>VLOOKUP(A456,'Remote work mental helath'!$A$2:$T$1001,13,)</f>
        <v>No</v>
      </c>
      <c r="K456">
        <f>VLOOKUP(A456,'Remote work mental helath'!$A$2:$T$1001,17,FALSE)</f>
        <v>4</v>
      </c>
    </row>
    <row r="457" spans="1:11" x14ac:dyDescent="0.3">
      <c r="A457" t="s">
        <v>506</v>
      </c>
      <c r="B457" t="str">
        <f>VLOOKUP(A457,'Remote work mental helath'!$A$2:$T$1001,12,)</f>
        <v>None</v>
      </c>
      <c r="C457" t="str">
        <f>VLOOKUP(A457,'Remote work mental helath'!$A$2:$T$1001,11,)</f>
        <v>Low</v>
      </c>
      <c r="D457">
        <f>VLOOKUP('Mental Helath'!A457,'Remote work mental helath'!$A$2:$T$1001,10,)</f>
        <v>4</v>
      </c>
      <c r="E457" t="str">
        <f>VLOOKUP(A457,'Remote work mental helath'!A457:T1456,19,FALSE)</f>
        <v>Poor</v>
      </c>
      <c r="F457" t="str">
        <f>VLOOKUP(A457,'Remote work mental helath'!$A$2:$T$1001,18,)</f>
        <v>Daily</v>
      </c>
      <c r="G457">
        <f>VLOOKUP(A457,'Remote work mental helath'!$A$2:$T$1001,15,FALSE)</f>
        <v>4</v>
      </c>
      <c r="H457" t="str">
        <f>VLOOKUP(A457,'Remote work mental helath'!$A$2:$T$1001,14,)</f>
        <v>Increase</v>
      </c>
      <c r="I457" t="str">
        <f>VLOOKUP(A457,'Remote work mental helath'!$A$2:$T$1001,16,)</f>
        <v>Satisfied</v>
      </c>
      <c r="J457" t="str">
        <f>VLOOKUP(A457,'Remote work mental helath'!$A$2:$T$1001,13,)</f>
        <v>No</v>
      </c>
      <c r="K457">
        <f>VLOOKUP(A457,'Remote work mental helath'!$A$2:$T$1001,17,FALSE)</f>
        <v>1</v>
      </c>
    </row>
    <row r="458" spans="1:11" x14ac:dyDescent="0.3">
      <c r="A458" t="s">
        <v>507</v>
      </c>
      <c r="B458" t="str">
        <f>VLOOKUP(A458,'Remote work mental helath'!$A$2:$T$1001,12,)</f>
        <v>None</v>
      </c>
      <c r="C458" t="str">
        <f>VLOOKUP(A458,'Remote work mental helath'!$A$2:$T$1001,11,)</f>
        <v>Medium</v>
      </c>
      <c r="D458">
        <f>VLOOKUP('Mental Helath'!A458,'Remote work mental helath'!$A$2:$T$1001,10,)</f>
        <v>3</v>
      </c>
      <c r="E458" t="str">
        <f>VLOOKUP(A458,'Remote work mental helath'!A458:T1457,19,FALSE)</f>
        <v>Poor</v>
      </c>
      <c r="F458" t="str">
        <f>VLOOKUP(A458,'Remote work mental helath'!$A$2:$T$1001,18,)</f>
        <v>Weekly</v>
      </c>
      <c r="G458">
        <f>VLOOKUP(A458,'Remote work mental helath'!$A$2:$T$1001,15,FALSE)</f>
        <v>2</v>
      </c>
      <c r="H458" t="str">
        <f>VLOOKUP(A458,'Remote work mental helath'!$A$2:$T$1001,14,)</f>
        <v>No Change</v>
      </c>
      <c r="I458" t="str">
        <f>VLOOKUP(A458,'Remote work mental helath'!$A$2:$T$1001,16,)</f>
        <v>Neutral</v>
      </c>
      <c r="J458" t="str">
        <f>VLOOKUP(A458,'Remote work mental helath'!$A$2:$T$1001,13,)</f>
        <v>Yes</v>
      </c>
      <c r="K458">
        <f>VLOOKUP(A458,'Remote work mental helath'!$A$2:$T$1001,17,FALSE)</f>
        <v>5</v>
      </c>
    </row>
    <row r="459" spans="1:11" x14ac:dyDescent="0.3">
      <c r="A459" t="s">
        <v>508</v>
      </c>
      <c r="B459" t="str">
        <f>VLOOKUP(A459,'Remote work mental helath'!$A$2:$T$1001,12,)</f>
        <v>Anxiety</v>
      </c>
      <c r="C459" t="str">
        <f>VLOOKUP(A459,'Remote work mental helath'!$A$2:$T$1001,11,)</f>
        <v>Medium</v>
      </c>
      <c r="D459">
        <f>VLOOKUP('Mental Helath'!A459,'Remote work mental helath'!$A$2:$T$1001,10,)</f>
        <v>2</v>
      </c>
      <c r="E459" t="str">
        <f>VLOOKUP(A459,'Remote work mental helath'!A459:T1458,19,FALSE)</f>
        <v>Average</v>
      </c>
      <c r="F459" t="str">
        <f>VLOOKUP(A459,'Remote work mental helath'!$A$2:$T$1001,18,)</f>
        <v>None</v>
      </c>
      <c r="G459">
        <f>VLOOKUP(A459,'Remote work mental helath'!$A$2:$T$1001,15,FALSE)</f>
        <v>2</v>
      </c>
      <c r="H459" t="str">
        <f>VLOOKUP(A459,'Remote work mental helath'!$A$2:$T$1001,14,)</f>
        <v>No Change</v>
      </c>
      <c r="I459" t="str">
        <f>VLOOKUP(A459,'Remote work mental helath'!$A$2:$T$1001,16,)</f>
        <v>Unsatisfied</v>
      </c>
      <c r="J459" t="str">
        <f>VLOOKUP(A459,'Remote work mental helath'!$A$2:$T$1001,13,)</f>
        <v>Yes</v>
      </c>
      <c r="K459">
        <f>VLOOKUP(A459,'Remote work mental helath'!$A$2:$T$1001,17,FALSE)</f>
        <v>3</v>
      </c>
    </row>
    <row r="460" spans="1:11" x14ac:dyDescent="0.3">
      <c r="A460" t="s">
        <v>509</v>
      </c>
      <c r="B460" t="str">
        <f>VLOOKUP(A460,'Remote work mental helath'!$A$2:$T$1001,12,)</f>
        <v>Depression</v>
      </c>
      <c r="C460" t="str">
        <f>VLOOKUP(A460,'Remote work mental helath'!$A$2:$T$1001,11,)</f>
        <v>High</v>
      </c>
      <c r="D460">
        <f>VLOOKUP('Mental Helath'!A460,'Remote work mental helath'!$A$2:$T$1001,10,)</f>
        <v>3</v>
      </c>
      <c r="E460" t="str">
        <f>VLOOKUP(A460,'Remote work mental helath'!A460:T1459,19,FALSE)</f>
        <v>Poor</v>
      </c>
      <c r="F460" t="str">
        <f>VLOOKUP(A460,'Remote work mental helath'!$A$2:$T$1001,18,)</f>
        <v>Daily</v>
      </c>
      <c r="G460">
        <f>VLOOKUP(A460,'Remote work mental helath'!$A$2:$T$1001,15,FALSE)</f>
        <v>1</v>
      </c>
      <c r="H460" t="str">
        <f>VLOOKUP(A460,'Remote work mental helath'!$A$2:$T$1001,14,)</f>
        <v>No Change</v>
      </c>
      <c r="I460" t="str">
        <f>VLOOKUP(A460,'Remote work mental helath'!$A$2:$T$1001,16,)</f>
        <v>Satisfied</v>
      </c>
      <c r="J460" t="str">
        <f>VLOOKUP(A460,'Remote work mental helath'!$A$2:$T$1001,13,)</f>
        <v>No</v>
      </c>
      <c r="K460">
        <f>VLOOKUP(A460,'Remote work mental helath'!$A$2:$T$1001,17,FALSE)</f>
        <v>3</v>
      </c>
    </row>
    <row r="461" spans="1:11" x14ac:dyDescent="0.3">
      <c r="A461" t="s">
        <v>510</v>
      </c>
      <c r="B461" t="str">
        <f>VLOOKUP(A461,'Remote work mental helath'!$A$2:$T$1001,12,)</f>
        <v>Depression</v>
      </c>
      <c r="C461" t="str">
        <f>VLOOKUP(A461,'Remote work mental helath'!$A$2:$T$1001,11,)</f>
        <v>Low</v>
      </c>
      <c r="D461">
        <f>VLOOKUP('Mental Helath'!A461,'Remote work mental helath'!$A$2:$T$1001,10,)</f>
        <v>5</v>
      </c>
      <c r="E461" t="str">
        <f>VLOOKUP(A461,'Remote work mental helath'!A461:T1460,19,FALSE)</f>
        <v>Average</v>
      </c>
      <c r="F461" t="str">
        <f>VLOOKUP(A461,'Remote work mental helath'!$A$2:$T$1001,18,)</f>
        <v>None</v>
      </c>
      <c r="G461">
        <f>VLOOKUP(A461,'Remote work mental helath'!$A$2:$T$1001,15,FALSE)</f>
        <v>2</v>
      </c>
      <c r="H461" t="str">
        <f>VLOOKUP(A461,'Remote work mental helath'!$A$2:$T$1001,14,)</f>
        <v>Increase</v>
      </c>
      <c r="I461" t="str">
        <f>VLOOKUP(A461,'Remote work mental helath'!$A$2:$T$1001,16,)</f>
        <v>Unsatisfied</v>
      </c>
      <c r="J461" t="str">
        <f>VLOOKUP(A461,'Remote work mental helath'!$A$2:$T$1001,13,)</f>
        <v>Yes</v>
      </c>
      <c r="K461">
        <f>VLOOKUP(A461,'Remote work mental helath'!$A$2:$T$1001,17,FALSE)</f>
        <v>3</v>
      </c>
    </row>
    <row r="462" spans="1:11" x14ac:dyDescent="0.3">
      <c r="A462" t="s">
        <v>511</v>
      </c>
      <c r="B462" t="str">
        <f>VLOOKUP(A462,'Remote work mental helath'!$A$2:$T$1001,12,)</f>
        <v>Burnout</v>
      </c>
      <c r="C462" t="str">
        <f>VLOOKUP(A462,'Remote work mental helath'!$A$2:$T$1001,11,)</f>
        <v>Medium</v>
      </c>
      <c r="D462">
        <f>VLOOKUP('Mental Helath'!A462,'Remote work mental helath'!$A$2:$T$1001,10,)</f>
        <v>2</v>
      </c>
      <c r="E462" t="str">
        <f>VLOOKUP(A462,'Remote work mental helath'!A462:T1461,19,FALSE)</f>
        <v>Poor</v>
      </c>
      <c r="F462" t="str">
        <f>VLOOKUP(A462,'Remote work mental helath'!$A$2:$T$1001,18,)</f>
        <v>None</v>
      </c>
      <c r="G462">
        <f>VLOOKUP(A462,'Remote work mental helath'!$A$2:$T$1001,15,FALSE)</f>
        <v>2</v>
      </c>
      <c r="H462" t="str">
        <f>VLOOKUP(A462,'Remote work mental helath'!$A$2:$T$1001,14,)</f>
        <v>Decrease</v>
      </c>
      <c r="I462" t="str">
        <f>VLOOKUP(A462,'Remote work mental helath'!$A$2:$T$1001,16,)</f>
        <v>Satisfied</v>
      </c>
      <c r="J462" t="str">
        <f>VLOOKUP(A462,'Remote work mental helath'!$A$2:$T$1001,13,)</f>
        <v>No</v>
      </c>
      <c r="K462">
        <f>VLOOKUP(A462,'Remote work mental helath'!$A$2:$T$1001,17,FALSE)</f>
        <v>2</v>
      </c>
    </row>
    <row r="463" spans="1:11" x14ac:dyDescent="0.3">
      <c r="A463" t="s">
        <v>512</v>
      </c>
      <c r="B463" t="str">
        <f>VLOOKUP(A463,'Remote work mental helath'!$A$2:$T$1001,12,)</f>
        <v>Burnout</v>
      </c>
      <c r="C463" t="str">
        <f>VLOOKUP(A463,'Remote work mental helath'!$A$2:$T$1001,11,)</f>
        <v>Medium</v>
      </c>
      <c r="D463">
        <f>VLOOKUP('Mental Helath'!A463,'Remote work mental helath'!$A$2:$T$1001,10,)</f>
        <v>5</v>
      </c>
      <c r="E463" t="str">
        <f>VLOOKUP(A463,'Remote work mental helath'!A463:T1462,19,FALSE)</f>
        <v>Good</v>
      </c>
      <c r="F463" t="str">
        <f>VLOOKUP(A463,'Remote work mental helath'!$A$2:$T$1001,18,)</f>
        <v>None</v>
      </c>
      <c r="G463">
        <f>VLOOKUP(A463,'Remote work mental helath'!$A$2:$T$1001,15,FALSE)</f>
        <v>2</v>
      </c>
      <c r="H463" t="str">
        <f>VLOOKUP(A463,'Remote work mental helath'!$A$2:$T$1001,14,)</f>
        <v>Decrease</v>
      </c>
      <c r="I463" t="str">
        <f>VLOOKUP(A463,'Remote work mental helath'!$A$2:$T$1001,16,)</f>
        <v>Neutral</v>
      </c>
      <c r="J463" t="str">
        <f>VLOOKUP(A463,'Remote work mental helath'!$A$2:$T$1001,13,)</f>
        <v>No</v>
      </c>
      <c r="K463">
        <f>VLOOKUP(A463,'Remote work mental helath'!$A$2:$T$1001,17,FALSE)</f>
        <v>2</v>
      </c>
    </row>
    <row r="464" spans="1:11" x14ac:dyDescent="0.3">
      <c r="A464" t="s">
        <v>513</v>
      </c>
      <c r="B464" t="str">
        <f>VLOOKUP(A464,'Remote work mental helath'!$A$2:$T$1001,12,)</f>
        <v>Burnout</v>
      </c>
      <c r="C464" t="str">
        <f>VLOOKUP(A464,'Remote work mental helath'!$A$2:$T$1001,11,)</f>
        <v>High</v>
      </c>
      <c r="D464">
        <f>VLOOKUP('Mental Helath'!A464,'Remote work mental helath'!$A$2:$T$1001,10,)</f>
        <v>1</v>
      </c>
      <c r="E464" t="str">
        <f>VLOOKUP(A464,'Remote work mental helath'!A464:T1463,19,FALSE)</f>
        <v>Average</v>
      </c>
      <c r="F464" t="str">
        <f>VLOOKUP(A464,'Remote work mental helath'!$A$2:$T$1001,18,)</f>
        <v>None</v>
      </c>
      <c r="G464">
        <f>VLOOKUP(A464,'Remote work mental helath'!$A$2:$T$1001,15,FALSE)</f>
        <v>1</v>
      </c>
      <c r="H464" t="str">
        <f>VLOOKUP(A464,'Remote work mental helath'!$A$2:$T$1001,14,)</f>
        <v>Decrease</v>
      </c>
      <c r="I464" t="str">
        <f>VLOOKUP(A464,'Remote work mental helath'!$A$2:$T$1001,16,)</f>
        <v>Satisfied</v>
      </c>
      <c r="J464" t="str">
        <f>VLOOKUP(A464,'Remote work mental helath'!$A$2:$T$1001,13,)</f>
        <v>No</v>
      </c>
      <c r="K464">
        <f>VLOOKUP(A464,'Remote work mental helath'!$A$2:$T$1001,17,FALSE)</f>
        <v>3</v>
      </c>
    </row>
    <row r="465" spans="1:11" x14ac:dyDescent="0.3">
      <c r="A465" t="s">
        <v>514</v>
      </c>
      <c r="B465" t="str">
        <f>VLOOKUP(A465,'Remote work mental helath'!$A$2:$T$1001,12,)</f>
        <v>Depression</v>
      </c>
      <c r="C465" t="str">
        <f>VLOOKUP(A465,'Remote work mental helath'!$A$2:$T$1001,11,)</f>
        <v>Low</v>
      </c>
      <c r="D465">
        <f>VLOOKUP('Mental Helath'!A465,'Remote work mental helath'!$A$2:$T$1001,10,)</f>
        <v>3</v>
      </c>
      <c r="E465" t="str">
        <f>VLOOKUP(A465,'Remote work mental helath'!A465:T1464,19,FALSE)</f>
        <v>Poor</v>
      </c>
      <c r="F465" t="str">
        <f>VLOOKUP(A465,'Remote work mental helath'!$A$2:$T$1001,18,)</f>
        <v>Daily</v>
      </c>
      <c r="G465">
        <f>VLOOKUP(A465,'Remote work mental helath'!$A$2:$T$1001,15,FALSE)</f>
        <v>3</v>
      </c>
      <c r="H465" t="str">
        <f>VLOOKUP(A465,'Remote work mental helath'!$A$2:$T$1001,14,)</f>
        <v>No Change</v>
      </c>
      <c r="I465" t="str">
        <f>VLOOKUP(A465,'Remote work mental helath'!$A$2:$T$1001,16,)</f>
        <v>Satisfied</v>
      </c>
      <c r="J465" t="str">
        <f>VLOOKUP(A465,'Remote work mental helath'!$A$2:$T$1001,13,)</f>
        <v>No</v>
      </c>
      <c r="K465">
        <f>VLOOKUP(A465,'Remote work mental helath'!$A$2:$T$1001,17,FALSE)</f>
        <v>5</v>
      </c>
    </row>
    <row r="466" spans="1:11" x14ac:dyDescent="0.3">
      <c r="A466" t="s">
        <v>515</v>
      </c>
      <c r="B466" t="str">
        <f>VLOOKUP(A466,'Remote work mental helath'!$A$2:$T$1001,12,)</f>
        <v>Anxiety</v>
      </c>
      <c r="C466" t="str">
        <f>VLOOKUP(A466,'Remote work mental helath'!$A$2:$T$1001,11,)</f>
        <v>High</v>
      </c>
      <c r="D466">
        <f>VLOOKUP('Mental Helath'!A466,'Remote work mental helath'!$A$2:$T$1001,10,)</f>
        <v>4</v>
      </c>
      <c r="E466" t="str">
        <f>VLOOKUP(A466,'Remote work mental helath'!A466:T1465,19,FALSE)</f>
        <v>Poor</v>
      </c>
      <c r="F466" t="str">
        <f>VLOOKUP(A466,'Remote work mental helath'!$A$2:$T$1001,18,)</f>
        <v>None</v>
      </c>
      <c r="G466">
        <f>VLOOKUP(A466,'Remote work mental helath'!$A$2:$T$1001,15,FALSE)</f>
        <v>1</v>
      </c>
      <c r="H466" t="str">
        <f>VLOOKUP(A466,'Remote work mental helath'!$A$2:$T$1001,14,)</f>
        <v>No Change</v>
      </c>
      <c r="I466" t="str">
        <f>VLOOKUP(A466,'Remote work mental helath'!$A$2:$T$1001,16,)</f>
        <v>Unsatisfied</v>
      </c>
      <c r="J466" t="str">
        <f>VLOOKUP(A466,'Remote work mental helath'!$A$2:$T$1001,13,)</f>
        <v>Yes</v>
      </c>
      <c r="K466">
        <f>VLOOKUP(A466,'Remote work mental helath'!$A$2:$T$1001,17,FALSE)</f>
        <v>2</v>
      </c>
    </row>
    <row r="467" spans="1:11" x14ac:dyDescent="0.3">
      <c r="A467" t="s">
        <v>516</v>
      </c>
      <c r="B467" t="str">
        <f>VLOOKUP(A467,'Remote work mental helath'!$A$2:$T$1001,12,)</f>
        <v>None</v>
      </c>
      <c r="C467" t="str">
        <f>VLOOKUP(A467,'Remote work mental helath'!$A$2:$T$1001,11,)</f>
        <v>High</v>
      </c>
      <c r="D467">
        <f>VLOOKUP('Mental Helath'!A467,'Remote work mental helath'!$A$2:$T$1001,10,)</f>
        <v>1</v>
      </c>
      <c r="E467" t="str">
        <f>VLOOKUP(A467,'Remote work mental helath'!A467:T1466,19,FALSE)</f>
        <v>Average</v>
      </c>
      <c r="F467" t="str">
        <f>VLOOKUP(A467,'Remote work mental helath'!$A$2:$T$1001,18,)</f>
        <v>None</v>
      </c>
      <c r="G467">
        <f>VLOOKUP(A467,'Remote work mental helath'!$A$2:$T$1001,15,FALSE)</f>
        <v>5</v>
      </c>
      <c r="H467" t="str">
        <f>VLOOKUP(A467,'Remote work mental helath'!$A$2:$T$1001,14,)</f>
        <v>Decrease</v>
      </c>
      <c r="I467" t="str">
        <f>VLOOKUP(A467,'Remote work mental helath'!$A$2:$T$1001,16,)</f>
        <v>Unsatisfied</v>
      </c>
      <c r="J467" t="str">
        <f>VLOOKUP(A467,'Remote work mental helath'!$A$2:$T$1001,13,)</f>
        <v>No</v>
      </c>
      <c r="K467">
        <f>VLOOKUP(A467,'Remote work mental helath'!$A$2:$T$1001,17,FALSE)</f>
        <v>2</v>
      </c>
    </row>
    <row r="468" spans="1:11" x14ac:dyDescent="0.3">
      <c r="A468" t="s">
        <v>517</v>
      </c>
      <c r="B468" t="str">
        <f>VLOOKUP(A468,'Remote work mental helath'!$A$2:$T$1001,12,)</f>
        <v>Anxiety</v>
      </c>
      <c r="C468" t="str">
        <f>VLOOKUP(A468,'Remote work mental helath'!$A$2:$T$1001,11,)</f>
        <v>Medium</v>
      </c>
      <c r="D468">
        <f>VLOOKUP('Mental Helath'!A468,'Remote work mental helath'!$A$2:$T$1001,10,)</f>
        <v>2</v>
      </c>
      <c r="E468" t="str">
        <f>VLOOKUP(A468,'Remote work mental helath'!A468:T1467,19,FALSE)</f>
        <v>Average</v>
      </c>
      <c r="F468" t="str">
        <f>VLOOKUP(A468,'Remote work mental helath'!$A$2:$T$1001,18,)</f>
        <v>None</v>
      </c>
      <c r="G468">
        <f>VLOOKUP(A468,'Remote work mental helath'!$A$2:$T$1001,15,FALSE)</f>
        <v>2</v>
      </c>
      <c r="H468" t="str">
        <f>VLOOKUP(A468,'Remote work mental helath'!$A$2:$T$1001,14,)</f>
        <v>Increase</v>
      </c>
      <c r="I468" t="str">
        <f>VLOOKUP(A468,'Remote work mental helath'!$A$2:$T$1001,16,)</f>
        <v>Neutral</v>
      </c>
      <c r="J468" t="str">
        <f>VLOOKUP(A468,'Remote work mental helath'!$A$2:$T$1001,13,)</f>
        <v>Yes</v>
      </c>
      <c r="K468">
        <f>VLOOKUP(A468,'Remote work mental helath'!$A$2:$T$1001,17,FALSE)</f>
        <v>2</v>
      </c>
    </row>
    <row r="469" spans="1:11" x14ac:dyDescent="0.3">
      <c r="A469" t="s">
        <v>518</v>
      </c>
      <c r="B469" t="str">
        <f>VLOOKUP(A469,'Remote work mental helath'!$A$2:$T$1001,12,)</f>
        <v>Anxiety</v>
      </c>
      <c r="C469" t="str">
        <f>VLOOKUP(A469,'Remote work mental helath'!$A$2:$T$1001,11,)</f>
        <v>Medium</v>
      </c>
      <c r="D469">
        <f>VLOOKUP('Mental Helath'!A469,'Remote work mental helath'!$A$2:$T$1001,10,)</f>
        <v>1</v>
      </c>
      <c r="E469" t="str">
        <f>VLOOKUP(A469,'Remote work mental helath'!A469:T1468,19,FALSE)</f>
        <v>Poor</v>
      </c>
      <c r="F469" t="str">
        <f>VLOOKUP(A469,'Remote work mental helath'!$A$2:$T$1001,18,)</f>
        <v>Weekly</v>
      </c>
      <c r="G469">
        <f>VLOOKUP(A469,'Remote work mental helath'!$A$2:$T$1001,15,FALSE)</f>
        <v>5</v>
      </c>
      <c r="H469" t="str">
        <f>VLOOKUP(A469,'Remote work mental helath'!$A$2:$T$1001,14,)</f>
        <v>Decrease</v>
      </c>
      <c r="I469" t="str">
        <f>VLOOKUP(A469,'Remote work mental helath'!$A$2:$T$1001,16,)</f>
        <v>Satisfied</v>
      </c>
      <c r="J469" t="str">
        <f>VLOOKUP(A469,'Remote work mental helath'!$A$2:$T$1001,13,)</f>
        <v>Yes</v>
      </c>
      <c r="K469">
        <f>VLOOKUP(A469,'Remote work mental helath'!$A$2:$T$1001,17,FALSE)</f>
        <v>1</v>
      </c>
    </row>
    <row r="470" spans="1:11" x14ac:dyDescent="0.3">
      <c r="A470" t="s">
        <v>519</v>
      </c>
      <c r="B470" t="str">
        <f>VLOOKUP(A470,'Remote work mental helath'!$A$2:$T$1001,12,)</f>
        <v>Burnout</v>
      </c>
      <c r="C470" t="str">
        <f>VLOOKUP(A470,'Remote work mental helath'!$A$2:$T$1001,11,)</f>
        <v>Low</v>
      </c>
      <c r="D470">
        <f>VLOOKUP('Mental Helath'!A470,'Remote work mental helath'!$A$2:$T$1001,10,)</f>
        <v>1</v>
      </c>
      <c r="E470" t="str">
        <f>VLOOKUP(A470,'Remote work mental helath'!A470:T1469,19,FALSE)</f>
        <v>Average</v>
      </c>
      <c r="F470" t="str">
        <f>VLOOKUP(A470,'Remote work mental helath'!$A$2:$T$1001,18,)</f>
        <v>Weekly</v>
      </c>
      <c r="G470">
        <f>VLOOKUP(A470,'Remote work mental helath'!$A$2:$T$1001,15,FALSE)</f>
        <v>4</v>
      </c>
      <c r="H470" t="str">
        <f>VLOOKUP(A470,'Remote work mental helath'!$A$2:$T$1001,14,)</f>
        <v>Decrease</v>
      </c>
      <c r="I470" t="str">
        <f>VLOOKUP(A470,'Remote work mental helath'!$A$2:$T$1001,16,)</f>
        <v>Satisfied</v>
      </c>
      <c r="J470" t="str">
        <f>VLOOKUP(A470,'Remote work mental helath'!$A$2:$T$1001,13,)</f>
        <v>Yes</v>
      </c>
      <c r="K470">
        <f>VLOOKUP(A470,'Remote work mental helath'!$A$2:$T$1001,17,FALSE)</f>
        <v>1</v>
      </c>
    </row>
    <row r="471" spans="1:11" x14ac:dyDescent="0.3">
      <c r="A471" t="s">
        <v>520</v>
      </c>
      <c r="B471" t="str">
        <f>VLOOKUP(A471,'Remote work mental helath'!$A$2:$T$1001,12,)</f>
        <v>Depression</v>
      </c>
      <c r="C471" t="str">
        <f>VLOOKUP(A471,'Remote work mental helath'!$A$2:$T$1001,11,)</f>
        <v>Low</v>
      </c>
      <c r="D471">
        <f>VLOOKUP('Mental Helath'!A471,'Remote work mental helath'!$A$2:$T$1001,10,)</f>
        <v>4</v>
      </c>
      <c r="E471" t="str">
        <f>VLOOKUP(A471,'Remote work mental helath'!A471:T1470,19,FALSE)</f>
        <v>Poor</v>
      </c>
      <c r="F471" t="str">
        <f>VLOOKUP(A471,'Remote work mental helath'!$A$2:$T$1001,18,)</f>
        <v>Daily</v>
      </c>
      <c r="G471">
        <f>VLOOKUP(A471,'Remote work mental helath'!$A$2:$T$1001,15,FALSE)</f>
        <v>1</v>
      </c>
      <c r="H471" t="str">
        <f>VLOOKUP(A471,'Remote work mental helath'!$A$2:$T$1001,14,)</f>
        <v>No Change</v>
      </c>
      <c r="I471" t="str">
        <f>VLOOKUP(A471,'Remote work mental helath'!$A$2:$T$1001,16,)</f>
        <v>Unsatisfied</v>
      </c>
      <c r="J471" t="str">
        <f>VLOOKUP(A471,'Remote work mental helath'!$A$2:$T$1001,13,)</f>
        <v>Yes</v>
      </c>
      <c r="K471">
        <f>VLOOKUP(A471,'Remote work mental helath'!$A$2:$T$1001,17,FALSE)</f>
        <v>3</v>
      </c>
    </row>
    <row r="472" spans="1:11" x14ac:dyDescent="0.3">
      <c r="A472" t="s">
        <v>521</v>
      </c>
      <c r="B472" t="str">
        <f>VLOOKUP(A472,'Remote work mental helath'!$A$2:$T$1001,12,)</f>
        <v>Depression</v>
      </c>
      <c r="C472" t="str">
        <f>VLOOKUP(A472,'Remote work mental helath'!$A$2:$T$1001,11,)</f>
        <v>Low</v>
      </c>
      <c r="D472">
        <f>VLOOKUP('Mental Helath'!A472,'Remote work mental helath'!$A$2:$T$1001,10,)</f>
        <v>2</v>
      </c>
      <c r="E472" t="str">
        <f>VLOOKUP(A472,'Remote work mental helath'!A472:T1471,19,FALSE)</f>
        <v>Good</v>
      </c>
      <c r="F472" t="str">
        <f>VLOOKUP(A472,'Remote work mental helath'!$A$2:$T$1001,18,)</f>
        <v>Daily</v>
      </c>
      <c r="G472">
        <f>VLOOKUP(A472,'Remote work mental helath'!$A$2:$T$1001,15,FALSE)</f>
        <v>1</v>
      </c>
      <c r="H472" t="str">
        <f>VLOOKUP(A472,'Remote work mental helath'!$A$2:$T$1001,14,)</f>
        <v>No Change</v>
      </c>
      <c r="I472" t="str">
        <f>VLOOKUP(A472,'Remote work mental helath'!$A$2:$T$1001,16,)</f>
        <v>Neutral</v>
      </c>
      <c r="J472" t="str">
        <f>VLOOKUP(A472,'Remote work mental helath'!$A$2:$T$1001,13,)</f>
        <v>No</v>
      </c>
      <c r="K472">
        <f>VLOOKUP(A472,'Remote work mental helath'!$A$2:$T$1001,17,FALSE)</f>
        <v>2</v>
      </c>
    </row>
    <row r="473" spans="1:11" x14ac:dyDescent="0.3">
      <c r="A473" t="s">
        <v>522</v>
      </c>
      <c r="B473" t="str">
        <f>VLOOKUP(A473,'Remote work mental helath'!$A$2:$T$1001,12,)</f>
        <v>None</v>
      </c>
      <c r="C473" t="str">
        <f>VLOOKUP(A473,'Remote work mental helath'!$A$2:$T$1001,11,)</f>
        <v>High</v>
      </c>
      <c r="D473">
        <f>VLOOKUP('Mental Helath'!A473,'Remote work mental helath'!$A$2:$T$1001,10,)</f>
        <v>2</v>
      </c>
      <c r="E473" t="str">
        <f>VLOOKUP(A473,'Remote work mental helath'!A473:T1472,19,FALSE)</f>
        <v>Average</v>
      </c>
      <c r="F473" t="str">
        <f>VLOOKUP(A473,'Remote work mental helath'!$A$2:$T$1001,18,)</f>
        <v>Daily</v>
      </c>
      <c r="G473">
        <f>VLOOKUP(A473,'Remote work mental helath'!$A$2:$T$1001,15,FALSE)</f>
        <v>3</v>
      </c>
      <c r="H473" t="str">
        <f>VLOOKUP(A473,'Remote work mental helath'!$A$2:$T$1001,14,)</f>
        <v>Decrease</v>
      </c>
      <c r="I473" t="str">
        <f>VLOOKUP(A473,'Remote work mental helath'!$A$2:$T$1001,16,)</f>
        <v>Neutral</v>
      </c>
      <c r="J473" t="str">
        <f>VLOOKUP(A473,'Remote work mental helath'!$A$2:$T$1001,13,)</f>
        <v>No</v>
      </c>
      <c r="K473">
        <f>VLOOKUP(A473,'Remote work mental helath'!$A$2:$T$1001,17,FALSE)</f>
        <v>2</v>
      </c>
    </row>
    <row r="474" spans="1:11" x14ac:dyDescent="0.3">
      <c r="A474" t="s">
        <v>523</v>
      </c>
      <c r="B474" t="str">
        <f>VLOOKUP(A474,'Remote work mental helath'!$A$2:$T$1001,12,)</f>
        <v>None</v>
      </c>
      <c r="C474" t="str">
        <f>VLOOKUP(A474,'Remote work mental helath'!$A$2:$T$1001,11,)</f>
        <v>Medium</v>
      </c>
      <c r="D474">
        <f>VLOOKUP('Mental Helath'!A474,'Remote work mental helath'!$A$2:$T$1001,10,)</f>
        <v>3</v>
      </c>
      <c r="E474" t="str">
        <f>VLOOKUP(A474,'Remote work mental helath'!A474:T1473,19,FALSE)</f>
        <v>Average</v>
      </c>
      <c r="F474" t="str">
        <f>VLOOKUP(A474,'Remote work mental helath'!$A$2:$T$1001,18,)</f>
        <v>Weekly</v>
      </c>
      <c r="G474">
        <f>VLOOKUP(A474,'Remote work mental helath'!$A$2:$T$1001,15,FALSE)</f>
        <v>5</v>
      </c>
      <c r="H474" t="str">
        <f>VLOOKUP(A474,'Remote work mental helath'!$A$2:$T$1001,14,)</f>
        <v>Decrease</v>
      </c>
      <c r="I474" t="str">
        <f>VLOOKUP(A474,'Remote work mental helath'!$A$2:$T$1001,16,)</f>
        <v>Satisfied</v>
      </c>
      <c r="J474" t="str">
        <f>VLOOKUP(A474,'Remote work mental helath'!$A$2:$T$1001,13,)</f>
        <v>Yes</v>
      </c>
      <c r="K474">
        <f>VLOOKUP(A474,'Remote work mental helath'!$A$2:$T$1001,17,FALSE)</f>
        <v>1</v>
      </c>
    </row>
    <row r="475" spans="1:11" x14ac:dyDescent="0.3">
      <c r="A475" t="s">
        <v>524</v>
      </c>
      <c r="B475" t="str">
        <f>VLOOKUP(A475,'Remote work mental helath'!$A$2:$T$1001,12,)</f>
        <v>Depression</v>
      </c>
      <c r="C475" t="str">
        <f>VLOOKUP(A475,'Remote work mental helath'!$A$2:$T$1001,11,)</f>
        <v>Medium</v>
      </c>
      <c r="D475">
        <f>VLOOKUP('Mental Helath'!A475,'Remote work mental helath'!$A$2:$T$1001,10,)</f>
        <v>2</v>
      </c>
      <c r="E475" t="str">
        <f>VLOOKUP(A475,'Remote work mental helath'!A475:T1474,19,FALSE)</f>
        <v>Poor</v>
      </c>
      <c r="F475" t="str">
        <f>VLOOKUP(A475,'Remote work mental helath'!$A$2:$T$1001,18,)</f>
        <v>None</v>
      </c>
      <c r="G475">
        <f>VLOOKUP(A475,'Remote work mental helath'!$A$2:$T$1001,15,FALSE)</f>
        <v>1</v>
      </c>
      <c r="H475" t="str">
        <f>VLOOKUP(A475,'Remote work mental helath'!$A$2:$T$1001,14,)</f>
        <v>Decrease</v>
      </c>
      <c r="I475" t="str">
        <f>VLOOKUP(A475,'Remote work mental helath'!$A$2:$T$1001,16,)</f>
        <v>Unsatisfied</v>
      </c>
      <c r="J475" t="str">
        <f>VLOOKUP(A475,'Remote work mental helath'!$A$2:$T$1001,13,)</f>
        <v>No</v>
      </c>
      <c r="K475">
        <f>VLOOKUP(A475,'Remote work mental helath'!$A$2:$T$1001,17,FALSE)</f>
        <v>2</v>
      </c>
    </row>
    <row r="476" spans="1:11" x14ac:dyDescent="0.3">
      <c r="A476" t="s">
        <v>525</v>
      </c>
      <c r="B476" t="str">
        <f>VLOOKUP(A476,'Remote work mental helath'!$A$2:$T$1001,12,)</f>
        <v>Depression</v>
      </c>
      <c r="C476" t="str">
        <f>VLOOKUP(A476,'Remote work mental helath'!$A$2:$T$1001,11,)</f>
        <v>Low</v>
      </c>
      <c r="D476">
        <f>VLOOKUP('Mental Helath'!A476,'Remote work mental helath'!$A$2:$T$1001,10,)</f>
        <v>2</v>
      </c>
      <c r="E476" t="str">
        <f>VLOOKUP(A476,'Remote work mental helath'!A476:T1475,19,FALSE)</f>
        <v>Poor</v>
      </c>
      <c r="F476" t="str">
        <f>VLOOKUP(A476,'Remote work mental helath'!$A$2:$T$1001,18,)</f>
        <v>None</v>
      </c>
      <c r="G476">
        <f>VLOOKUP(A476,'Remote work mental helath'!$A$2:$T$1001,15,FALSE)</f>
        <v>4</v>
      </c>
      <c r="H476" t="str">
        <f>VLOOKUP(A476,'Remote work mental helath'!$A$2:$T$1001,14,)</f>
        <v>Increase</v>
      </c>
      <c r="I476" t="str">
        <f>VLOOKUP(A476,'Remote work mental helath'!$A$2:$T$1001,16,)</f>
        <v>Satisfied</v>
      </c>
      <c r="J476" t="str">
        <f>VLOOKUP(A476,'Remote work mental helath'!$A$2:$T$1001,13,)</f>
        <v>Yes</v>
      </c>
      <c r="K476">
        <f>VLOOKUP(A476,'Remote work mental helath'!$A$2:$T$1001,17,FALSE)</f>
        <v>5</v>
      </c>
    </row>
    <row r="477" spans="1:11" x14ac:dyDescent="0.3">
      <c r="A477" t="s">
        <v>526</v>
      </c>
      <c r="B477" t="str">
        <f>VLOOKUP(A477,'Remote work mental helath'!$A$2:$T$1001,12,)</f>
        <v>Depression</v>
      </c>
      <c r="C477" t="str">
        <f>VLOOKUP(A477,'Remote work mental helath'!$A$2:$T$1001,11,)</f>
        <v>Low</v>
      </c>
      <c r="D477">
        <f>VLOOKUP('Mental Helath'!A477,'Remote work mental helath'!$A$2:$T$1001,10,)</f>
        <v>3</v>
      </c>
      <c r="E477" t="str">
        <f>VLOOKUP(A477,'Remote work mental helath'!A477:T1476,19,FALSE)</f>
        <v>Poor</v>
      </c>
      <c r="F477" t="str">
        <f>VLOOKUP(A477,'Remote work mental helath'!$A$2:$T$1001,18,)</f>
        <v>Weekly</v>
      </c>
      <c r="G477">
        <f>VLOOKUP(A477,'Remote work mental helath'!$A$2:$T$1001,15,FALSE)</f>
        <v>3</v>
      </c>
      <c r="H477" t="str">
        <f>VLOOKUP(A477,'Remote work mental helath'!$A$2:$T$1001,14,)</f>
        <v>No Change</v>
      </c>
      <c r="I477" t="str">
        <f>VLOOKUP(A477,'Remote work mental helath'!$A$2:$T$1001,16,)</f>
        <v>Satisfied</v>
      </c>
      <c r="J477" t="str">
        <f>VLOOKUP(A477,'Remote work mental helath'!$A$2:$T$1001,13,)</f>
        <v>Yes</v>
      </c>
      <c r="K477">
        <f>VLOOKUP(A477,'Remote work mental helath'!$A$2:$T$1001,17,FALSE)</f>
        <v>5</v>
      </c>
    </row>
    <row r="478" spans="1:11" x14ac:dyDescent="0.3">
      <c r="A478" t="s">
        <v>527</v>
      </c>
      <c r="B478" t="str">
        <f>VLOOKUP(A478,'Remote work mental helath'!$A$2:$T$1001,12,)</f>
        <v>Anxiety</v>
      </c>
      <c r="C478" t="str">
        <f>VLOOKUP(A478,'Remote work mental helath'!$A$2:$T$1001,11,)</f>
        <v>Low</v>
      </c>
      <c r="D478">
        <f>VLOOKUP('Mental Helath'!A478,'Remote work mental helath'!$A$2:$T$1001,10,)</f>
        <v>2</v>
      </c>
      <c r="E478" t="str">
        <f>VLOOKUP(A478,'Remote work mental helath'!A478:T1477,19,FALSE)</f>
        <v>Average</v>
      </c>
      <c r="F478" t="str">
        <f>VLOOKUP(A478,'Remote work mental helath'!$A$2:$T$1001,18,)</f>
        <v>Daily</v>
      </c>
      <c r="G478">
        <f>VLOOKUP(A478,'Remote work mental helath'!$A$2:$T$1001,15,FALSE)</f>
        <v>4</v>
      </c>
      <c r="H478" t="str">
        <f>VLOOKUP(A478,'Remote work mental helath'!$A$2:$T$1001,14,)</f>
        <v>Increase</v>
      </c>
      <c r="I478" t="str">
        <f>VLOOKUP(A478,'Remote work mental helath'!$A$2:$T$1001,16,)</f>
        <v>Unsatisfied</v>
      </c>
      <c r="J478" t="str">
        <f>VLOOKUP(A478,'Remote work mental helath'!$A$2:$T$1001,13,)</f>
        <v>No</v>
      </c>
      <c r="K478">
        <f>VLOOKUP(A478,'Remote work mental helath'!$A$2:$T$1001,17,FALSE)</f>
        <v>4</v>
      </c>
    </row>
    <row r="479" spans="1:11" x14ac:dyDescent="0.3">
      <c r="A479" t="s">
        <v>528</v>
      </c>
      <c r="B479" t="str">
        <f>VLOOKUP(A479,'Remote work mental helath'!$A$2:$T$1001,12,)</f>
        <v>Burnout</v>
      </c>
      <c r="C479" t="str">
        <f>VLOOKUP(A479,'Remote work mental helath'!$A$2:$T$1001,11,)</f>
        <v>High</v>
      </c>
      <c r="D479">
        <f>VLOOKUP('Mental Helath'!A479,'Remote work mental helath'!$A$2:$T$1001,10,)</f>
        <v>4</v>
      </c>
      <c r="E479" t="str">
        <f>VLOOKUP(A479,'Remote work mental helath'!A479:T1478,19,FALSE)</f>
        <v>Good</v>
      </c>
      <c r="F479" t="str">
        <f>VLOOKUP(A479,'Remote work mental helath'!$A$2:$T$1001,18,)</f>
        <v>None</v>
      </c>
      <c r="G479">
        <f>VLOOKUP(A479,'Remote work mental helath'!$A$2:$T$1001,15,FALSE)</f>
        <v>3</v>
      </c>
      <c r="H479" t="str">
        <f>VLOOKUP(A479,'Remote work mental helath'!$A$2:$T$1001,14,)</f>
        <v>Decrease</v>
      </c>
      <c r="I479" t="str">
        <f>VLOOKUP(A479,'Remote work mental helath'!$A$2:$T$1001,16,)</f>
        <v>Satisfied</v>
      </c>
      <c r="J479" t="str">
        <f>VLOOKUP(A479,'Remote work mental helath'!$A$2:$T$1001,13,)</f>
        <v>No</v>
      </c>
      <c r="K479">
        <f>VLOOKUP(A479,'Remote work mental helath'!$A$2:$T$1001,17,FALSE)</f>
        <v>2</v>
      </c>
    </row>
    <row r="480" spans="1:11" x14ac:dyDescent="0.3">
      <c r="A480" t="s">
        <v>529</v>
      </c>
      <c r="B480" t="str">
        <f>VLOOKUP(A480,'Remote work mental helath'!$A$2:$T$1001,12,)</f>
        <v>Depression</v>
      </c>
      <c r="C480" t="str">
        <f>VLOOKUP(A480,'Remote work mental helath'!$A$2:$T$1001,11,)</f>
        <v>Low</v>
      </c>
      <c r="D480">
        <f>VLOOKUP('Mental Helath'!A480,'Remote work mental helath'!$A$2:$T$1001,10,)</f>
        <v>1</v>
      </c>
      <c r="E480" t="str">
        <f>VLOOKUP(A480,'Remote work mental helath'!A480:T1479,19,FALSE)</f>
        <v>Good</v>
      </c>
      <c r="F480" t="str">
        <f>VLOOKUP(A480,'Remote work mental helath'!$A$2:$T$1001,18,)</f>
        <v>None</v>
      </c>
      <c r="G480">
        <f>VLOOKUP(A480,'Remote work mental helath'!$A$2:$T$1001,15,FALSE)</f>
        <v>2</v>
      </c>
      <c r="H480" t="str">
        <f>VLOOKUP(A480,'Remote work mental helath'!$A$2:$T$1001,14,)</f>
        <v>Decrease</v>
      </c>
      <c r="I480" t="str">
        <f>VLOOKUP(A480,'Remote work mental helath'!$A$2:$T$1001,16,)</f>
        <v>Unsatisfied</v>
      </c>
      <c r="J480" t="str">
        <f>VLOOKUP(A480,'Remote work mental helath'!$A$2:$T$1001,13,)</f>
        <v>Yes</v>
      </c>
      <c r="K480">
        <f>VLOOKUP(A480,'Remote work mental helath'!$A$2:$T$1001,17,FALSE)</f>
        <v>5</v>
      </c>
    </row>
    <row r="481" spans="1:11" x14ac:dyDescent="0.3">
      <c r="A481" t="s">
        <v>530</v>
      </c>
      <c r="B481" t="str">
        <f>VLOOKUP(A481,'Remote work mental helath'!$A$2:$T$1001,12,)</f>
        <v>Burnout</v>
      </c>
      <c r="C481" t="str">
        <f>VLOOKUP(A481,'Remote work mental helath'!$A$2:$T$1001,11,)</f>
        <v>Low</v>
      </c>
      <c r="D481">
        <f>VLOOKUP('Mental Helath'!A481,'Remote work mental helath'!$A$2:$T$1001,10,)</f>
        <v>4</v>
      </c>
      <c r="E481" t="str">
        <f>VLOOKUP(A481,'Remote work mental helath'!A481:T1480,19,FALSE)</f>
        <v>Poor</v>
      </c>
      <c r="F481" t="str">
        <f>VLOOKUP(A481,'Remote work mental helath'!$A$2:$T$1001,18,)</f>
        <v>Weekly</v>
      </c>
      <c r="G481">
        <f>VLOOKUP(A481,'Remote work mental helath'!$A$2:$T$1001,15,FALSE)</f>
        <v>1</v>
      </c>
      <c r="H481" t="str">
        <f>VLOOKUP(A481,'Remote work mental helath'!$A$2:$T$1001,14,)</f>
        <v>No Change</v>
      </c>
      <c r="I481" t="str">
        <f>VLOOKUP(A481,'Remote work mental helath'!$A$2:$T$1001,16,)</f>
        <v>Unsatisfied</v>
      </c>
      <c r="J481" t="str">
        <f>VLOOKUP(A481,'Remote work mental helath'!$A$2:$T$1001,13,)</f>
        <v>Yes</v>
      </c>
      <c r="K481">
        <f>VLOOKUP(A481,'Remote work mental helath'!$A$2:$T$1001,17,FALSE)</f>
        <v>1</v>
      </c>
    </row>
    <row r="482" spans="1:11" x14ac:dyDescent="0.3">
      <c r="A482" t="s">
        <v>531</v>
      </c>
      <c r="B482" t="str">
        <f>VLOOKUP(A482,'Remote work mental helath'!$A$2:$T$1001,12,)</f>
        <v>Burnout</v>
      </c>
      <c r="C482" t="str">
        <f>VLOOKUP(A482,'Remote work mental helath'!$A$2:$T$1001,11,)</f>
        <v>High</v>
      </c>
      <c r="D482">
        <f>VLOOKUP('Mental Helath'!A482,'Remote work mental helath'!$A$2:$T$1001,10,)</f>
        <v>2</v>
      </c>
      <c r="E482" t="str">
        <f>VLOOKUP(A482,'Remote work mental helath'!A482:T1481,19,FALSE)</f>
        <v>Average</v>
      </c>
      <c r="F482" t="str">
        <f>VLOOKUP(A482,'Remote work mental helath'!$A$2:$T$1001,18,)</f>
        <v>Daily</v>
      </c>
      <c r="G482">
        <f>VLOOKUP(A482,'Remote work mental helath'!$A$2:$T$1001,15,FALSE)</f>
        <v>3</v>
      </c>
      <c r="H482" t="str">
        <f>VLOOKUP(A482,'Remote work mental helath'!$A$2:$T$1001,14,)</f>
        <v>Decrease</v>
      </c>
      <c r="I482" t="str">
        <f>VLOOKUP(A482,'Remote work mental helath'!$A$2:$T$1001,16,)</f>
        <v>Neutral</v>
      </c>
      <c r="J482" t="str">
        <f>VLOOKUP(A482,'Remote work mental helath'!$A$2:$T$1001,13,)</f>
        <v>No</v>
      </c>
      <c r="K482">
        <f>VLOOKUP(A482,'Remote work mental helath'!$A$2:$T$1001,17,FALSE)</f>
        <v>5</v>
      </c>
    </row>
    <row r="483" spans="1:11" x14ac:dyDescent="0.3">
      <c r="A483" t="s">
        <v>532</v>
      </c>
      <c r="B483" t="str">
        <f>VLOOKUP(A483,'Remote work mental helath'!$A$2:$T$1001,12,)</f>
        <v>Anxiety</v>
      </c>
      <c r="C483" t="str">
        <f>VLOOKUP(A483,'Remote work mental helath'!$A$2:$T$1001,11,)</f>
        <v>Medium</v>
      </c>
      <c r="D483">
        <f>VLOOKUP('Mental Helath'!A483,'Remote work mental helath'!$A$2:$T$1001,10,)</f>
        <v>2</v>
      </c>
      <c r="E483" t="str">
        <f>VLOOKUP(A483,'Remote work mental helath'!A483:T1482,19,FALSE)</f>
        <v>Poor</v>
      </c>
      <c r="F483" t="str">
        <f>VLOOKUP(A483,'Remote work mental helath'!$A$2:$T$1001,18,)</f>
        <v>Weekly</v>
      </c>
      <c r="G483">
        <f>VLOOKUP(A483,'Remote work mental helath'!$A$2:$T$1001,15,FALSE)</f>
        <v>3</v>
      </c>
      <c r="H483" t="str">
        <f>VLOOKUP(A483,'Remote work mental helath'!$A$2:$T$1001,14,)</f>
        <v>Decrease</v>
      </c>
      <c r="I483" t="str">
        <f>VLOOKUP(A483,'Remote work mental helath'!$A$2:$T$1001,16,)</f>
        <v>Unsatisfied</v>
      </c>
      <c r="J483" t="str">
        <f>VLOOKUP(A483,'Remote work mental helath'!$A$2:$T$1001,13,)</f>
        <v>Yes</v>
      </c>
      <c r="K483">
        <f>VLOOKUP(A483,'Remote work mental helath'!$A$2:$T$1001,17,FALSE)</f>
        <v>1</v>
      </c>
    </row>
    <row r="484" spans="1:11" x14ac:dyDescent="0.3">
      <c r="A484" t="s">
        <v>533</v>
      </c>
      <c r="B484" t="str">
        <f>VLOOKUP(A484,'Remote work mental helath'!$A$2:$T$1001,12,)</f>
        <v>Burnout</v>
      </c>
      <c r="C484" t="str">
        <f>VLOOKUP(A484,'Remote work mental helath'!$A$2:$T$1001,11,)</f>
        <v>Medium</v>
      </c>
      <c r="D484">
        <f>VLOOKUP('Mental Helath'!A484,'Remote work mental helath'!$A$2:$T$1001,10,)</f>
        <v>3</v>
      </c>
      <c r="E484" t="str">
        <f>VLOOKUP(A484,'Remote work mental helath'!A484:T1483,19,FALSE)</f>
        <v>Poor</v>
      </c>
      <c r="F484" t="str">
        <f>VLOOKUP(A484,'Remote work mental helath'!$A$2:$T$1001,18,)</f>
        <v>Weekly</v>
      </c>
      <c r="G484">
        <f>VLOOKUP(A484,'Remote work mental helath'!$A$2:$T$1001,15,FALSE)</f>
        <v>2</v>
      </c>
      <c r="H484" t="str">
        <f>VLOOKUP(A484,'Remote work mental helath'!$A$2:$T$1001,14,)</f>
        <v>Decrease</v>
      </c>
      <c r="I484" t="str">
        <f>VLOOKUP(A484,'Remote work mental helath'!$A$2:$T$1001,16,)</f>
        <v>Neutral</v>
      </c>
      <c r="J484" t="str">
        <f>VLOOKUP(A484,'Remote work mental helath'!$A$2:$T$1001,13,)</f>
        <v>Yes</v>
      </c>
      <c r="K484">
        <f>VLOOKUP(A484,'Remote work mental helath'!$A$2:$T$1001,17,FALSE)</f>
        <v>3</v>
      </c>
    </row>
    <row r="485" spans="1:11" x14ac:dyDescent="0.3">
      <c r="A485" t="s">
        <v>534</v>
      </c>
      <c r="B485" t="str">
        <f>VLOOKUP(A485,'Remote work mental helath'!$A$2:$T$1001,12,)</f>
        <v>Burnout</v>
      </c>
      <c r="C485" t="str">
        <f>VLOOKUP(A485,'Remote work mental helath'!$A$2:$T$1001,11,)</f>
        <v>Low</v>
      </c>
      <c r="D485">
        <f>VLOOKUP('Mental Helath'!A485,'Remote work mental helath'!$A$2:$T$1001,10,)</f>
        <v>2</v>
      </c>
      <c r="E485" t="str">
        <f>VLOOKUP(A485,'Remote work mental helath'!A485:T1484,19,FALSE)</f>
        <v>Average</v>
      </c>
      <c r="F485" t="str">
        <f>VLOOKUP(A485,'Remote work mental helath'!$A$2:$T$1001,18,)</f>
        <v>Weekly</v>
      </c>
      <c r="G485">
        <f>VLOOKUP(A485,'Remote work mental helath'!$A$2:$T$1001,15,FALSE)</f>
        <v>1</v>
      </c>
      <c r="H485" t="str">
        <f>VLOOKUP(A485,'Remote work mental helath'!$A$2:$T$1001,14,)</f>
        <v>Increase</v>
      </c>
      <c r="I485" t="str">
        <f>VLOOKUP(A485,'Remote work mental helath'!$A$2:$T$1001,16,)</f>
        <v>Satisfied</v>
      </c>
      <c r="J485" t="str">
        <f>VLOOKUP(A485,'Remote work mental helath'!$A$2:$T$1001,13,)</f>
        <v>No</v>
      </c>
      <c r="K485">
        <f>VLOOKUP(A485,'Remote work mental helath'!$A$2:$T$1001,17,FALSE)</f>
        <v>3</v>
      </c>
    </row>
    <row r="486" spans="1:11" x14ac:dyDescent="0.3">
      <c r="A486" t="s">
        <v>535</v>
      </c>
      <c r="B486" t="str">
        <f>VLOOKUP(A486,'Remote work mental helath'!$A$2:$T$1001,12,)</f>
        <v>Anxiety</v>
      </c>
      <c r="C486" t="str">
        <f>VLOOKUP(A486,'Remote work mental helath'!$A$2:$T$1001,11,)</f>
        <v>Low</v>
      </c>
      <c r="D486">
        <f>VLOOKUP('Mental Helath'!A486,'Remote work mental helath'!$A$2:$T$1001,10,)</f>
        <v>1</v>
      </c>
      <c r="E486" t="str">
        <f>VLOOKUP(A486,'Remote work mental helath'!A486:T1485,19,FALSE)</f>
        <v>Average</v>
      </c>
      <c r="F486" t="str">
        <f>VLOOKUP(A486,'Remote work mental helath'!$A$2:$T$1001,18,)</f>
        <v>None</v>
      </c>
      <c r="G486">
        <f>VLOOKUP(A486,'Remote work mental helath'!$A$2:$T$1001,15,FALSE)</f>
        <v>1</v>
      </c>
      <c r="H486" t="str">
        <f>VLOOKUP(A486,'Remote work mental helath'!$A$2:$T$1001,14,)</f>
        <v>Increase</v>
      </c>
      <c r="I486" t="str">
        <f>VLOOKUP(A486,'Remote work mental helath'!$A$2:$T$1001,16,)</f>
        <v>Satisfied</v>
      </c>
      <c r="J486" t="str">
        <f>VLOOKUP(A486,'Remote work mental helath'!$A$2:$T$1001,13,)</f>
        <v>No</v>
      </c>
      <c r="K486">
        <f>VLOOKUP(A486,'Remote work mental helath'!$A$2:$T$1001,17,FALSE)</f>
        <v>5</v>
      </c>
    </row>
    <row r="487" spans="1:11" x14ac:dyDescent="0.3">
      <c r="A487" t="s">
        <v>536</v>
      </c>
      <c r="B487" t="str">
        <f>VLOOKUP(A487,'Remote work mental helath'!$A$2:$T$1001,12,)</f>
        <v>Burnout</v>
      </c>
      <c r="C487" t="str">
        <f>VLOOKUP(A487,'Remote work mental helath'!$A$2:$T$1001,11,)</f>
        <v>Low</v>
      </c>
      <c r="D487">
        <f>VLOOKUP('Mental Helath'!A487,'Remote work mental helath'!$A$2:$T$1001,10,)</f>
        <v>5</v>
      </c>
      <c r="E487" t="str">
        <f>VLOOKUP(A487,'Remote work mental helath'!A487:T1486,19,FALSE)</f>
        <v>Poor</v>
      </c>
      <c r="F487" t="str">
        <f>VLOOKUP(A487,'Remote work mental helath'!$A$2:$T$1001,18,)</f>
        <v>Weekly</v>
      </c>
      <c r="G487">
        <f>VLOOKUP(A487,'Remote work mental helath'!$A$2:$T$1001,15,FALSE)</f>
        <v>2</v>
      </c>
      <c r="H487" t="str">
        <f>VLOOKUP(A487,'Remote work mental helath'!$A$2:$T$1001,14,)</f>
        <v>No Change</v>
      </c>
      <c r="I487" t="str">
        <f>VLOOKUP(A487,'Remote work mental helath'!$A$2:$T$1001,16,)</f>
        <v>Neutral</v>
      </c>
      <c r="J487" t="str">
        <f>VLOOKUP(A487,'Remote work mental helath'!$A$2:$T$1001,13,)</f>
        <v>No</v>
      </c>
      <c r="K487">
        <f>VLOOKUP(A487,'Remote work mental helath'!$A$2:$T$1001,17,FALSE)</f>
        <v>2</v>
      </c>
    </row>
    <row r="488" spans="1:11" x14ac:dyDescent="0.3">
      <c r="A488" t="s">
        <v>537</v>
      </c>
      <c r="B488" t="str">
        <f>VLOOKUP(A488,'Remote work mental helath'!$A$2:$T$1001,12,)</f>
        <v>Anxiety</v>
      </c>
      <c r="C488" t="str">
        <f>VLOOKUP(A488,'Remote work mental helath'!$A$2:$T$1001,11,)</f>
        <v>Low</v>
      </c>
      <c r="D488">
        <f>VLOOKUP('Mental Helath'!A488,'Remote work mental helath'!$A$2:$T$1001,10,)</f>
        <v>1</v>
      </c>
      <c r="E488" t="str">
        <f>VLOOKUP(A488,'Remote work mental helath'!A488:T1487,19,FALSE)</f>
        <v>Good</v>
      </c>
      <c r="F488" t="str">
        <f>VLOOKUP(A488,'Remote work mental helath'!$A$2:$T$1001,18,)</f>
        <v>Weekly</v>
      </c>
      <c r="G488">
        <f>VLOOKUP(A488,'Remote work mental helath'!$A$2:$T$1001,15,FALSE)</f>
        <v>5</v>
      </c>
      <c r="H488" t="str">
        <f>VLOOKUP(A488,'Remote work mental helath'!$A$2:$T$1001,14,)</f>
        <v>Increase</v>
      </c>
      <c r="I488" t="str">
        <f>VLOOKUP(A488,'Remote work mental helath'!$A$2:$T$1001,16,)</f>
        <v>Neutral</v>
      </c>
      <c r="J488" t="str">
        <f>VLOOKUP(A488,'Remote work mental helath'!$A$2:$T$1001,13,)</f>
        <v>No</v>
      </c>
      <c r="K488">
        <f>VLOOKUP(A488,'Remote work mental helath'!$A$2:$T$1001,17,FALSE)</f>
        <v>4</v>
      </c>
    </row>
    <row r="489" spans="1:11" x14ac:dyDescent="0.3">
      <c r="A489" t="s">
        <v>538</v>
      </c>
      <c r="B489" t="str">
        <f>VLOOKUP(A489,'Remote work mental helath'!$A$2:$T$1001,12,)</f>
        <v>Anxiety</v>
      </c>
      <c r="C489" t="str">
        <f>VLOOKUP(A489,'Remote work mental helath'!$A$2:$T$1001,11,)</f>
        <v>Low</v>
      </c>
      <c r="D489">
        <f>VLOOKUP('Mental Helath'!A489,'Remote work mental helath'!$A$2:$T$1001,10,)</f>
        <v>1</v>
      </c>
      <c r="E489" t="str">
        <f>VLOOKUP(A489,'Remote work mental helath'!A489:T1488,19,FALSE)</f>
        <v>Poor</v>
      </c>
      <c r="F489" t="str">
        <f>VLOOKUP(A489,'Remote work mental helath'!$A$2:$T$1001,18,)</f>
        <v>None</v>
      </c>
      <c r="G489">
        <f>VLOOKUP(A489,'Remote work mental helath'!$A$2:$T$1001,15,FALSE)</f>
        <v>1</v>
      </c>
      <c r="H489" t="str">
        <f>VLOOKUP(A489,'Remote work mental helath'!$A$2:$T$1001,14,)</f>
        <v>No Change</v>
      </c>
      <c r="I489" t="str">
        <f>VLOOKUP(A489,'Remote work mental helath'!$A$2:$T$1001,16,)</f>
        <v>Neutral</v>
      </c>
      <c r="J489" t="str">
        <f>VLOOKUP(A489,'Remote work mental helath'!$A$2:$T$1001,13,)</f>
        <v>No</v>
      </c>
      <c r="K489">
        <f>VLOOKUP(A489,'Remote work mental helath'!$A$2:$T$1001,17,FALSE)</f>
        <v>4</v>
      </c>
    </row>
    <row r="490" spans="1:11" x14ac:dyDescent="0.3">
      <c r="A490" t="s">
        <v>539</v>
      </c>
      <c r="B490" t="str">
        <f>VLOOKUP(A490,'Remote work mental helath'!$A$2:$T$1001,12,)</f>
        <v>Burnout</v>
      </c>
      <c r="C490" t="str">
        <f>VLOOKUP(A490,'Remote work mental helath'!$A$2:$T$1001,11,)</f>
        <v>Low</v>
      </c>
      <c r="D490">
        <f>VLOOKUP('Mental Helath'!A490,'Remote work mental helath'!$A$2:$T$1001,10,)</f>
        <v>3</v>
      </c>
      <c r="E490" t="str">
        <f>VLOOKUP(A490,'Remote work mental helath'!A490:T1489,19,FALSE)</f>
        <v>Poor</v>
      </c>
      <c r="F490" t="str">
        <f>VLOOKUP(A490,'Remote work mental helath'!$A$2:$T$1001,18,)</f>
        <v>Daily</v>
      </c>
      <c r="G490">
        <f>VLOOKUP(A490,'Remote work mental helath'!$A$2:$T$1001,15,FALSE)</f>
        <v>4</v>
      </c>
      <c r="H490" t="str">
        <f>VLOOKUP(A490,'Remote work mental helath'!$A$2:$T$1001,14,)</f>
        <v>Increase</v>
      </c>
      <c r="I490" t="str">
        <f>VLOOKUP(A490,'Remote work mental helath'!$A$2:$T$1001,16,)</f>
        <v>Unsatisfied</v>
      </c>
      <c r="J490" t="str">
        <f>VLOOKUP(A490,'Remote work mental helath'!$A$2:$T$1001,13,)</f>
        <v>Yes</v>
      </c>
      <c r="K490">
        <f>VLOOKUP(A490,'Remote work mental helath'!$A$2:$T$1001,17,FALSE)</f>
        <v>1</v>
      </c>
    </row>
    <row r="491" spans="1:11" x14ac:dyDescent="0.3">
      <c r="A491" t="s">
        <v>540</v>
      </c>
      <c r="B491" t="str">
        <f>VLOOKUP(A491,'Remote work mental helath'!$A$2:$T$1001,12,)</f>
        <v>Depression</v>
      </c>
      <c r="C491" t="str">
        <f>VLOOKUP(A491,'Remote work mental helath'!$A$2:$T$1001,11,)</f>
        <v>Medium</v>
      </c>
      <c r="D491">
        <f>VLOOKUP('Mental Helath'!A491,'Remote work mental helath'!$A$2:$T$1001,10,)</f>
        <v>5</v>
      </c>
      <c r="E491" t="str">
        <f>VLOOKUP(A491,'Remote work mental helath'!A491:T1490,19,FALSE)</f>
        <v>Good</v>
      </c>
      <c r="F491" t="str">
        <f>VLOOKUP(A491,'Remote work mental helath'!$A$2:$T$1001,18,)</f>
        <v>None</v>
      </c>
      <c r="G491">
        <f>VLOOKUP(A491,'Remote work mental helath'!$A$2:$T$1001,15,FALSE)</f>
        <v>2</v>
      </c>
      <c r="H491" t="str">
        <f>VLOOKUP(A491,'Remote work mental helath'!$A$2:$T$1001,14,)</f>
        <v>Increase</v>
      </c>
      <c r="I491" t="str">
        <f>VLOOKUP(A491,'Remote work mental helath'!$A$2:$T$1001,16,)</f>
        <v>Unsatisfied</v>
      </c>
      <c r="J491" t="str">
        <f>VLOOKUP(A491,'Remote work mental helath'!$A$2:$T$1001,13,)</f>
        <v>Yes</v>
      </c>
      <c r="K491">
        <f>VLOOKUP(A491,'Remote work mental helath'!$A$2:$T$1001,17,FALSE)</f>
        <v>3</v>
      </c>
    </row>
    <row r="492" spans="1:11" x14ac:dyDescent="0.3">
      <c r="A492" t="s">
        <v>541</v>
      </c>
      <c r="B492" t="str">
        <f>VLOOKUP(A492,'Remote work mental helath'!$A$2:$T$1001,12,)</f>
        <v>None</v>
      </c>
      <c r="C492" t="str">
        <f>VLOOKUP(A492,'Remote work mental helath'!$A$2:$T$1001,11,)</f>
        <v>High</v>
      </c>
      <c r="D492">
        <f>VLOOKUP('Mental Helath'!A492,'Remote work mental helath'!$A$2:$T$1001,10,)</f>
        <v>2</v>
      </c>
      <c r="E492" t="str">
        <f>VLOOKUP(A492,'Remote work mental helath'!A492:T1491,19,FALSE)</f>
        <v>Good</v>
      </c>
      <c r="F492" t="str">
        <f>VLOOKUP(A492,'Remote work mental helath'!$A$2:$T$1001,18,)</f>
        <v>None</v>
      </c>
      <c r="G492">
        <f>VLOOKUP(A492,'Remote work mental helath'!$A$2:$T$1001,15,FALSE)</f>
        <v>4</v>
      </c>
      <c r="H492" t="str">
        <f>VLOOKUP(A492,'Remote work mental helath'!$A$2:$T$1001,14,)</f>
        <v>No Change</v>
      </c>
      <c r="I492" t="str">
        <f>VLOOKUP(A492,'Remote work mental helath'!$A$2:$T$1001,16,)</f>
        <v>Satisfied</v>
      </c>
      <c r="J492" t="str">
        <f>VLOOKUP(A492,'Remote work mental helath'!$A$2:$T$1001,13,)</f>
        <v>No</v>
      </c>
      <c r="K492">
        <f>VLOOKUP(A492,'Remote work mental helath'!$A$2:$T$1001,17,FALSE)</f>
        <v>5</v>
      </c>
    </row>
    <row r="493" spans="1:11" x14ac:dyDescent="0.3">
      <c r="A493" t="s">
        <v>542</v>
      </c>
      <c r="B493" t="str">
        <f>VLOOKUP(A493,'Remote work mental helath'!$A$2:$T$1001,12,)</f>
        <v>None</v>
      </c>
      <c r="C493" t="str">
        <f>VLOOKUP(A493,'Remote work mental helath'!$A$2:$T$1001,11,)</f>
        <v>High</v>
      </c>
      <c r="D493">
        <f>VLOOKUP('Mental Helath'!A493,'Remote work mental helath'!$A$2:$T$1001,10,)</f>
        <v>4</v>
      </c>
      <c r="E493" t="str">
        <f>VLOOKUP(A493,'Remote work mental helath'!A493:T1492,19,FALSE)</f>
        <v>Poor</v>
      </c>
      <c r="F493" t="str">
        <f>VLOOKUP(A493,'Remote work mental helath'!$A$2:$T$1001,18,)</f>
        <v>Weekly</v>
      </c>
      <c r="G493">
        <f>VLOOKUP(A493,'Remote work mental helath'!$A$2:$T$1001,15,FALSE)</f>
        <v>2</v>
      </c>
      <c r="H493" t="str">
        <f>VLOOKUP(A493,'Remote work mental helath'!$A$2:$T$1001,14,)</f>
        <v>Increase</v>
      </c>
      <c r="I493" t="str">
        <f>VLOOKUP(A493,'Remote work mental helath'!$A$2:$T$1001,16,)</f>
        <v>Neutral</v>
      </c>
      <c r="J493" t="str">
        <f>VLOOKUP(A493,'Remote work mental helath'!$A$2:$T$1001,13,)</f>
        <v>Yes</v>
      </c>
      <c r="K493">
        <f>VLOOKUP(A493,'Remote work mental helath'!$A$2:$T$1001,17,FALSE)</f>
        <v>3</v>
      </c>
    </row>
    <row r="494" spans="1:11" x14ac:dyDescent="0.3">
      <c r="A494" t="s">
        <v>543</v>
      </c>
      <c r="B494" t="str">
        <f>VLOOKUP(A494,'Remote work mental helath'!$A$2:$T$1001,12,)</f>
        <v>Anxiety</v>
      </c>
      <c r="C494" t="str">
        <f>VLOOKUP(A494,'Remote work mental helath'!$A$2:$T$1001,11,)</f>
        <v>Medium</v>
      </c>
      <c r="D494">
        <f>VLOOKUP('Mental Helath'!A494,'Remote work mental helath'!$A$2:$T$1001,10,)</f>
        <v>1</v>
      </c>
      <c r="E494" t="str">
        <f>VLOOKUP(A494,'Remote work mental helath'!A494:T1493,19,FALSE)</f>
        <v>Average</v>
      </c>
      <c r="F494" t="str">
        <f>VLOOKUP(A494,'Remote work mental helath'!$A$2:$T$1001,18,)</f>
        <v>Weekly</v>
      </c>
      <c r="G494">
        <f>VLOOKUP(A494,'Remote work mental helath'!$A$2:$T$1001,15,FALSE)</f>
        <v>2</v>
      </c>
      <c r="H494" t="str">
        <f>VLOOKUP(A494,'Remote work mental helath'!$A$2:$T$1001,14,)</f>
        <v>No Change</v>
      </c>
      <c r="I494" t="str">
        <f>VLOOKUP(A494,'Remote work mental helath'!$A$2:$T$1001,16,)</f>
        <v>Neutral</v>
      </c>
      <c r="J494" t="str">
        <f>VLOOKUP(A494,'Remote work mental helath'!$A$2:$T$1001,13,)</f>
        <v>Yes</v>
      </c>
      <c r="K494">
        <f>VLOOKUP(A494,'Remote work mental helath'!$A$2:$T$1001,17,FALSE)</f>
        <v>3</v>
      </c>
    </row>
    <row r="495" spans="1:11" x14ac:dyDescent="0.3">
      <c r="A495" t="s">
        <v>544</v>
      </c>
      <c r="B495" t="str">
        <f>VLOOKUP(A495,'Remote work mental helath'!$A$2:$T$1001,12,)</f>
        <v>Burnout</v>
      </c>
      <c r="C495" t="str">
        <f>VLOOKUP(A495,'Remote work mental helath'!$A$2:$T$1001,11,)</f>
        <v>High</v>
      </c>
      <c r="D495">
        <f>VLOOKUP('Mental Helath'!A495,'Remote work mental helath'!$A$2:$T$1001,10,)</f>
        <v>1</v>
      </c>
      <c r="E495" t="str">
        <f>VLOOKUP(A495,'Remote work mental helath'!A495:T1494,19,FALSE)</f>
        <v>Average</v>
      </c>
      <c r="F495" t="str">
        <f>VLOOKUP(A495,'Remote work mental helath'!$A$2:$T$1001,18,)</f>
        <v>None</v>
      </c>
      <c r="G495">
        <f>VLOOKUP(A495,'Remote work mental helath'!$A$2:$T$1001,15,FALSE)</f>
        <v>2</v>
      </c>
      <c r="H495" t="str">
        <f>VLOOKUP(A495,'Remote work mental helath'!$A$2:$T$1001,14,)</f>
        <v>Decrease</v>
      </c>
      <c r="I495" t="str">
        <f>VLOOKUP(A495,'Remote work mental helath'!$A$2:$T$1001,16,)</f>
        <v>Unsatisfied</v>
      </c>
      <c r="J495" t="str">
        <f>VLOOKUP(A495,'Remote work mental helath'!$A$2:$T$1001,13,)</f>
        <v>Yes</v>
      </c>
      <c r="K495">
        <f>VLOOKUP(A495,'Remote work mental helath'!$A$2:$T$1001,17,FALSE)</f>
        <v>5</v>
      </c>
    </row>
    <row r="496" spans="1:11" x14ac:dyDescent="0.3">
      <c r="A496" t="s">
        <v>545</v>
      </c>
      <c r="B496" t="str">
        <f>VLOOKUP(A496,'Remote work mental helath'!$A$2:$T$1001,12,)</f>
        <v>Anxiety</v>
      </c>
      <c r="C496" t="str">
        <f>VLOOKUP(A496,'Remote work mental helath'!$A$2:$T$1001,11,)</f>
        <v>Medium</v>
      </c>
      <c r="D496">
        <f>VLOOKUP('Mental Helath'!A496,'Remote work mental helath'!$A$2:$T$1001,10,)</f>
        <v>4</v>
      </c>
      <c r="E496" t="str">
        <f>VLOOKUP(A496,'Remote work mental helath'!A496:T1495,19,FALSE)</f>
        <v>Good</v>
      </c>
      <c r="F496" t="str">
        <f>VLOOKUP(A496,'Remote work mental helath'!$A$2:$T$1001,18,)</f>
        <v>Daily</v>
      </c>
      <c r="G496">
        <f>VLOOKUP(A496,'Remote work mental helath'!$A$2:$T$1001,15,FALSE)</f>
        <v>5</v>
      </c>
      <c r="H496" t="str">
        <f>VLOOKUP(A496,'Remote work mental helath'!$A$2:$T$1001,14,)</f>
        <v>Decrease</v>
      </c>
      <c r="I496" t="str">
        <f>VLOOKUP(A496,'Remote work mental helath'!$A$2:$T$1001,16,)</f>
        <v>Neutral</v>
      </c>
      <c r="J496" t="str">
        <f>VLOOKUP(A496,'Remote work mental helath'!$A$2:$T$1001,13,)</f>
        <v>No</v>
      </c>
      <c r="K496">
        <f>VLOOKUP(A496,'Remote work mental helath'!$A$2:$T$1001,17,FALSE)</f>
        <v>5</v>
      </c>
    </row>
    <row r="497" spans="1:11" x14ac:dyDescent="0.3">
      <c r="A497" t="s">
        <v>546</v>
      </c>
      <c r="B497" t="str">
        <f>VLOOKUP(A497,'Remote work mental helath'!$A$2:$T$1001,12,)</f>
        <v>None</v>
      </c>
      <c r="C497" t="str">
        <f>VLOOKUP(A497,'Remote work mental helath'!$A$2:$T$1001,11,)</f>
        <v>Low</v>
      </c>
      <c r="D497">
        <f>VLOOKUP('Mental Helath'!A497,'Remote work mental helath'!$A$2:$T$1001,10,)</f>
        <v>2</v>
      </c>
      <c r="E497" t="str">
        <f>VLOOKUP(A497,'Remote work mental helath'!A497:T1496,19,FALSE)</f>
        <v>Average</v>
      </c>
      <c r="F497" t="str">
        <f>VLOOKUP(A497,'Remote work mental helath'!$A$2:$T$1001,18,)</f>
        <v>None</v>
      </c>
      <c r="G497">
        <f>VLOOKUP(A497,'Remote work mental helath'!$A$2:$T$1001,15,FALSE)</f>
        <v>1</v>
      </c>
      <c r="H497" t="str">
        <f>VLOOKUP(A497,'Remote work mental helath'!$A$2:$T$1001,14,)</f>
        <v>No Change</v>
      </c>
      <c r="I497" t="str">
        <f>VLOOKUP(A497,'Remote work mental helath'!$A$2:$T$1001,16,)</f>
        <v>Neutral</v>
      </c>
      <c r="J497" t="str">
        <f>VLOOKUP(A497,'Remote work mental helath'!$A$2:$T$1001,13,)</f>
        <v>Yes</v>
      </c>
      <c r="K497">
        <f>VLOOKUP(A497,'Remote work mental helath'!$A$2:$T$1001,17,FALSE)</f>
        <v>2</v>
      </c>
    </row>
    <row r="498" spans="1:11" x14ac:dyDescent="0.3">
      <c r="A498" t="s">
        <v>547</v>
      </c>
      <c r="B498" t="str">
        <f>VLOOKUP(A498,'Remote work mental helath'!$A$2:$T$1001,12,)</f>
        <v>Anxiety</v>
      </c>
      <c r="C498" t="str">
        <f>VLOOKUP(A498,'Remote work mental helath'!$A$2:$T$1001,11,)</f>
        <v>Medium</v>
      </c>
      <c r="D498">
        <f>VLOOKUP('Mental Helath'!A498,'Remote work mental helath'!$A$2:$T$1001,10,)</f>
        <v>4</v>
      </c>
      <c r="E498" t="str">
        <f>VLOOKUP(A498,'Remote work mental helath'!A498:T1497,19,FALSE)</f>
        <v>Good</v>
      </c>
      <c r="F498" t="str">
        <f>VLOOKUP(A498,'Remote work mental helath'!$A$2:$T$1001,18,)</f>
        <v>Weekly</v>
      </c>
      <c r="G498">
        <f>VLOOKUP(A498,'Remote work mental helath'!$A$2:$T$1001,15,FALSE)</f>
        <v>2</v>
      </c>
      <c r="H498" t="str">
        <f>VLOOKUP(A498,'Remote work mental helath'!$A$2:$T$1001,14,)</f>
        <v>No Change</v>
      </c>
      <c r="I498" t="str">
        <f>VLOOKUP(A498,'Remote work mental helath'!$A$2:$T$1001,16,)</f>
        <v>Unsatisfied</v>
      </c>
      <c r="J498" t="str">
        <f>VLOOKUP(A498,'Remote work mental helath'!$A$2:$T$1001,13,)</f>
        <v>Yes</v>
      </c>
      <c r="K498">
        <f>VLOOKUP(A498,'Remote work mental helath'!$A$2:$T$1001,17,FALSE)</f>
        <v>3</v>
      </c>
    </row>
    <row r="499" spans="1:11" x14ac:dyDescent="0.3">
      <c r="A499" t="s">
        <v>548</v>
      </c>
      <c r="B499" t="str">
        <f>VLOOKUP(A499,'Remote work mental helath'!$A$2:$T$1001,12,)</f>
        <v>Burnout</v>
      </c>
      <c r="C499" t="str">
        <f>VLOOKUP(A499,'Remote work mental helath'!$A$2:$T$1001,11,)</f>
        <v>Low</v>
      </c>
      <c r="D499">
        <f>VLOOKUP('Mental Helath'!A499,'Remote work mental helath'!$A$2:$T$1001,10,)</f>
        <v>4</v>
      </c>
      <c r="E499" t="str">
        <f>VLOOKUP(A499,'Remote work mental helath'!A499:T1498,19,FALSE)</f>
        <v>Good</v>
      </c>
      <c r="F499" t="str">
        <f>VLOOKUP(A499,'Remote work mental helath'!$A$2:$T$1001,18,)</f>
        <v>Daily</v>
      </c>
      <c r="G499">
        <f>VLOOKUP(A499,'Remote work mental helath'!$A$2:$T$1001,15,FALSE)</f>
        <v>2</v>
      </c>
      <c r="H499" t="str">
        <f>VLOOKUP(A499,'Remote work mental helath'!$A$2:$T$1001,14,)</f>
        <v>No Change</v>
      </c>
      <c r="I499" t="str">
        <f>VLOOKUP(A499,'Remote work mental helath'!$A$2:$T$1001,16,)</f>
        <v>Neutral</v>
      </c>
      <c r="J499" t="str">
        <f>VLOOKUP(A499,'Remote work mental helath'!$A$2:$T$1001,13,)</f>
        <v>Yes</v>
      </c>
      <c r="K499">
        <f>VLOOKUP(A499,'Remote work mental helath'!$A$2:$T$1001,17,FALSE)</f>
        <v>2</v>
      </c>
    </row>
    <row r="500" spans="1:11" x14ac:dyDescent="0.3">
      <c r="A500" t="s">
        <v>549</v>
      </c>
      <c r="B500" t="str">
        <f>VLOOKUP(A500,'Remote work mental helath'!$A$2:$T$1001,12,)</f>
        <v>Burnout</v>
      </c>
      <c r="C500" t="str">
        <f>VLOOKUP(A500,'Remote work mental helath'!$A$2:$T$1001,11,)</f>
        <v>Low</v>
      </c>
      <c r="D500">
        <f>VLOOKUP('Mental Helath'!A500,'Remote work mental helath'!$A$2:$T$1001,10,)</f>
        <v>4</v>
      </c>
      <c r="E500" t="str">
        <f>VLOOKUP(A500,'Remote work mental helath'!A500:T1499,19,FALSE)</f>
        <v>Poor</v>
      </c>
      <c r="F500" t="str">
        <f>VLOOKUP(A500,'Remote work mental helath'!$A$2:$T$1001,18,)</f>
        <v>Daily</v>
      </c>
      <c r="G500">
        <f>VLOOKUP(A500,'Remote work mental helath'!$A$2:$T$1001,15,FALSE)</f>
        <v>5</v>
      </c>
      <c r="H500" t="str">
        <f>VLOOKUP(A500,'Remote work mental helath'!$A$2:$T$1001,14,)</f>
        <v>Increase</v>
      </c>
      <c r="I500" t="str">
        <f>VLOOKUP(A500,'Remote work mental helath'!$A$2:$T$1001,16,)</f>
        <v>Unsatisfied</v>
      </c>
      <c r="J500" t="str">
        <f>VLOOKUP(A500,'Remote work mental helath'!$A$2:$T$1001,13,)</f>
        <v>No</v>
      </c>
      <c r="K500">
        <f>VLOOKUP(A500,'Remote work mental helath'!$A$2:$T$1001,17,FALSE)</f>
        <v>5</v>
      </c>
    </row>
    <row r="501" spans="1:11" x14ac:dyDescent="0.3">
      <c r="A501" t="s">
        <v>550</v>
      </c>
      <c r="B501" t="str">
        <f>VLOOKUP(A501,'Remote work mental helath'!$A$2:$T$1001,12,)</f>
        <v>Depression</v>
      </c>
      <c r="C501" t="str">
        <f>VLOOKUP(A501,'Remote work mental helath'!$A$2:$T$1001,11,)</f>
        <v>Medium</v>
      </c>
      <c r="D501">
        <f>VLOOKUP('Mental Helath'!A501,'Remote work mental helath'!$A$2:$T$1001,10,)</f>
        <v>3</v>
      </c>
      <c r="E501" t="str">
        <f>VLOOKUP(A501,'Remote work mental helath'!A501:T1500,19,FALSE)</f>
        <v>Average</v>
      </c>
      <c r="F501" t="str">
        <f>VLOOKUP(A501,'Remote work mental helath'!$A$2:$T$1001,18,)</f>
        <v>Daily</v>
      </c>
      <c r="G501">
        <f>VLOOKUP(A501,'Remote work mental helath'!$A$2:$T$1001,15,FALSE)</f>
        <v>2</v>
      </c>
      <c r="H501" t="str">
        <f>VLOOKUP(A501,'Remote work mental helath'!$A$2:$T$1001,14,)</f>
        <v>Decrease</v>
      </c>
      <c r="I501" t="str">
        <f>VLOOKUP(A501,'Remote work mental helath'!$A$2:$T$1001,16,)</f>
        <v>Neutral</v>
      </c>
      <c r="J501" t="str">
        <f>VLOOKUP(A501,'Remote work mental helath'!$A$2:$T$1001,13,)</f>
        <v>Yes</v>
      </c>
      <c r="K501">
        <f>VLOOKUP(A501,'Remote work mental helath'!$A$2:$T$1001,17,FALSE)</f>
        <v>3</v>
      </c>
    </row>
    <row r="502" spans="1:11" x14ac:dyDescent="0.3">
      <c r="A502" t="s">
        <v>551</v>
      </c>
      <c r="B502" t="str">
        <f>VLOOKUP(A502,'Remote work mental helath'!$A$2:$T$1001,12,)</f>
        <v>Burnout</v>
      </c>
      <c r="C502" t="str">
        <f>VLOOKUP(A502,'Remote work mental helath'!$A$2:$T$1001,11,)</f>
        <v>Low</v>
      </c>
      <c r="D502">
        <f>VLOOKUP('Mental Helath'!A502,'Remote work mental helath'!$A$2:$T$1001,10,)</f>
        <v>5</v>
      </c>
      <c r="E502" t="str">
        <f>VLOOKUP(A502,'Remote work mental helath'!A502:T1501,19,FALSE)</f>
        <v>Good</v>
      </c>
      <c r="F502" t="str">
        <f>VLOOKUP(A502,'Remote work mental helath'!$A$2:$T$1001,18,)</f>
        <v>None</v>
      </c>
      <c r="G502">
        <f>VLOOKUP(A502,'Remote work mental helath'!$A$2:$T$1001,15,FALSE)</f>
        <v>4</v>
      </c>
      <c r="H502" t="str">
        <f>VLOOKUP(A502,'Remote work mental helath'!$A$2:$T$1001,14,)</f>
        <v>Decrease</v>
      </c>
      <c r="I502" t="str">
        <f>VLOOKUP(A502,'Remote work mental helath'!$A$2:$T$1001,16,)</f>
        <v>Unsatisfied</v>
      </c>
      <c r="J502" t="str">
        <f>VLOOKUP(A502,'Remote work mental helath'!$A$2:$T$1001,13,)</f>
        <v>No</v>
      </c>
      <c r="K502">
        <f>VLOOKUP(A502,'Remote work mental helath'!$A$2:$T$1001,17,FALSE)</f>
        <v>1</v>
      </c>
    </row>
    <row r="503" spans="1:11" x14ac:dyDescent="0.3">
      <c r="A503" t="s">
        <v>552</v>
      </c>
      <c r="B503" t="str">
        <f>VLOOKUP(A503,'Remote work mental helath'!$A$2:$T$1001,12,)</f>
        <v>None</v>
      </c>
      <c r="C503" t="str">
        <f>VLOOKUP(A503,'Remote work mental helath'!$A$2:$T$1001,11,)</f>
        <v>High</v>
      </c>
      <c r="D503">
        <f>VLOOKUP('Mental Helath'!A503,'Remote work mental helath'!$A$2:$T$1001,10,)</f>
        <v>1</v>
      </c>
      <c r="E503" t="str">
        <f>VLOOKUP(A503,'Remote work mental helath'!A503:T1502,19,FALSE)</f>
        <v>Average</v>
      </c>
      <c r="F503" t="str">
        <f>VLOOKUP(A503,'Remote work mental helath'!$A$2:$T$1001,18,)</f>
        <v>Weekly</v>
      </c>
      <c r="G503">
        <f>VLOOKUP(A503,'Remote work mental helath'!$A$2:$T$1001,15,FALSE)</f>
        <v>4</v>
      </c>
      <c r="H503" t="str">
        <f>VLOOKUP(A503,'Remote work mental helath'!$A$2:$T$1001,14,)</f>
        <v>No Change</v>
      </c>
      <c r="I503" t="str">
        <f>VLOOKUP(A503,'Remote work mental helath'!$A$2:$T$1001,16,)</f>
        <v>Unsatisfied</v>
      </c>
      <c r="J503" t="str">
        <f>VLOOKUP(A503,'Remote work mental helath'!$A$2:$T$1001,13,)</f>
        <v>No</v>
      </c>
      <c r="K503">
        <f>VLOOKUP(A503,'Remote work mental helath'!$A$2:$T$1001,17,FALSE)</f>
        <v>5</v>
      </c>
    </row>
    <row r="504" spans="1:11" x14ac:dyDescent="0.3">
      <c r="A504" t="s">
        <v>553</v>
      </c>
      <c r="B504" t="str">
        <f>VLOOKUP(A504,'Remote work mental helath'!$A$2:$T$1001,12,)</f>
        <v>Burnout</v>
      </c>
      <c r="C504" t="str">
        <f>VLOOKUP(A504,'Remote work mental helath'!$A$2:$T$1001,11,)</f>
        <v>High</v>
      </c>
      <c r="D504">
        <f>VLOOKUP('Mental Helath'!A504,'Remote work mental helath'!$A$2:$T$1001,10,)</f>
        <v>3</v>
      </c>
      <c r="E504" t="str">
        <f>VLOOKUP(A504,'Remote work mental helath'!A504:T1503,19,FALSE)</f>
        <v>Average</v>
      </c>
      <c r="F504" t="str">
        <f>VLOOKUP(A504,'Remote work mental helath'!$A$2:$T$1001,18,)</f>
        <v>None</v>
      </c>
      <c r="G504">
        <f>VLOOKUP(A504,'Remote work mental helath'!$A$2:$T$1001,15,FALSE)</f>
        <v>3</v>
      </c>
      <c r="H504" t="str">
        <f>VLOOKUP(A504,'Remote work mental helath'!$A$2:$T$1001,14,)</f>
        <v>Increase</v>
      </c>
      <c r="I504" t="str">
        <f>VLOOKUP(A504,'Remote work mental helath'!$A$2:$T$1001,16,)</f>
        <v>Unsatisfied</v>
      </c>
      <c r="J504" t="str">
        <f>VLOOKUP(A504,'Remote work mental helath'!$A$2:$T$1001,13,)</f>
        <v>No</v>
      </c>
      <c r="K504">
        <f>VLOOKUP(A504,'Remote work mental helath'!$A$2:$T$1001,17,FALSE)</f>
        <v>2</v>
      </c>
    </row>
    <row r="505" spans="1:11" x14ac:dyDescent="0.3">
      <c r="A505" t="s">
        <v>554</v>
      </c>
      <c r="B505" t="str">
        <f>VLOOKUP(A505,'Remote work mental helath'!$A$2:$T$1001,12,)</f>
        <v>Anxiety</v>
      </c>
      <c r="C505" t="str">
        <f>VLOOKUP(A505,'Remote work mental helath'!$A$2:$T$1001,11,)</f>
        <v>Low</v>
      </c>
      <c r="D505">
        <f>VLOOKUP('Mental Helath'!A505,'Remote work mental helath'!$A$2:$T$1001,10,)</f>
        <v>3</v>
      </c>
      <c r="E505" t="str">
        <f>VLOOKUP(A505,'Remote work mental helath'!A505:T1504,19,FALSE)</f>
        <v>Average</v>
      </c>
      <c r="F505" t="str">
        <f>VLOOKUP(A505,'Remote work mental helath'!$A$2:$T$1001,18,)</f>
        <v>Daily</v>
      </c>
      <c r="G505">
        <f>VLOOKUP(A505,'Remote work mental helath'!$A$2:$T$1001,15,FALSE)</f>
        <v>3</v>
      </c>
      <c r="H505" t="str">
        <f>VLOOKUP(A505,'Remote work mental helath'!$A$2:$T$1001,14,)</f>
        <v>Decrease</v>
      </c>
      <c r="I505" t="str">
        <f>VLOOKUP(A505,'Remote work mental helath'!$A$2:$T$1001,16,)</f>
        <v>Satisfied</v>
      </c>
      <c r="J505" t="str">
        <f>VLOOKUP(A505,'Remote work mental helath'!$A$2:$T$1001,13,)</f>
        <v>No</v>
      </c>
      <c r="K505">
        <f>VLOOKUP(A505,'Remote work mental helath'!$A$2:$T$1001,17,FALSE)</f>
        <v>5</v>
      </c>
    </row>
    <row r="506" spans="1:11" x14ac:dyDescent="0.3">
      <c r="A506" t="s">
        <v>555</v>
      </c>
      <c r="B506" t="str">
        <f>VLOOKUP(A506,'Remote work mental helath'!$A$2:$T$1001,12,)</f>
        <v>Depression</v>
      </c>
      <c r="C506" t="str">
        <f>VLOOKUP(A506,'Remote work mental helath'!$A$2:$T$1001,11,)</f>
        <v>Low</v>
      </c>
      <c r="D506">
        <f>VLOOKUP('Mental Helath'!A506,'Remote work mental helath'!$A$2:$T$1001,10,)</f>
        <v>3</v>
      </c>
      <c r="E506" t="str">
        <f>VLOOKUP(A506,'Remote work mental helath'!A506:T1505,19,FALSE)</f>
        <v>Average</v>
      </c>
      <c r="F506" t="str">
        <f>VLOOKUP(A506,'Remote work mental helath'!$A$2:$T$1001,18,)</f>
        <v>Daily</v>
      </c>
      <c r="G506">
        <f>VLOOKUP(A506,'Remote work mental helath'!$A$2:$T$1001,15,FALSE)</f>
        <v>1</v>
      </c>
      <c r="H506" t="str">
        <f>VLOOKUP(A506,'Remote work mental helath'!$A$2:$T$1001,14,)</f>
        <v>No Change</v>
      </c>
      <c r="I506" t="str">
        <f>VLOOKUP(A506,'Remote work mental helath'!$A$2:$T$1001,16,)</f>
        <v>Neutral</v>
      </c>
      <c r="J506" t="str">
        <f>VLOOKUP(A506,'Remote work mental helath'!$A$2:$T$1001,13,)</f>
        <v>No</v>
      </c>
      <c r="K506">
        <f>VLOOKUP(A506,'Remote work mental helath'!$A$2:$T$1001,17,FALSE)</f>
        <v>4</v>
      </c>
    </row>
    <row r="507" spans="1:11" x14ac:dyDescent="0.3">
      <c r="A507" t="s">
        <v>556</v>
      </c>
      <c r="B507" t="str">
        <f>VLOOKUP(A507,'Remote work mental helath'!$A$2:$T$1001,12,)</f>
        <v>Anxiety</v>
      </c>
      <c r="C507" t="str">
        <f>VLOOKUP(A507,'Remote work mental helath'!$A$2:$T$1001,11,)</f>
        <v>Medium</v>
      </c>
      <c r="D507">
        <f>VLOOKUP('Mental Helath'!A507,'Remote work mental helath'!$A$2:$T$1001,10,)</f>
        <v>4</v>
      </c>
      <c r="E507" t="str">
        <f>VLOOKUP(A507,'Remote work mental helath'!A507:T1506,19,FALSE)</f>
        <v>Average</v>
      </c>
      <c r="F507" t="str">
        <f>VLOOKUP(A507,'Remote work mental helath'!$A$2:$T$1001,18,)</f>
        <v>Daily</v>
      </c>
      <c r="G507">
        <f>VLOOKUP(A507,'Remote work mental helath'!$A$2:$T$1001,15,FALSE)</f>
        <v>2</v>
      </c>
      <c r="H507" t="str">
        <f>VLOOKUP(A507,'Remote work mental helath'!$A$2:$T$1001,14,)</f>
        <v>No Change</v>
      </c>
      <c r="I507" t="str">
        <f>VLOOKUP(A507,'Remote work mental helath'!$A$2:$T$1001,16,)</f>
        <v>Satisfied</v>
      </c>
      <c r="J507" t="str">
        <f>VLOOKUP(A507,'Remote work mental helath'!$A$2:$T$1001,13,)</f>
        <v>No</v>
      </c>
      <c r="K507">
        <f>VLOOKUP(A507,'Remote work mental helath'!$A$2:$T$1001,17,FALSE)</f>
        <v>4</v>
      </c>
    </row>
    <row r="508" spans="1:11" x14ac:dyDescent="0.3">
      <c r="A508" t="s">
        <v>557</v>
      </c>
      <c r="B508" t="str">
        <f>VLOOKUP(A508,'Remote work mental helath'!$A$2:$T$1001,12,)</f>
        <v>Burnout</v>
      </c>
      <c r="C508" t="str">
        <f>VLOOKUP(A508,'Remote work mental helath'!$A$2:$T$1001,11,)</f>
        <v>Low</v>
      </c>
      <c r="D508">
        <f>VLOOKUP('Mental Helath'!A508,'Remote work mental helath'!$A$2:$T$1001,10,)</f>
        <v>1</v>
      </c>
      <c r="E508" t="str">
        <f>VLOOKUP(A508,'Remote work mental helath'!A508:T1507,19,FALSE)</f>
        <v>Poor</v>
      </c>
      <c r="F508" t="str">
        <f>VLOOKUP(A508,'Remote work mental helath'!$A$2:$T$1001,18,)</f>
        <v>None</v>
      </c>
      <c r="G508">
        <f>VLOOKUP(A508,'Remote work mental helath'!$A$2:$T$1001,15,FALSE)</f>
        <v>5</v>
      </c>
      <c r="H508" t="str">
        <f>VLOOKUP(A508,'Remote work mental helath'!$A$2:$T$1001,14,)</f>
        <v>Decrease</v>
      </c>
      <c r="I508" t="str">
        <f>VLOOKUP(A508,'Remote work mental helath'!$A$2:$T$1001,16,)</f>
        <v>Satisfied</v>
      </c>
      <c r="J508" t="str">
        <f>VLOOKUP(A508,'Remote work mental helath'!$A$2:$T$1001,13,)</f>
        <v>Yes</v>
      </c>
      <c r="K508">
        <f>VLOOKUP(A508,'Remote work mental helath'!$A$2:$T$1001,17,FALSE)</f>
        <v>5</v>
      </c>
    </row>
    <row r="509" spans="1:11" x14ac:dyDescent="0.3">
      <c r="A509" t="s">
        <v>558</v>
      </c>
      <c r="B509" t="str">
        <f>VLOOKUP(A509,'Remote work mental helath'!$A$2:$T$1001,12,)</f>
        <v>Depression</v>
      </c>
      <c r="C509" t="str">
        <f>VLOOKUP(A509,'Remote work mental helath'!$A$2:$T$1001,11,)</f>
        <v>Medium</v>
      </c>
      <c r="D509">
        <f>VLOOKUP('Mental Helath'!A509,'Remote work mental helath'!$A$2:$T$1001,10,)</f>
        <v>1</v>
      </c>
      <c r="E509" t="str">
        <f>VLOOKUP(A509,'Remote work mental helath'!A509:T1508,19,FALSE)</f>
        <v>Average</v>
      </c>
      <c r="F509" t="str">
        <f>VLOOKUP(A509,'Remote work mental helath'!$A$2:$T$1001,18,)</f>
        <v>None</v>
      </c>
      <c r="G509">
        <f>VLOOKUP(A509,'Remote work mental helath'!$A$2:$T$1001,15,FALSE)</f>
        <v>2</v>
      </c>
      <c r="H509" t="str">
        <f>VLOOKUP(A509,'Remote work mental helath'!$A$2:$T$1001,14,)</f>
        <v>Increase</v>
      </c>
      <c r="I509" t="str">
        <f>VLOOKUP(A509,'Remote work mental helath'!$A$2:$T$1001,16,)</f>
        <v>Unsatisfied</v>
      </c>
      <c r="J509" t="str">
        <f>VLOOKUP(A509,'Remote work mental helath'!$A$2:$T$1001,13,)</f>
        <v>No</v>
      </c>
      <c r="K509">
        <f>VLOOKUP(A509,'Remote work mental helath'!$A$2:$T$1001,17,FALSE)</f>
        <v>2</v>
      </c>
    </row>
    <row r="510" spans="1:11" x14ac:dyDescent="0.3">
      <c r="A510" t="s">
        <v>559</v>
      </c>
      <c r="B510" t="str">
        <f>VLOOKUP(A510,'Remote work mental helath'!$A$2:$T$1001,12,)</f>
        <v>Anxiety</v>
      </c>
      <c r="C510" t="str">
        <f>VLOOKUP(A510,'Remote work mental helath'!$A$2:$T$1001,11,)</f>
        <v>Medium</v>
      </c>
      <c r="D510">
        <f>VLOOKUP('Mental Helath'!A510,'Remote work mental helath'!$A$2:$T$1001,10,)</f>
        <v>1</v>
      </c>
      <c r="E510" t="str">
        <f>VLOOKUP(A510,'Remote work mental helath'!A510:T1509,19,FALSE)</f>
        <v>Good</v>
      </c>
      <c r="F510" t="str">
        <f>VLOOKUP(A510,'Remote work mental helath'!$A$2:$T$1001,18,)</f>
        <v>Daily</v>
      </c>
      <c r="G510">
        <f>VLOOKUP(A510,'Remote work mental helath'!$A$2:$T$1001,15,FALSE)</f>
        <v>2</v>
      </c>
      <c r="H510" t="str">
        <f>VLOOKUP(A510,'Remote work mental helath'!$A$2:$T$1001,14,)</f>
        <v>No Change</v>
      </c>
      <c r="I510" t="str">
        <f>VLOOKUP(A510,'Remote work mental helath'!$A$2:$T$1001,16,)</f>
        <v>Neutral</v>
      </c>
      <c r="J510" t="str">
        <f>VLOOKUP(A510,'Remote work mental helath'!$A$2:$T$1001,13,)</f>
        <v>Yes</v>
      </c>
      <c r="K510">
        <f>VLOOKUP(A510,'Remote work mental helath'!$A$2:$T$1001,17,FALSE)</f>
        <v>5</v>
      </c>
    </row>
    <row r="511" spans="1:11" x14ac:dyDescent="0.3">
      <c r="A511" t="s">
        <v>560</v>
      </c>
      <c r="B511" t="str">
        <f>VLOOKUP(A511,'Remote work mental helath'!$A$2:$T$1001,12,)</f>
        <v>Burnout</v>
      </c>
      <c r="C511" t="str">
        <f>VLOOKUP(A511,'Remote work mental helath'!$A$2:$T$1001,11,)</f>
        <v>Medium</v>
      </c>
      <c r="D511">
        <f>VLOOKUP('Mental Helath'!A511,'Remote work mental helath'!$A$2:$T$1001,10,)</f>
        <v>2</v>
      </c>
      <c r="E511" t="str">
        <f>VLOOKUP(A511,'Remote work mental helath'!A511:T1510,19,FALSE)</f>
        <v>Poor</v>
      </c>
      <c r="F511" t="str">
        <f>VLOOKUP(A511,'Remote work mental helath'!$A$2:$T$1001,18,)</f>
        <v>Weekly</v>
      </c>
      <c r="G511">
        <f>VLOOKUP(A511,'Remote work mental helath'!$A$2:$T$1001,15,FALSE)</f>
        <v>4</v>
      </c>
      <c r="H511" t="str">
        <f>VLOOKUP(A511,'Remote work mental helath'!$A$2:$T$1001,14,)</f>
        <v>Increase</v>
      </c>
      <c r="I511" t="str">
        <f>VLOOKUP(A511,'Remote work mental helath'!$A$2:$T$1001,16,)</f>
        <v>Neutral</v>
      </c>
      <c r="J511" t="str">
        <f>VLOOKUP(A511,'Remote work mental helath'!$A$2:$T$1001,13,)</f>
        <v>No</v>
      </c>
      <c r="K511">
        <f>VLOOKUP(A511,'Remote work mental helath'!$A$2:$T$1001,17,FALSE)</f>
        <v>1</v>
      </c>
    </row>
    <row r="512" spans="1:11" x14ac:dyDescent="0.3">
      <c r="A512" t="s">
        <v>561</v>
      </c>
      <c r="B512" t="str">
        <f>VLOOKUP(A512,'Remote work mental helath'!$A$2:$T$1001,12,)</f>
        <v>Anxiety</v>
      </c>
      <c r="C512" t="str">
        <f>VLOOKUP(A512,'Remote work mental helath'!$A$2:$T$1001,11,)</f>
        <v>Low</v>
      </c>
      <c r="D512">
        <f>VLOOKUP('Mental Helath'!A512,'Remote work mental helath'!$A$2:$T$1001,10,)</f>
        <v>4</v>
      </c>
      <c r="E512" t="str">
        <f>VLOOKUP(A512,'Remote work mental helath'!A512:T1511,19,FALSE)</f>
        <v>Poor</v>
      </c>
      <c r="F512" t="str">
        <f>VLOOKUP(A512,'Remote work mental helath'!$A$2:$T$1001,18,)</f>
        <v>Weekly</v>
      </c>
      <c r="G512">
        <f>VLOOKUP(A512,'Remote work mental helath'!$A$2:$T$1001,15,FALSE)</f>
        <v>3</v>
      </c>
      <c r="H512" t="str">
        <f>VLOOKUP(A512,'Remote work mental helath'!$A$2:$T$1001,14,)</f>
        <v>Decrease</v>
      </c>
      <c r="I512" t="str">
        <f>VLOOKUP(A512,'Remote work mental helath'!$A$2:$T$1001,16,)</f>
        <v>Satisfied</v>
      </c>
      <c r="J512" t="str">
        <f>VLOOKUP(A512,'Remote work mental helath'!$A$2:$T$1001,13,)</f>
        <v>Yes</v>
      </c>
      <c r="K512">
        <f>VLOOKUP(A512,'Remote work mental helath'!$A$2:$T$1001,17,FALSE)</f>
        <v>4</v>
      </c>
    </row>
    <row r="513" spans="1:11" x14ac:dyDescent="0.3">
      <c r="A513" t="s">
        <v>562</v>
      </c>
      <c r="B513" t="str">
        <f>VLOOKUP(A513,'Remote work mental helath'!$A$2:$T$1001,12,)</f>
        <v>Anxiety</v>
      </c>
      <c r="C513" t="str">
        <f>VLOOKUP(A513,'Remote work mental helath'!$A$2:$T$1001,11,)</f>
        <v>High</v>
      </c>
      <c r="D513">
        <f>VLOOKUP('Mental Helath'!A513,'Remote work mental helath'!$A$2:$T$1001,10,)</f>
        <v>2</v>
      </c>
      <c r="E513" t="str">
        <f>VLOOKUP(A513,'Remote work mental helath'!A513:T1512,19,FALSE)</f>
        <v>Average</v>
      </c>
      <c r="F513" t="str">
        <f>VLOOKUP(A513,'Remote work mental helath'!$A$2:$T$1001,18,)</f>
        <v>Daily</v>
      </c>
      <c r="G513">
        <f>VLOOKUP(A513,'Remote work mental helath'!$A$2:$T$1001,15,FALSE)</f>
        <v>4</v>
      </c>
      <c r="H513" t="str">
        <f>VLOOKUP(A513,'Remote work mental helath'!$A$2:$T$1001,14,)</f>
        <v>Decrease</v>
      </c>
      <c r="I513" t="str">
        <f>VLOOKUP(A513,'Remote work mental helath'!$A$2:$T$1001,16,)</f>
        <v>Satisfied</v>
      </c>
      <c r="J513" t="str">
        <f>VLOOKUP(A513,'Remote work mental helath'!$A$2:$T$1001,13,)</f>
        <v>Yes</v>
      </c>
      <c r="K513">
        <f>VLOOKUP(A513,'Remote work mental helath'!$A$2:$T$1001,17,FALSE)</f>
        <v>5</v>
      </c>
    </row>
    <row r="514" spans="1:11" x14ac:dyDescent="0.3">
      <c r="A514" t="s">
        <v>563</v>
      </c>
      <c r="B514" t="str">
        <f>VLOOKUP(A514,'Remote work mental helath'!$A$2:$T$1001,12,)</f>
        <v>Burnout</v>
      </c>
      <c r="C514" t="str">
        <f>VLOOKUP(A514,'Remote work mental helath'!$A$2:$T$1001,11,)</f>
        <v>Low</v>
      </c>
      <c r="D514">
        <f>VLOOKUP('Mental Helath'!A514,'Remote work mental helath'!$A$2:$T$1001,10,)</f>
        <v>3</v>
      </c>
      <c r="E514" t="str">
        <f>VLOOKUP(A514,'Remote work mental helath'!A514:T1513,19,FALSE)</f>
        <v>Average</v>
      </c>
      <c r="F514" t="str">
        <f>VLOOKUP(A514,'Remote work mental helath'!$A$2:$T$1001,18,)</f>
        <v>Daily</v>
      </c>
      <c r="G514">
        <f>VLOOKUP(A514,'Remote work mental helath'!$A$2:$T$1001,15,FALSE)</f>
        <v>4</v>
      </c>
      <c r="H514" t="str">
        <f>VLOOKUP(A514,'Remote work mental helath'!$A$2:$T$1001,14,)</f>
        <v>Increase</v>
      </c>
      <c r="I514" t="str">
        <f>VLOOKUP(A514,'Remote work mental helath'!$A$2:$T$1001,16,)</f>
        <v>Neutral</v>
      </c>
      <c r="J514" t="str">
        <f>VLOOKUP(A514,'Remote work mental helath'!$A$2:$T$1001,13,)</f>
        <v>Yes</v>
      </c>
      <c r="K514">
        <f>VLOOKUP(A514,'Remote work mental helath'!$A$2:$T$1001,17,FALSE)</f>
        <v>5</v>
      </c>
    </row>
    <row r="515" spans="1:11" x14ac:dyDescent="0.3">
      <c r="A515" t="s">
        <v>564</v>
      </c>
      <c r="B515" t="str">
        <f>VLOOKUP(A515,'Remote work mental helath'!$A$2:$T$1001,12,)</f>
        <v>None</v>
      </c>
      <c r="C515" t="str">
        <f>VLOOKUP(A515,'Remote work mental helath'!$A$2:$T$1001,11,)</f>
        <v>Medium</v>
      </c>
      <c r="D515">
        <f>VLOOKUP('Mental Helath'!A515,'Remote work mental helath'!$A$2:$T$1001,10,)</f>
        <v>4</v>
      </c>
      <c r="E515" t="str">
        <f>VLOOKUP(A515,'Remote work mental helath'!A515:T1514,19,FALSE)</f>
        <v>Good</v>
      </c>
      <c r="F515" t="str">
        <f>VLOOKUP(A515,'Remote work mental helath'!$A$2:$T$1001,18,)</f>
        <v>None</v>
      </c>
      <c r="G515">
        <f>VLOOKUP(A515,'Remote work mental helath'!$A$2:$T$1001,15,FALSE)</f>
        <v>1</v>
      </c>
      <c r="H515" t="str">
        <f>VLOOKUP(A515,'Remote work mental helath'!$A$2:$T$1001,14,)</f>
        <v>Increase</v>
      </c>
      <c r="I515" t="str">
        <f>VLOOKUP(A515,'Remote work mental helath'!$A$2:$T$1001,16,)</f>
        <v>Unsatisfied</v>
      </c>
      <c r="J515" t="str">
        <f>VLOOKUP(A515,'Remote work mental helath'!$A$2:$T$1001,13,)</f>
        <v>Yes</v>
      </c>
      <c r="K515">
        <f>VLOOKUP(A515,'Remote work mental helath'!$A$2:$T$1001,17,FALSE)</f>
        <v>3</v>
      </c>
    </row>
    <row r="516" spans="1:11" x14ac:dyDescent="0.3">
      <c r="A516" t="s">
        <v>565</v>
      </c>
      <c r="B516" t="str">
        <f>VLOOKUP(A516,'Remote work mental helath'!$A$2:$T$1001,12,)</f>
        <v>Depression</v>
      </c>
      <c r="C516" t="str">
        <f>VLOOKUP(A516,'Remote work mental helath'!$A$2:$T$1001,11,)</f>
        <v>Medium</v>
      </c>
      <c r="D516">
        <f>VLOOKUP('Mental Helath'!A516,'Remote work mental helath'!$A$2:$T$1001,10,)</f>
        <v>1</v>
      </c>
      <c r="E516" t="str">
        <f>VLOOKUP(A516,'Remote work mental helath'!A516:T1515,19,FALSE)</f>
        <v>Average</v>
      </c>
      <c r="F516" t="str">
        <f>VLOOKUP(A516,'Remote work mental helath'!$A$2:$T$1001,18,)</f>
        <v>None</v>
      </c>
      <c r="G516">
        <f>VLOOKUP(A516,'Remote work mental helath'!$A$2:$T$1001,15,FALSE)</f>
        <v>4</v>
      </c>
      <c r="H516" t="str">
        <f>VLOOKUP(A516,'Remote work mental helath'!$A$2:$T$1001,14,)</f>
        <v>Decrease</v>
      </c>
      <c r="I516" t="str">
        <f>VLOOKUP(A516,'Remote work mental helath'!$A$2:$T$1001,16,)</f>
        <v>Unsatisfied</v>
      </c>
      <c r="J516" t="str">
        <f>VLOOKUP(A516,'Remote work mental helath'!$A$2:$T$1001,13,)</f>
        <v>Yes</v>
      </c>
      <c r="K516">
        <f>VLOOKUP(A516,'Remote work mental helath'!$A$2:$T$1001,17,FALSE)</f>
        <v>5</v>
      </c>
    </row>
    <row r="517" spans="1:11" x14ac:dyDescent="0.3">
      <c r="A517" t="s">
        <v>566</v>
      </c>
      <c r="B517" t="str">
        <f>VLOOKUP(A517,'Remote work mental helath'!$A$2:$T$1001,12,)</f>
        <v>Anxiety</v>
      </c>
      <c r="C517" t="str">
        <f>VLOOKUP(A517,'Remote work mental helath'!$A$2:$T$1001,11,)</f>
        <v>Low</v>
      </c>
      <c r="D517">
        <f>VLOOKUP('Mental Helath'!A517,'Remote work mental helath'!$A$2:$T$1001,10,)</f>
        <v>1</v>
      </c>
      <c r="E517" t="str">
        <f>VLOOKUP(A517,'Remote work mental helath'!A517:T1516,19,FALSE)</f>
        <v>Poor</v>
      </c>
      <c r="F517" t="str">
        <f>VLOOKUP(A517,'Remote work mental helath'!$A$2:$T$1001,18,)</f>
        <v>None</v>
      </c>
      <c r="G517">
        <f>VLOOKUP(A517,'Remote work mental helath'!$A$2:$T$1001,15,FALSE)</f>
        <v>1</v>
      </c>
      <c r="H517" t="str">
        <f>VLOOKUP(A517,'Remote work mental helath'!$A$2:$T$1001,14,)</f>
        <v>Increase</v>
      </c>
      <c r="I517" t="str">
        <f>VLOOKUP(A517,'Remote work mental helath'!$A$2:$T$1001,16,)</f>
        <v>Neutral</v>
      </c>
      <c r="J517" t="str">
        <f>VLOOKUP(A517,'Remote work mental helath'!$A$2:$T$1001,13,)</f>
        <v>No</v>
      </c>
      <c r="K517">
        <f>VLOOKUP(A517,'Remote work mental helath'!$A$2:$T$1001,17,FALSE)</f>
        <v>5</v>
      </c>
    </row>
    <row r="518" spans="1:11" x14ac:dyDescent="0.3">
      <c r="A518" t="s">
        <v>567</v>
      </c>
      <c r="B518" t="str">
        <f>VLOOKUP(A518,'Remote work mental helath'!$A$2:$T$1001,12,)</f>
        <v>Depression</v>
      </c>
      <c r="C518" t="str">
        <f>VLOOKUP(A518,'Remote work mental helath'!$A$2:$T$1001,11,)</f>
        <v>Low</v>
      </c>
      <c r="D518">
        <f>VLOOKUP('Mental Helath'!A518,'Remote work mental helath'!$A$2:$T$1001,10,)</f>
        <v>2</v>
      </c>
      <c r="E518" t="str">
        <f>VLOOKUP(A518,'Remote work mental helath'!A518:T1517,19,FALSE)</f>
        <v>Good</v>
      </c>
      <c r="F518" t="str">
        <f>VLOOKUP(A518,'Remote work mental helath'!$A$2:$T$1001,18,)</f>
        <v>Daily</v>
      </c>
      <c r="G518">
        <f>VLOOKUP(A518,'Remote work mental helath'!$A$2:$T$1001,15,FALSE)</f>
        <v>3</v>
      </c>
      <c r="H518" t="str">
        <f>VLOOKUP(A518,'Remote work mental helath'!$A$2:$T$1001,14,)</f>
        <v>Increase</v>
      </c>
      <c r="I518" t="str">
        <f>VLOOKUP(A518,'Remote work mental helath'!$A$2:$T$1001,16,)</f>
        <v>Neutral</v>
      </c>
      <c r="J518" t="str">
        <f>VLOOKUP(A518,'Remote work mental helath'!$A$2:$T$1001,13,)</f>
        <v>Yes</v>
      </c>
      <c r="K518">
        <f>VLOOKUP(A518,'Remote work mental helath'!$A$2:$T$1001,17,FALSE)</f>
        <v>3</v>
      </c>
    </row>
    <row r="519" spans="1:11" x14ac:dyDescent="0.3">
      <c r="A519" t="s">
        <v>568</v>
      </c>
      <c r="B519" t="str">
        <f>VLOOKUP(A519,'Remote work mental helath'!$A$2:$T$1001,12,)</f>
        <v>Depression</v>
      </c>
      <c r="C519" t="str">
        <f>VLOOKUP(A519,'Remote work mental helath'!$A$2:$T$1001,11,)</f>
        <v>Medium</v>
      </c>
      <c r="D519">
        <f>VLOOKUP('Mental Helath'!A519,'Remote work mental helath'!$A$2:$T$1001,10,)</f>
        <v>4</v>
      </c>
      <c r="E519" t="str">
        <f>VLOOKUP(A519,'Remote work mental helath'!A519:T1518,19,FALSE)</f>
        <v>Good</v>
      </c>
      <c r="F519" t="str">
        <f>VLOOKUP(A519,'Remote work mental helath'!$A$2:$T$1001,18,)</f>
        <v>Weekly</v>
      </c>
      <c r="G519">
        <f>VLOOKUP(A519,'Remote work mental helath'!$A$2:$T$1001,15,FALSE)</f>
        <v>4</v>
      </c>
      <c r="H519" t="str">
        <f>VLOOKUP(A519,'Remote work mental helath'!$A$2:$T$1001,14,)</f>
        <v>No Change</v>
      </c>
      <c r="I519" t="str">
        <f>VLOOKUP(A519,'Remote work mental helath'!$A$2:$T$1001,16,)</f>
        <v>Neutral</v>
      </c>
      <c r="J519" t="str">
        <f>VLOOKUP(A519,'Remote work mental helath'!$A$2:$T$1001,13,)</f>
        <v>No</v>
      </c>
      <c r="K519">
        <f>VLOOKUP(A519,'Remote work mental helath'!$A$2:$T$1001,17,FALSE)</f>
        <v>5</v>
      </c>
    </row>
    <row r="520" spans="1:11" x14ac:dyDescent="0.3">
      <c r="A520" t="s">
        <v>569</v>
      </c>
      <c r="B520" t="str">
        <f>VLOOKUP(A520,'Remote work mental helath'!$A$2:$T$1001,12,)</f>
        <v>None</v>
      </c>
      <c r="C520" t="str">
        <f>VLOOKUP(A520,'Remote work mental helath'!$A$2:$T$1001,11,)</f>
        <v>Low</v>
      </c>
      <c r="D520">
        <f>VLOOKUP('Mental Helath'!A520,'Remote work mental helath'!$A$2:$T$1001,10,)</f>
        <v>5</v>
      </c>
      <c r="E520" t="str">
        <f>VLOOKUP(A520,'Remote work mental helath'!A520:T1519,19,FALSE)</f>
        <v>Poor</v>
      </c>
      <c r="F520" t="str">
        <f>VLOOKUP(A520,'Remote work mental helath'!$A$2:$T$1001,18,)</f>
        <v>Weekly</v>
      </c>
      <c r="G520">
        <f>VLOOKUP(A520,'Remote work mental helath'!$A$2:$T$1001,15,FALSE)</f>
        <v>3</v>
      </c>
      <c r="H520" t="str">
        <f>VLOOKUP(A520,'Remote work mental helath'!$A$2:$T$1001,14,)</f>
        <v>No Change</v>
      </c>
      <c r="I520" t="str">
        <f>VLOOKUP(A520,'Remote work mental helath'!$A$2:$T$1001,16,)</f>
        <v>Satisfied</v>
      </c>
      <c r="J520" t="str">
        <f>VLOOKUP(A520,'Remote work mental helath'!$A$2:$T$1001,13,)</f>
        <v>Yes</v>
      </c>
      <c r="K520">
        <f>VLOOKUP(A520,'Remote work mental helath'!$A$2:$T$1001,17,FALSE)</f>
        <v>4</v>
      </c>
    </row>
    <row r="521" spans="1:11" x14ac:dyDescent="0.3">
      <c r="A521" t="s">
        <v>570</v>
      </c>
      <c r="B521" t="str">
        <f>VLOOKUP(A521,'Remote work mental helath'!$A$2:$T$1001,12,)</f>
        <v>Anxiety</v>
      </c>
      <c r="C521" t="str">
        <f>VLOOKUP(A521,'Remote work mental helath'!$A$2:$T$1001,11,)</f>
        <v>High</v>
      </c>
      <c r="D521">
        <f>VLOOKUP('Mental Helath'!A521,'Remote work mental helath'!$A$2:$T$1001,10,)</f>
        <v>3</v>
      </c>
      <c r="E521" t="str">
        <f>VLOOKUP(A521,'Remote work mental helath'!A521:T1520,19,FALSE)</f>
        <v>Average</v>
      </c>
      <c r="F521" t="str">
        <f>VLOOKUP(A521,'Remote work mental helath'!$A$2:$T$1001,18,)</f>
        <v>Daily</v>
      </c>
      <c r="G521">
        <f>VLOOKUP(A521,'Remote work mental helath'!$A$2:$T$1001,15,FALSE)</f>
        <v>4</v>
      </c>
      <c r="H521" t="str">
        <f>VLOOKUP(A521,'Remote work mental helath'!$A$2:$T$1001,14,)</f>
        <v>Decrease</v>
      </c>
      <c r="I521" t="str">
        <f>VLOOKUP(A521,'Remote work mental helath'!$A$2:$T$1001,16,)</f>
        <v>Neutral</v>
      </c>
      <c r="J521" t="str">
        <f>VLOOKUP(A521,'Remote work mental helath'!$A$2:$T$1001,13,)</f>
        <v>Yes</v>
      </c>
      <c r="K521">
        <f>VLOOKUP(A521,'Remote work mental helath'!$A$2:$T$1001,17,FALSE)</f>
        <v>4</v>
      </c>
    </row>
    <row r="522" spans="1:11" x14ac:dyDescent="0.3">
      <c r="A522" t="s">
        <v>571</v>
      </c>
      <c r="B522" t="str">
        <f>VLOOKUP(A522,'Remote work mental helath'!$A$2:$T$1001,12,)</f>
        <v>Burnout</v>
      </c>
      <c r="C522" t="str">
        <f>VLOOKUP(A522,'Remote work mental helath'!$A$2:$T$1001,11,)</f>
        <v>Low</v>
      </c>
      <c r="D522">
        <f>VLOOKUP('Mental Helath'!A522,'Remote work mental helath'!$A$2:$T$1001,10,)</f>
        <v>5</v>
      </c>
      <c r="E522" t="str">
        <f>VLOOKUP(A522,'Remote work mental helath'!A522:T1521,19,FALSE)</f>
        <v>Poor</v>
      </c>
      <c r="F522" t="str">
        <f>VLOOKUP(A522,'Remote work mental helath'!$A$2:$T$1001,18,)</f>
        <v>Daily</v>
      </c>
      <c r="G522">
        <f>VLOOKUP(A522,'Remote work mental helath'!$A$2:$T$1001,15,FALSE)</f>
        <v>5</v>
      </c>
      <c r="H522" t="str">
        <f>VLOOKUP(A522,'Remote work mental helath'!$A$2:$T$1001,14,)</f>
        <v>Decrease</v>
      </c>
      <c r="I522" t="str">
        <f>VLOOKUP(A522,'Remote work mental helath'!$A$2:$T$1001,16,)</f>
        <v>Unsatisfied</v>
      </c>
      <c r="J522" t="str">
        <f>VLOOKUP(A522,'Remote work mental helath'!$A$2:$T$1001,13,)</f>
        <v>Yes</v>
      </c>
      <c r="K522">
        <f>VLOOKUP(A522,'Remote work mental helath'!$A$2:$T$1001,17,FALSE)</f>
        <v>3</v>
      </c>
    </row>
    <row r="523" spans="1:11" x14ac:dyDescent="0.3">
      <c r="A523" t="s">
        <v>572</v>
      </c>
      <c r="B523" t="str">
        <f>VLOOKUP(A523,'Remote work mental helath'!$A$2:$T$1001,12,)</f>
        <v>Burnout</v>
      </c>
      <c r="C523" t="str">
        <f>VLOOKUP(A523,'Remote work mental helath'!$A$2:$T$1001,11,)</f>
        <v>Medium</v>
      </c>
      <c r="D523">
        <f>VLOOKUP('Mental Helath'!A523,'Remote work mental helath'!$A$2:$T$1001,10,)</f>
        <v>1</v>
      </c>
      <c r="E523" t="str">
        <f>VLOOKUP(A523,'Remote work mental helath'!A523:T1522,19,FALSE)</f>
        <v>Average</v>
      </c>
      <c r="F523" t="str">
        <f>VLOOKUP(A523,'Remote work mental helath'!$A$2:$T$1001,18,)</f>
        <v>Daily</v>
      </c>
      <c r="G523">
        <f>VLOOKUP(A523,'Remote work mental helath'!$A$2:$T$1001,15,FALSE)</f>
        <v>3</v>
      </c>
      <c r="H523" t="str">
        <f>VLOOKUP(A523,'Remote work mental helath'!$A$2:$T$1001,14,)</f>
        <v>Increase</v>
      </c>
      <c r="I523" t="str">
        <f>VLOOKUP(A523,'Remote work mental helath'!$A$2:$T$1001,16,)</f>
        <v>Neutral</v>
      </c>
      <c r="J523" t="str">
        <f>VLOOKUP(A523,'Remote work mental helath'!$A$2:$T$1001,13,)</f>
        <v>Yes</v>
      </c>
      <c r="K523">
        <f>VLOOKUP(A523,'Remote work mental helath'!$A$2:$T$1001,17,FALSE)</f>
        <v>4</v>
      </c>
    </row>
    <row r="524" spans="1:11" x14ac:dyDescent="0.3">
      <c r="A524" t="s">
        <v>573</v>
      </c>
      <c r="B524" t="str">
        <f>VLOOKUP(A524,'Remote work mental helath'!$A$2:$T$1001,12,)</f>
        <v>Anxiety</v>
      </c>
      <c r="C524" t="str">
        <f>VLOOKUP(A524,'Remote work mental helath'!$A$2:$T$1001,11,)</f>
        <v>Medium</v>
      </c>
      <c r="D524">
        <f>VLOOKUP('Mental Helath'!A524,'Remote work mental helath'!$A$2:$T$1001,10,)</f>
        <v>3</v>
      </c>
      <c r="E524" t="str">
        <f>VLOOKUP(A524,'Remote work mental helath'!A524:T1523,19,FALSE)</f>
        <v>Good</v>
      </c>
      <c r="F524" t="str">
        <f>VLOOKUP(A524,'Remote work mental helath'!$A$2:$T$1001,18,)</f>
        <v>Daily</v>
      </c>
      <c r="G524">
        <f>VLOOKUP(A524,'Remote work mental helath'!$A$2:$T$1001,15,FALSE)</f>
        <v>4</v>
      </c>
      <c r="H524" t="str">
        <f>VLOOKUP(A524,'Remote work mental helath'!$A$2:$T$1001,14,)</f>
        <v>Increase</v>
      </c>
      <c r="I524" t="str">
        <f>VLOOKUP(A524,'Remote work mental helath'!$A$2:$T$1001,16,)</f>
        <v>Unsatisfied</v>
      </c>
      <c r="J524" t="str">
        <f>VLOOKUP(A524,'Remote work mental helath'!$A$2:$T$1001,13,)</f>
        <v>No</v>
      </c>
      <c r="K524">
        <f>VLOOKUP(A524,'Remote work mental helath'!$A$2:$T$1001,17,FALSE)</f>
        <v>5</v>
      </c>
    </row>
    <row r="525" spans="1:11" x14ac:dyDescent="0.3">
      <c r="A525" t="s">
        <v>574</v>
      </c>
      <c r="B525" t="str">
        <f>VLOOKUP(A525,'Remote work mental helath'!$A$2:$T$1001,12,)</f>
        <v>Anxiety</v>
      </c>
      <c r="C525" t="str">
        <f>VLOOKUP(A525,'Remote work mental helath'!$A$2:$T$1001,11,)</f>
        <v>Medium</v>
      </c>
      <c r="D525">
        <f>VLOOKUP('Mental Helath'!A525,'Remote work mental helath'!$A$2:$T$1001,10,)</f>
        <v>2</v>
      </c>
      <c r="E525" t="str">
        <f>VLOOKUP(A525,'Remote work mental helath'!A525:T1524,19,FALSE)</f>
        <v>Poor</v>
      </c>
      <c r="F525" t="str">
        <f>VLOOKUP(A525,'Remote work mental helath'!$A$2:$T$1001,18,)</f>
        <v>Weekly</v>
      </c>
      <c r="G525">
        <f>VLOOKUP(A525,'Remote work mental helath'!$A$2:$T$1001,15,FALSE)</f>
        <v>4</v>
      </c>
      <c r="H525" t="str">
        <f>VLOOKUP(A525,'Remote work mental helath'!$A$2:$T$1001,14,)</f>
        <v>Decrease</v>
      </c>
      <c r="I525" t="str">
        <f>VLOOKUP(A525,'Remote work mental helath'!$A$2:$T$1001,16,)</f>
        <v>Satisfied</v>
      </c>
      <c r="J525" t="str">
        <f>VLOOKUP(A525,'Remote work mental helath'!$A$2:$T$1001,13,)</f>
        <v>Yes</v>
      </c>
      <c r="K525">
        <f>VLOOKUP(A525,'Remote work mental helath'!$A$2:$T$1001,17,FALSE)</f>
        <v>3</v>
      </c>
    </row>
    <row r="526" spans="1:11" x14ac:dyDescent="0.3">
      <c r="A526" t="s">
        <v>575</v>
      </c>
      <c r="B526" t="str">
        <f>VLOOKUP(A526,'Remote work mental helath'!$A$2:$T$1001,12,)</f>
        <v>Depression</v>
      </c>
      <c r="C526" t="str">
        <f>VLOOKUP(A526,'Remote work mental helath'!$A$2:$T$1001,11,)</f>
        <v>Medium</v>
      </c>
      <c r="D526">
        <f>VLOOKUP('Mental Helath'!A526,'Remote work mental helath'!$A$2:$T$1001,10,)</f>
        <v>2</v>
      </c>
      <c r="E526" t="str">
        <f>VLOOKUP(A526,'Remote work mental helath'!A526:T1525,19,FALSE)</f>
        <v>Average</v>
      </c>
      <c r="F526" t="str">
        <f>VLOOKUP(A526,'Remote work mental helath'!$A$2:$T$1001,18,)</f>
        <v>None</v>
      </c>
      <c r="G526">
        <f>VLOOKUP(A526,'Remote work mental helath'!$A$2:$T$1001,15,FALSE)</f>
        <v>3</v>
      </c>
      <c r="H526" t="str">
        <f>VLOOKUP(A526,'Remote work mental helath'!$A$2:$T$1001,14,)</f>
        <v>Increase</v>
      </c>
      <c r="I526" t="str">
        <f>VLOOKUP(A526,'Remote work mental helath'!$A$2:$T$1001,16,)</f>
        <v>Unsatisfied</v>
      </c>
      <c r="J526" t="str">
        <f>VLOOKUP(A526,'Remote work mental helath'!$A$2:$T$1001,13,)</f>
        <v>No</v>
      </c>
      <c r="K526">
        <f>VLOOKUP(A526,'Remote work mental helath'!$A$2:$T$1001,17,FALSE)</f>
        <v>4</v>
      </c>
    </row>
    <row r="527" spans="1:11" x14ac:dyDescent="0.3">
      <c r="A527" t="s">
        <v>576</v>
      </c>
      <c r="B527" t="str">
        <f>VLOOKUP(A527,'Remote work mental helath'!$A$2:$T$1001,12,)</f>
        <v>Burnout</v>
      </c>
      <c r="C527" t="str">
        <f>VLOOKUP(A527,'Remote work mental helath'!$A$2:$T$1001,11,)</f>
        <v>Low</v>
      </c>
      <c r="D527">
        <f>VLOOKUP('Mental Helath'!A527,'Remote work mental helath'!$A$2:$T$1001,10,)</f>
        <v>2</v>
      </c>
      <c r="E527" t="str">
        <f>VLOOKUP(A527,'Remote work mental helath'!A527:T1526,19,FALSE)</f>
        <v>Poor</v>
      </c>
      <c r="F527" t="str">
        <f>VLOOKUP(A527,'Remote work mental helath'!$A$2:$T$1001,18,)</f>
        <v>Weekly</v>
      </c>
      <c r="G527">
        <f>VLOOKUP(A527,'Remote work mental helath'!$A$2:$T$1001,15,FALSE)</f>
        <v>1</v>
      </c>
      <c r="H527" t="str">
        <f>VLOOKUP(A527,'Remote work mental helath'!$A$2:$T$1001,14,)</f>
        <v>No Change</v>
      </c>
      <c r="I527" t="str">
        <f>VLOOKUP(A527,'Remote work mental helath'!$A$2:$T$1001,16,)</f>
        <v>Unsatisfied</v>
      </c>
      <c r="J527" t="str">
        <f>VLOOKUP(A527,'Remote work mental helath'!$A$2:$T$1001,13,)</f>
        <v>Yes</v>
      </c>
      <c r="K527">
        <f>VLOOKUP(A527,'Remote work mental helath'!$A$2:$T$1001,17,FALSE)</f>
        <v>1</v>
      </c>
    </row>
    <row r="528" spans="1:11" x14ac:dyDescent="0.3">
      <c r="A528" t="s">
        <v>577</v>
      </c>
      <c r="B528" t="str">
        <f>VLOOKUP(A528,'Remote work mental helath'!$A$2:$T$1001,12,)</f>
        <v>Anxiety</v>
      </c>
      <c r="C528" t="str">
        <f>VLOOKUP(A528,'Remote work mental helath'!$A$2:$T$1001,11,)</f>
        <v>High</v>
      </c>
      <c r="D528">
        <f>VLOOKUP('Mental Helath'!A528,'Remote work mental helath'!$A$2:$T$1001,10,)</f>
        <v>3</v>
      </c>
      <c r="E528" t="str">
        <f>VLOOKUP(A528,'Remote work mental helath'!A528:T1527,19,FALSE)</f>
        <v>Good</v>
      </c>
      <c r="F528" t="str">
        <f>VLOOKUP(A528,'Remote work mental helath'!$A$2:$T$1001,18,)</f>
        <v>Weekly</v>
      </c>
      <c r="G528">
        <f>VLOOKUP(A528,'Remote work mental helath'!$A$2:$T$1001,15,FALSE)</f>
        <v>1</v>
      </c>
      <c r="H528" t="str">
        <f>VLOOKUP(A528,'Remote work mental helath'!$A$2:$T$1001,14,)</f>
        <v>Increase</v>
      </c>
      <c r="I528" t="str">
        <f>VLOOKUP(A528,'Remote work mental helath'!$A$2:$T$1001,16,)</f>
        <v>Unsatisfied</v>
      </c>
      <c r="J528" t="str">
        <f>VLOOKUP(A528,'Remote work mental helath'!$A$2:$T$1001,13,)</f>
        <v>Yes</v>
      </c>
      <c r="K528">
        <f>VLOOKUP(A528,'Remote work mental helath'!$A$2:$T$1001,17,FALSE)</f>
        <v>5</v>
      </c>
    </row>
    <row r="529" spans="1:11" x14ac:dyDescent="0.3">
      <c r="A529" t="s">
        <v>578</v>
      </c>
      <c r="B529" t="str">
        <f>VLOOKUP(A529,'Remote work mental helath'!$A$2:$T$1001,12,)</f>
        <v>Depression</v>
      </c>
      <c r="C529" t="str">
        <f>VLOOKUP(A529,'Remote work mental helath'!$A$2:$T$1001,11,)</f>
        <v>Medium</v>
      </c>
      <c r="D529">
        <f>VLOOKUP('Mental Helath'!A529,'Remote work mental helath'!$A$2:$T$1001,10,)</f>
        <v>3</v>
      </c>
      <c r="E529" t="str">
        <f>VLOOKUP(A529,'Remote work mental helath'!A529:T1528,19,FALSE)</f>
        <v>Good</v>
      </c>
      <c r="F529" t="str">
        <f>VLOOKUP(A529,'Remote work mental helath'!$A$2:$T$1001,18,)</f>
        <v>Weekly</v>
      </c>
      <c r="G529">
        <f>VLOOKUP(A529,'Remote work mental helath'!$A$2:$T$1001,15,FALSE)</f>
        <v>3</v>
      </c>
      <c r="H529" t="str">
        <f>VLOOKUP(A529,'Remote work mental helath'!$A$2:$T$1001,14,)</f>
        <v>Increase</v>
      </c>
      <c r="I529" t="str">
        <f>VLOOKUP(A529,'Remote work mental helath'!$A$2:$T$1001,16,)</f>
        <v>Unsatisfied</v>
      </c>
      <c r="J529" t="str">
        <f>VLOOKUP(A529,'Remote work mental helath'!$A$2:$T$1001,13,)</f>
        <v>No</v>
      </c>
      <c r="K529">
        <f>VLOOKUP(A529,'Remote work mental helath'!$A$2:$T$1001,17,FALSE)</f>
        <v>3</v>
      </c>
    </row>
    <row r="530" spans="1:11" x14ac:dyDescent="0.3">
      <c r="A530" t="s">
        <v>579</v>
      </c>
      <c r="B530" t="str">
        <f>VLOOKUP(A530,'Remote work mental helath'!$A$2:$T$1001,12,)</f>
        <v>Anxiety</v>
      </c>
      <c r="C530" t="str">
        <f>VLOOKUP(A530,'Remote work mental helath'!$A$2:$T$1001,11,)</f>
        <v>Medium</v>
      </c>
      <c r="D530">
        <f>VLOOKUP('Mental Helath'!A530,'Remote work mental helath'!$A$2:$T$1001,10,)</f>
        <v>2</v>
      </c>
      <c r="E530" t="str">
        <f>VLOOKUP(A530,'Remote work mental helath'!A530:T1529,19,FALSE)</f>
        <v>Poor</v>
      </c>
      <c r="F530" t="str">
        <f>VLOOKUP(A530,'Remote work mental helath'!$A$2:$T$1001,18,)</f>
        <v>Daily</v>
      </c>
      <c r="G530">
        <f>VLOOKUP(A530,'Remote work mental helath'!$A$2:$T$1001,15,FALSE)</f>
        <v>4</v>
      </c>
      <c r="H530" t="str">
        <f>VLOOKUP(A530,'Remote work mental helath'!$A$2:$T$1001,14,)</f>
        <v>No Change</v>
      </c>
      <c r="I530" t="str">
        <f>VLOOKUP(A530,'Remote work mental helath'!$A$2:$T$1001,16,)</f>
        <v>Satisfied</v>
      </c>
      <c r="J530" t="str">
        <f>VLOOKUP(A530,'Remote work mental helath'!$A$2:$T$1001,13,)</f>
        <v>Yes</v>
      </c>
      <c r="K530">
        <f>VLOOKUP(A530,'Remote work mental helath'!$A$2:$T$1001,17,FALSE)</f>
        <v>1</v>
      </c>
    </row>
    <row r="531" spans="1:11" x14ac:dyDescent="0.3">
      <c r="A531" t="s">
        <v>580</v>
      </c>
      <c r="B531" t="str">
        <f>VLOOKUP(A531,'Remote work mental helath'!$A$2:$T$1001,12,)</f>
        <v>None</v>
      </c>
      <c r="C531" t="str">
        <f>VLOOKUP(A531,'Remote work mental helath'!$A$2:$T$1001,11,)</f>
        <v>High</v>
      </c>
      <c r="D531">
        <f>VLOOKUP('Mental Helath'!A531,'Remote work mental helath'!$A$2:$T$1001,10,)</f>
        <v>3</v>
      </c>
      <c r="E531" t="str">
        <f>VLOOKUP(A531,'Remote work mental helath'!A531:T1530,19,FALSE)</f>
        <v>Average</v>
      </c>
      <c r="F531" t="str">
        <f>VLOOKUP(A531,'Remote work mental helath'!$A$2:$T$1001,18,)</f>
        <v>Weekly</v>
      </c>
      <c r="G531">
        <f>VLOOKUP(A531,'Remote work mental helath'!$A$2:$T$1001,15,FALSE)</f>
        <v>1</v>
      </c>
      <c r="H531" t="str">
        <f>VLOOKUP(A531,'Remote work mental helath'!$A$2:$T$1001,14,)</f>
        <v>Increase</v>
      </c>
      <c r="I531" t="str">
        <f>VLOOKUP(A531,'Remote work mental helath'!$A$2:$T$1001,16,)</f>
        <v>Satisfied</v>
      </c>
      <c r="J531" t="str">
        <f>VLOOKUP(A531,'Remote work mental helath'!$A$2:$T$1001,13,)</f>
        <v>No</v>
      </c>
      <c r="K531">
        <f>VLOOKUP(A531,'Remote work mental helath'!$A$2:$T$1001,17,FALSE)</f>
        <v>5</v>
      </c>
    </row>
    <row r="532" spans="1:11" x14ac:dyDescent="0.3">
      <c r="A532" t="s">
        <v>581</v>
      </c>
      <c r="B532" t="str">
        <f>VLOOKUP(A532,'Remote work mental helath'!$A$2:$T$1001,12,)</f>
        <v>Anxiety</v>
      </c>
      <c r="C532" t="str">
        <f>VLOOKUP(A532,'Remote work mental helath'!$A$2:$T$1001,11,)</f>
        <v>High</v>
      </c>
      <c r="D532">
        <f>VLOOKUP('Mental Helath'!A532,'Remote work mental helath'!$A$2:$T$1001,10,)</f>
        <v>3</v>
      </c>
      <c r="E532" t="str">
        <f>VLOOKUP(A532,'Remote work mental helath'!A532:T1531,19,FALSE)</f>
        <v>Good</v>
      </c>
      <c r="F532" t="str">
        <f>VLOOKUP(A532,'Remote work mental helath'!$A$2:$T$1001,18,)</f>
        <v>Daily</v>
      </c>
      <c r="G532">
        <f>VLOOKUP(A532,'Remote work mental helath'!$A$2:$T$1001,15,FALSE)</f>
        <v>4</v>
      </c>
      <c r="H532" t="str">
        <f>VLOOKUP(A532,'Remote work mental helath'!$A$2:$T$1001,14,)</f>
        <v>No Change</v>
      </c>
      <c r="I532" t="str">
        <f>VLOOKUP(A532,'Remote work mental helath'!$A$2:$T$1001,16,)</f>
        <v>Unsatisfied</v>
      </c>
      <c r="J532" t="str">
        <f>VLOOKUP(A532,'Remote work mental helath'!$A$2:$T$1001,13,)</f>
        <v>No</v>
      </c>
      <c r="K532">
        <f>VLOOKUP(A532,'Remote work mental helath'!$A$2:$T$1001,17,FALSE)</f>
        <v>3</v>
      </c>
    </row>
    <row r="533" spans="1:11" x14ac:dyDescent="0.3">
      <c r="A533" t="s">
        <v>582</v>
      </c>
      <c r="B533" t="str">
        <f>VLOOKUP(A533,'Remote work mental helath'!$A$2:$T$1001,12,)</f>
        <v>Anxiety</v>
      </c>
      <c r="C533" t="str">
        <f>VLOOKUP(A533,'Remote work mental helath'!$A$2:$T$1001,11,)</f>
        <v>High</v>
      </c>
      <c r="D533">
        <f>VLOOKUP('Mental Helath'!A533,'Remote work mental helath'!$A$2:$T$1001,10,)</f>
        <v>1</v>
      </c>
      <c r="E533" t="str">
        <f>VLOOKUP(A533,'Remote work mental helath'!A533:T1532,19,FALSE)</f>
        <v>Poor</v>
      </c>
      <c r="F533" t="str">
        <f>VLOOKUP(A533,'Remote work mental helath'!$A$2:$T$1001,18,)</f>
        <v>Daily</v>
      </c>
      <c r="G533">
        <f>VLOOKUP(A533,'Remote work mental helath'!$A$2:$T$1001,15,FALSE)</f>
        <v>1</v>
      </c>
      <c r="H533" t="str">
        <f>VLOOKUP(A533,'Remote work mental helath'!$A$2:$T$1001,14,)</f>
        <v>Decrease</v>
      </c>
      <c r="I533" t="str">
        <f>VLOOKUP(A533,'Remote work mental helath'!$A$2:$T$1001,16,)</f>
        <v>Unsatisfied</v>
      </c>
      <c r="J533" t="str">
        <f>VLOOKUP(A533,'Remote work mental helath'!$A$2:$T$1001,13,)</f>
        <v>Yes</v>
      </c>
      <c r="K533">
        <f>VLOOKUP(A533,'Remote work mental helath'!$A$2:$T$1001,17,FALSE)</f>
        <v>5</v>
      </c>
    </row>
    <row r="534" spans="1:11" x14ac:dyDescent="0.3">
      <c r="A534" t="s">
        <v>583</v>
      </c>
      <c r="B534" t="str">
        <f>VLOOKUP(A534,'Remote work mental helath'!$A$2:$T$1001,12,)</f>
        <v>None</v>
      </c>
      <c r="C534" t="str">
        <f>VLOOKUP(A534,'Remote work mental helath'!$A$2:$T$1001,11,)</f>
        <v>Medium</v>
      </c>
      <c r="D534">
        <f>VLOOKUP('Mental Helath'!A534,'Remote work mental helath'!$A$2:$T$1001,10,)</f>
        <v>3</v>
      </c>
      <c r="E534" t="str">
        <f>VLOOKUP(A534,'Remote work mental helath'!A534:T1533,19,FALSE)</f>
        <v>Poor</v>
      </c>
      <c r="F534" t="str">
        <f>VLOOKUP(A534,'Remote work mental helath'!$A$2:$T$1001,18,)</f>
        <v>None</v>
      </c>
      <c r="G534">
        <f>VLOOKUP(A534,'Remote work mental helath'!$A$2:$T$1001,15,FALSE)</f>
        <v>1</v>
      </c>
      <c r="H534" t="str">
        <f>VLOOKUP(A534,'Remote work mental helath'!$A$2:$T$1001,14,)</f>
        <v>No Change</v>
      </c>
      <c r="I534" t="str">
        <f>VLOOKUP(A534,'Remote work mental helath'!$A$2:$T$1001,16,)</f>
        <v>Satisfied</v>
      </c>
      <c r="J534" t="str">
        <f>VLOOKUP(A534,'Remote work mental helath'!$A$2:$T$1001,13,)</f>
        <v>No</v>
      </c>
      <c r="K534">
        <f>VLOOKUP(A534,'Remote work mental helath'!$A$2:$T$1001,17,FALSE)</f>
        <v>5</v>
      </c>
    </row>
    <row r="535" spans="1:11" x14ac:dyDescent="0.3">
      <c r="A535" t="s">
        <v>584</v>
      </c>
      <c r="B535" t="str">
        <f>VLOOKUP(A535,'Remote work mental helath'!$A$2:$T$1001,12,)</f>
        <v>Depression</v>
      </c>
      <c r="C535" t="str">
        <f>VLOOKUP(A535,'Remote work mental helath'!$A$2:$T$1001,11,)</f>
        <v>Low</v>
      </c>
      <c r="D535">
        <f>VLOOKUP('Mental Helath'!A535,'Remote work mental helath'!$A$2:$T$1001,10,)</f>
        <v>3</v>
      </c>
      <c r="E535" t="str">
        <f>VLOOKUP(A535,'Remote work mental helath'!A535:T1534,19,FALSE)</f>
        <v>Average</v>
      </c>
      <c r="F535" t="str">
        <f>VLOOKUP(A535,'Remote work mental helath'!$A$2:$T$1001,18,)</f>
        <v>None</v>
      </c>
      <c r="G535">
        <f>VLOOKUP(A535,'Remote work mental helath'!$A$2:$T$1001,15,FALSE)</f>
        <v>4</v>
      </c>
      <c r="H535" t="str">
        <f>VLOOKUP(A535,'Remote work mental helath'!$A$2:$T$1001,14,)</f>
        <v>Increase</v>
      </c>
      <c r="I535" t="str">
        <f>VLOOKUP(A535,'Remote work mental helath'!$A$2:$T$1001,16,)</f>
        <v>Unsatisfied</v>
      </c>
      <c r="J535" t="str">
        <f>VLOOKUP(A535,'Remote work mental helath'!$A$2:$T$1001,13,)</f>
        <v>No</v>
      </c>
      <c r="K535">
        <f>VLOOKUP(A535,'Remote work mental helath'!$A$2:$T$1001,17,FALSE)</f>
        <v>1</v>
      </c>
    </row>
    <row r="536" spans="1:11" x14ac:dyDescent="0.3">
      <c r="A536" t="s">
        <v>585</v>
      </c>
      <c r="B536" t="str">
        <f>VLOOKUP(A536,'Remote work mental helath'!$A$2:$T$1001,12,)</f>
        <v>None</v>
      </c>
      <c r="C536" t="str">
        <f>VLOOKUP(A536,'Remote work mental helath'!$A$2:$T$1001,11,)</f>
        <v>High</v>
      </c>
      <c r="D536">
        <f>VLOOKUP('Mental Helath'!A536,'Remote work mental helath'!$A$2:$T$1001,10,)</f>
        <v>5</v>
      </c>
      <c r="E536" t="str">
        <f>VLOOKUP(A536,'Remote work mental helath'!A536:T1535,19,FALSE)</f>
        <v>Average</v>
      </c>
      <c r="F536" t="str">
        <f>VLOOKUP(A536,'Remote work mental helath'!$A$2:$T$1001,18,)</f>
        <v>Daily</v>
      </c>
      <c r="G536">
        <f>VLOOKUP(A536,'Remote work mental helath'!$A$2:$T$1001,15,FALSE)</f>
        <v>3</v>
      </c>
      <c r="H536" t="str">
        <f>VLOOKUP(A536,'Remote work mental helath'!$A$2:$T$1001,14,)</f>
        <v>Decrease</v>
      </c>
      <c r="I536" t="str">
        <f>VLOOKUP(A536,'Remote work mental helath'!$A$2:$T$1001,16,)</f>
        <v>Unsatisfied</v>
      </c>
      <c r="J536" t="str">
        <f>VLOOKUP(A536,'Remote work mental helath'!$A$2:$T$1001,13,)</f>
        <v>Yes</v>
      </c>
      <c r="K536">
        <f>VLOOKUP(A536,'Remote work mental helath'!$A$2:$T$1001,17,FALSE)</f>
        <v>5</v>
      </c>
    </row>
    <row r="537" spans="1:11" x14ac:dyDescent="0.3">
      <c r="A537" t="s">
        <v>586</v>
      </c>
      <c r="B537" t="str">
        <f>VLOOKUP(A537,'Remote work mental helath'!$A$2:$T$1001,12,)</f>
        <v>Depression</v>
      </c>
      <c r="C537" t="str">
        <f>VLOOKUP(A537,'Remote work mental helath'!$A$2:$T$1001,11,)</f>
        <v>High</v>
      </c>
      <c r="D537">
        <f>VLOOKUP('Mental Helath'!A537,'Remote work mental helath'!$A$2:$T$1001,10,)</f>
        <v>1</v>
      </c>
      <c r="E537" t="str">
        <f>VLOOKUP(A537,'Remote work mental helath'!A537:T1536,19,FALSE)</f>
        <v>Poor</v>
      </c>
      <c r="F537" t="str">
        <f>VLOOKUP(A537,'Remote work mental helath'!$A$2:$T$1001,18,)</f>
        <v>Weekly</v>
      </c>
      <c r="G537">
        <f>VLOOKUP(A537,'Remote work mental helath'!$A$2:$T$1001,15,FALSE)</f>
        <v>4</v>
      </c>
      <c r="H537" t="str">
        <f>VLOOKUP(A537,'Remote work mental helath'!$A$2:$T$1001,14,)</f>
        <v>Increase</v>
      </c>
      <c r="I537" t="str">
        <f>VLOOKUP(A537,'Remote work mental helath'!$A$2:$T$1001,16,)</f>
        <v>Neutral</v>
      </c>
      <c r="J537" t="str">
        <f>VLOOKUP(A537,'Remote work mental helath'!$A$2:$T$1001,13,)</f>
        <v>Yes</v>
      </c>
      <c r="K537">
        <f>VLOOKUP(A537,'Remote work mental helath'!$A$2:$T$1001,17,FALSE)</f>
        <v>4</v>
      </c>
    </row>
    <row r="538" spans="1:11" x14ac:dyDescent="0.3">
      <c r="A538" t="s">
        <v>587</v>
      </c>
      <c r="B538" t="str">
        <f>VLOOKUP(A538,'Remote work mental helath'!$A$2:$T$1001,12,)</f>
        <v>Depression</v>
      </c>
      <c r="C538" t="str">
        <f>VLOOKUP(A538,'Remote work mental helath'!$A$2:$T$1001,11,)</f>
        <v>Medium</v>
      </c>
      <c r="D538">
        <f>VLOOKUP('Mental Helath'!A538,'Remote work mental helath'!$A$2:$T$1001,10,)</f>
        <v>5</v>
      </c>
      <c r="E538" t="str">
        <f>VLOOKUP(A538,'Remote work mental helath'!A538:T1537,19,FALSE)</f>
        <v>Average</v>
      </c>
      <c r="F538" t="str">
        <f>VLOOKUP(A538,'Remote work mental helath'!$A$2:$T$1001,18,)</f>
        <v>Daily</v>
      </c>
      <c r="G538">
        <f>VLOOKUP(A538,'Remote work mental helath'!$A$2:$T$1001,15,FALSE)</f>
        <v>1</v>
      </c>
      <c r="H538" t="str">
        <f>VLOOKUP(A538,'Remote work mental helath'!$A$2:$T$1001,14,)</f>
        <v>No Change</v>
      </c>
      <c r="I538" t="str">
        <f>VLOOKUP(A538,'Remote work mental helath'!$A$2:$T$1001,16,)</f>
        <v>Neutral</v>
      </c>
      <c r="J538" t="str">
        <f>VLOOKUP(A538,'Remote work mental helath'!$A$2:$T$1001,13,)</f>
        <v>Yes</v>
      </c>
      <c r="K538">
        <f>VLOOKUP(A538,'Remote work mental helath'!$A$2:$T$1001,17,FALSE)</f>
        <v>1</v>
      </c>
    </row>
    <row r="539" spans="1:11" x14ac:dyDescent="0.3">
      <c r="A539" t="s">
        <v>588</v>
      </c>
      <c r="B539" t="str">
        <f>VLOOKUP(A539,'Remote work mental helath'!$A$2:$T$1001,12,)</f>
        <v>None</v>
      </c>
      <c r="C539" t="str">
        <f>VLOOKUP(A539,'Remote work mental helath'!$A$2:$T$1001,11,)</f>
        <v>Medium</v>
      </c>
      <c r="D539">
        <f>VLOOKUP('Mental Helath'!A539,'Remote work mental helath'!$A$2:$T$1001,10,)</f>
        <v>3</v>
      </c>
      <c r="E539" t="str">
        <f>VLOOKUP(A539,'Remote work mental helath'!A539:T1538,19,FALSE)</f>
        <v>Poor</v>
      </c>
      <c r="F539" t="str">
        <f>VLOOKUP(A539,'Remote work mental helath'!$A$2:$T$1001,18,)</f>
        <v>Daily</v>
      </c>
      <c r="G539">
        <f>VLOOKUP(A539,'Remote work mental helath'!$A$2:$T$1001,15,FALSE)</f>
        <v>2</v>
      </c>
      <c r="H539" t="str">
        <f>VLOOKUP(A539,'Remote work mental helath'!$A$2:$T$1001,14,)</f>
        <v>No Change</v>
      </c>
      <c r="I539" t="str">
        <f>VLOOKUP(A539,'Remote work mental helath'!$A$2:$T$1001,16,)</f>
        <v>Unsatisfied</v>
      </c>
      <c r="J539" t="str">
        <f>VLOOKUP(A539,'Remote work mental helath'!$A$2:$T$1001,13,)</f>
        <v>Yes</v>
      </c>
      <c r="K539">
        <f>VLOOKUP(A539,'Remote work mental helath'!$A$2:$T$1001,17,FALSE)</f>
        <v>3</v>
      </c>
    </row>
    <row r="540" spans="1:11" x14ac:dyDescent="0.3">
      <c r="A540" t="s">
        <v>589</v>
      </c>
      <c r="B540" t="str">
        <f>VLOOKUP(A540,'Remote work mental helath'!$A$2:$T$1001,12,)</f>
        <v>Anxiety</v>
      </c>
      <c r="C540" t="str">
        <f>VLOOKUP(A540,'Remote work mental helath'!$A$2:$T$1001,11,)</f>
        <v>Low</v>
      </c>
      <c r="D540">
        <f>VLOOKUP('Mental Helath'!A540,'Remote work mental helath'!$A$2:$T$1001,10,)</f>
        <v>3</v>
      </c>
      <c r="E540" t="str">
        <f>VLOOKUP(A540,'Remote work mental helath'!A540:T1539,19,FALSE)</f>
        <v>Good</v>
      </c>
      <c r="F540" t="str">
        <f>VLOOKUP(A540,'Remote work mental helath'!$A$2:$T$1001,18,)</f>
        <v>None</v>
      </c>
      <c r="G540">
        <f>VLOOKUP(A540,'Remote work mental helath'!$A$2:$T$1001,15,FALSE)</f>
        <v>4</v>
      </c>
      <c r="H540" t="str">
        <f>VLOOKUP(A540,'Remote work mental helath'!$A$2:$T$1001,14,)</f>
        <v>No Change</v>
      </c>
      <c r="I540" t="str">
        <f>VLOOKUP(A540,'Remote work mental helath'!$A$2:$T$1001,16,)</f>
        <v>Satisfied</v>
      </c>
      <c r="J540" t="str">
        <f>VLOOKUP(A540,'Remote work mental helath'!$A$2:$T$1001,13,)</f>
        <v>No</v>
      </c>
      <c r="K540">
        <f>VLOOKUP(A540,'Remote work mental helath'!$A$2:$T$1001,17,FALSE)</f>
        <v>3</v>
      </c>
    </row>
    <row r="541" spans="1:11" x14ac:dyDescent="0.3">
      <c r="A541" t="s">
        <v>590</v>
      </c>
      <c r="B541" t="str">
        <f>VLOOKUP(A541,'Remote work mental helath'!$A$2:$T$1001,12,)</f>
        <v>Depression</v>
      </c>
      <c r="C541" t="str">
        <f>VLOOKUP(A541,'Remote work mental helath'!$A$2:$T$1001,11,)</f>
        <v>High</v>
      </c>
      <c r="D541">
        <f>VLOOKUP('Mental Helath'!A541,'Remote work mental helath'!$A$2:$T$1001,10,)</f>
        <v>4</v>
      </c>
      <c r="E541" t="str">
        <f>VLOOKUP(A541,'Remote work mental helath'!A541:T1540,19,FALSE)</f>
        <v>Average</v>
      </c>
      <c r="F541" t="str">
        <f>VLOOKUP(A541,'Remote work mental helath'!$A$2:$T$1001,18,)</f>
        <v>Daily</v>
      </c>
      <c r="G541">
        <f>VLOOKUP(A541,'Remote work mental helath'!$A$2:$T$1001,15,FALSE)</f>
        <v>1</v>
      </c>
      <c r="H541" t="str">
        <f>VLOOKUP(A541,'Remote work mental helath'!$A$2:$T$1001,14,)</f>
        <v>No Change</v>
      </c>
      <c r="I541" t="str">
        <f>VLOOKUP(A541,'Remote work mental helath'!$A$2:$T$1001,16,)</f>
        <v>Neutral</v>
      </c>
      <c r="J541" t="str">
        <f>VLOOKUP(A541,'Remote work mental helath'!$A$2:$T$1001,13,)</f>
        <v>No</v>
      </c>
      <c r="K541">
        <f>VLOOKUP(A541,'Remote work mental helath'!$A$2:$T$1001,17,FALSE)</f>
        <v>1</v>
      </c>
    </row>
    <row r="542" spans="1:11" x14ac:dyDescent="0.3">
      <c r="A542" t="s">
        <v>591</v>
      </c>
      <c r="B542" t="str">
        <f>VLOOKUP(A542,'Remote work mental helath'!$A$2:$T$1001,12,)</f>
        <v>Burnout</v>
      </c>
      <c r="C542" t="str">
        <f>VLOOKUP(A542,'Remote work mental helath'!$A$2:$T$1001,11,)</f>
        <v>High</v>
      </c>
      <c r="D542">
        <f>VLOOKUP('Mental Helath'!A542,'Remote work mental helath'!$A$2:$T$1001,10,)</f>
        <v>2</v>
      </c>
      <c r="E542" t="str">
        <f>VLOOKUP(A542,'Remote work mental helath'!A542:T1541,19,FALSE)</f>
        <v>Poor</v>
      </c>
      <c r="F542" t="str">
        <f>VLOOKUP(A542,'Remote work mental helath'!$A$2:$T$1001,18,)</f>
        <v>Daily</v>
      </c>
      <c r="G542">
        <f>VLOOKUP(A542,'Remote work mental helath'!$A$2:$T$1001,15,FALSE)</f>
        <v>4</v>
      </c>
      <c r="H542" t="str">
        <f>VLOOKUP(A542,'Remote work mental helath'!$A$2:$T$1001,14,)</f>
        <v>No Change</v>
      </c>
      <c r="I542" t="str">
        <f>VLOOKUP(A542,'Remote work mental helath'!$A$2:$T$1001,16,)</f>
        <v>Neutral</v>
      </c>
      <c r="J542" t="str">
        <f>VLOOKUP(A542,'Remote work mental helath'!$A$2:$T$1001,13,)</f>
        <v>No</v>
      </c>
      <c r="K542">
        <f>VLOOKUP(A542,'Remote work mental helath'!$A$2:$T$1001,17,FALSE)</f>
        <v>4</v>
      </c>
    </row>
    <row r="543" spans="1:11" x14ac:dyDescent="0.3">
      <c r="A543" t="s">
        <v>592</v>
      </c>
      <c r="B543" t="str">
        <f>VLOOKUP(A543,'Remote work mental helath'!$A$2:$T$1001,12,)</f>
        <v>Depression</v>
      </c>
      <c r="C543" t="str">
        <f>VLOOKUP(A543,'Remote work mental helath'!$A$2:$T$1001,11,)</f>
        <v>Medium</v>
      </c>
      <c r="D543">
        <f>VLOOKUP('Mental Helath'!A543,'Remote work mental helath'!$A$2:$T$1001,10,)</f>
        <v>4</v>
      </c>
      <c r="E543" t="str">
        <f>VLOOKUP(A543,'Remote work mental helath'!A543:T1542,19,FALSE)</f>
        <v>Average</v>
      </c>
      <c r="F543" t="str">
        <f>VLOOKUP(A543,'Remote work mental helath'!$A$2:$T$1001,18,)</f>
        <v>Weekly</v>
      </c>
      <c r="G543">
        <f>VLOOKUP(A543,'Remote work mental helath'!$A$2:$T$1001,15,FALSE)</f>
        <v>5</v>
      </c>
      <c r="H543" t="str">
        <f>VLOOKUP(A543,'Remote work mental helath'!$A$2:$T$1001,14,)</f>
        <v>Increase</v>
      </c>
      <c r="I543" t="str">
        <f>VLOOKUP(A543,'Remote work mental helath'!$A$2:$T$1001,16,)</f>
        <v>Unsatisfied</v>
      </c>
      <c r="J543" t="str">
        <f>VLOOKUP(A543,'Remote work mental helath'!$A$2:$T$1001,13,)</f>
        <v>No</v>
      </c>
      <c r="K543">
        <f>VLOOKUP(A543,'Remote work mental helath'!$A$2:$T$1001,17,FALSE)</f>
        <v>3</v>
      </c>
    </row>
    <row r="544" spans="1:11" x14ac:dyDescent="0.3">
      <c r="A544" t="s">
        <v>593</v>
      </c>
      <c r="B544" t="str">
        <f>VLOOKUP(A544,'Remote work mental helath'!$A$2:$T$1001,12,)</f>
        <v>Depression</v>
      </c>
      <c r="C544" t="str">
        <f>VLOOKUP(A544,'Remote work mental helath'!$A$2:$T$1001,11,)</f>
        <v>Medium</v>
      </c>
      <c r="D544">
        <f>VLOOKUP('Mental Helath'!A544,'Remote work mental helath'!$A$2:$T$1001,10,)</f>
        <v>5</v>
      </c>
      <c r="E544" t="str">
        <f>VLOOKUP(A544,'Remote work mental helath'!A544:T1543,19,FALSE)</f>
        <v>Good</v>
      </c>
      <c r="F544" t="str">
        <f>VLOOKUP(A544,'Remote work mental helath'!$A$2:$T$1001,18,)</f>
        <v>Weekly</v>
      </c>
      <c r="G544">
        <f>VLOOKUP(A544,'Remote work mental helath'!$A$2:$T$1001,15,FALSE)</f>
        <v>2</v>
      </c>
      <c r="H544" t="str">
        <f>VLOOKUP(A544,'Remote work mental helath'!$A$2:$T$1001,14,)</f>
        <v>No Change</v>
      </c>
      <c r="I544" t="str">
        <f>VLOOKUP(A544,'Remote work mental helath'!$A$2:$T$1001,16,)</f>
        <v>Satisfied</v>
      </c>
      <c r="J544" t="str">
        <f>VLOOKUP(A544,'Remote work mental helath'!$A$2:$T$1001,13,)</f>
        <v>No</v>
      </c>
      <c r="K544">
        <f>VLOOKUP(A544,'Remote work mental helath'!$A$2:$T$1001,17,FALSE)</f>
        <v>5</v>
      </c>
    </row>
    <row r="545" spans="1:11" x14ac:dyDescent="0.3">
      <c r="A545" t="s">
        <v>594</v>
      </c>
      <c r="B545" t="str">
        <f>VLOOKUP(A545,'Remote work mental helath'!$A$2:$T$1001,12,)</f>
        <v>None</v>
      </c>
      <c r="C545" t="str">
        <f>VLOOKUP(A545,'Remote work mental helath'!$A$2:$T$1001,11,)</f>
        <v>Medium</v>
      </c>
      <c r="D545">
        <f>VLOOKUP('Mental Helath'!A545,'Remote work mental helath'!$A$2:$T$1001,10,)</f>
        <v>3</v>
      </c>
      <c r="E545" t="str">
        <f>VLOOKUP(A545,'Remote work mental helath'!A545:T1544,19,FALSE)</f>
        <v>Average</v>
      </c>
      <c r="F545" t="str">
        <f>VLOOKUP(A545,'Remote work mental helath'!$A$2:$T$1001,18,)</f>
        <v>None</v>
      </c>
      <c r="G545">
        <f>VLOOKUP(A545,'Remote work mental helath'!$A$2:$T$1001,15,FALSE)</f>
        <v>2</v>
      </c>
      <c r="H545" t="str">
        <f>VLOOKUP(A545,'Remote work mental helath'!$A$2:$T$1001,14,)</f>
        <v>Decrease</v>
      </c>
      <c r="I545" t="str">
        <f>VLOOKUP(A545,'Remote work mental helath'!$A$2:$T$1001,16,)</f>
        <v>Unsatisfied</v>
      </c>
      <c r="J545" t="str">
        <f>VLOOKUP(A545,'Remote work mental helath'!$A$2:$T$1001,13,)</f>
        <v>No</v>
      </c>
      <c r="K545">
        <f>VLOOKUP(A545,'Remote work mental helath'!$A$2:$T$1001,17,FALSE)</f>
        <v>5</v>
      </c>
    </row>
    <row r="546" spans="1:11" x14ac:dyDescent="0.3">
      <c r="A546" t="s">
        <v>595</v>
      </c>
      <c r="B546" t="str">
        <f>VLOOKUP(A546,'Remote work mental helath'!$A$2:$T$1001,12,)</f>
        <v>None</v>
      </c>
      <c r="C546" t="str">
        <f>VLOOKUP(A546,'Remote work mental helath'!$A$2:$T$1001,11,)</f>
        <v>Low</v>
      </c>
      <c r="D546">
        <f>VLOOKUP('Mental Helath'!A546,'Remote work mental helath'!$A$2:$T$1001,10,)</f>
        <v>1</v>
      </c>
      <c r="E546" t="str">
        <f>VLOOKUP(A546,'Remote work mental helath'!A546:T1545,19,FALSE)</f>
        <v>Poor</v>
      </c>
      <c r="F546" t="str">
        <f>VLOOKUP(A546,'Remote work mental helath'!$A$2:$T$1001,18,)</f>
        <v>Daily</v>
      </c>
      <c r="G546">
        <f>VLOOKUP(A546,'Remote work mental helath'!$A$2:$T$1001,15,FALSE)</f>
        <v>3</v>
      </c>
      <c r="H546" t="str">
        <f>VLOOKUP(A546,'Remote work mental helath'!$A$2:$T$1001,14,)</f>
        <v>Decrease</v>
      </c>
      <c r="I546" t="str">
        <f>VLOOKUP(A546,'Remote work mental helath'!$A$2:$T$1001,16,)</f>
        <v>Unsatisfied</v>
      </c>
      <c r="J546" t="str">
        <f>VLOOKUP(A546,'Remote work mental helath'!$A$2:$T$1001,13,)</f>
        <v>Yes</v>
      </c>
      <c r="K546">
        <f>VLOOKUP(A546,'Remote work mental helath'!$A$2:$T$1001,17,FALSE)</f>
        <v>3</v>
      </c>
    </row>
    <row r="547" spans="1:11" x14ac:dyDescent="0.3">
      <c r="A547" t="s">
        <v>596</v>
      </c>
      <c r="B547" t="str">
        <f>VLOOKUP(A547,'Remote work mental helath'!$A$2:$T$1001,12,)</f>
        <v>Anxiety</v>
      </c>
      <c r="C547" t="str">
        <f>VLOOKUP(A547,'Remote work mental helath'!$A$2:$T$1001,11,)</f>
        <v>Low</v>
      </c>
      <c r="D547">
        <f>VLOOKUP('Mental Helath'!A547,'Remote work mental helath'!$A$2:$T$1001,10,)</f>
        <v>4</v>
      </c>
      <c r="E547" t="str">
        <f>VLOOKUP(A547,'Remote work mental helath'!A547:T1546,19,FALSE)</f>
        <v>Good</v>
      </c>
      <c r="F547" t="str">
        <f>VLOOKUP(A547,'Remote work mental helath'!$A$2:$T$1001,18,)</f>
        <v>Weekly</v>
      </c>
      <c r="G547">
        <f>VLOOKUP(A547,'Remote work mental helath'!$A$2:$T$1001,15,FALSE)</f>
        <v>5</v>
      </c>
      <c r="H547" t="str">
        <f>VLOOKUP(A547,'Remote work mental helath'!$A$2:$T$1001,14,)</f>
        <v>No Change</v>
      </c>
      <c r="I547" t="str">
        <f>VLOOKUP(A547,'Remote work mental helath'!$A$2:$T$1001,16,)</f>
        <v>Unsatisfied</v>
      </c>
      <c r="J547" t="str">
        <f>VLOOKUP(A547,'Remote work mental helath'!$A$2:$T$1001,13,)</f>
        <v>Yes</v>
      </c>
      <c r="K547">
        <f>VLOOKUP(A547,'Remote work mental helath'!$A$2:$T$1001,17,FALSE)</f>
        <v>2</v>
      </c>
    </row>
    <row r="548" spans="1:11" x14ac:dyDescent="0.3">
      <c r="A548" t="s">
        <v>597</v>
      </c>
      <c r="B548" t="str">
        <f>VLOOKUP(A548,'Remote work mental helath'!$A$2:$T$1001,12,)</f>
        <v>Burnout</v>
      </c>
      <c r="C548" t="str">
        <f>VLOOKUP(A548,'Remote work mental helath'!$A$2:$T$1001,11,)</f>
        <v>Medium</v>
      </c>
      <c r="D548">
        <f>VLOOKUP('Mental Helath'!A548,'Remote work mental helath'!$A$2:$T$1001,10,)</f>
        <v>3</v>
      </c>
      <c r="E548" t="str">
        <f>VLOOKUP(A548,'Remote work mental helath'!A548:T1547,19,FALSE)</f>
        <v>Poor</v>
      </c>
      <c r="F548" t="str">
        <f>VLOOKUP(A548,'Remote work mental helath'!$A$2:$T$1001,18,)</f>
        <v>None</v>
      </c>
      <c r="G548">
        <f>VLOOKUP(A548,'Remote work mental helath'!$A$2:$T$1001,15,FALSE)</f>
        <v>3</v>
      </c>
      <c r="H548" t="str">
        <f>VLOOKUP(A548,'Remote work mental helath'!$A$2:$T$1001,14,)</f>
        <v>No Change</v>
      </c>
      <c r="I548" t="str">
        <f>VLOOKUP(A548,'Remote work mental helath'!$A$2:$T$1001,16,)</f>
        <v>Satisfied</v>
      </c>
      <c r="J548" t="str">
        <f>VLOOKUP(A548,'Remote work mental helath'!$A$2:$T$1001,13,)</f>
        <v>Yes</v>
      </c>
      <c r="K548">
        <f>VLOOKUP(A548,'Remote work mental helath'!$A$2:$T$1001,17,FALSE)</f>
        <v>5</v>
      </c>
    </row>
    <row r="549" spans="1:11" x14ac:dyDescent="0.3">
      <c r="A549" t="s">
        <v>598</v>
      </c>
      <c r="B549" t="str">
        <f>VLOOKUP(A549,'Remote work mental helath'!$A$2:$T$1001,12,)</f>
        <v>Depression</v>
      </c>
      <c r="C549" t="str">
        <f>VLOOKUP(A549,'Remote work mental helath'!$A$2:$T$1001,11,)</f>
        <v>Medium</v>
      </c>
      <c r="D549">
        <f>VLOOKUP('Mental Helath'!A549,'Remote work mental helath'!$A$2:$T$1001,10,)</f>
        <v>3</v>
      </c>
      <c r="E549" t="str">
        <f>VLOOKUP(A549,'Remote work mental helath'!A549:T1548,19,FALSE)</f>
        <v>Average</v>
      </c>
      <c r="F549" t="str">
        <f>VLOOKUP(A549,'Remote work mental helath'!$A$2:$T$1001,18,)</f>
        <v>Weekly</v>
      </c>
      <c r="G549">
        <f>VLOOKUP(A549,'Remote work mental helath'!$A$2:$T$1001,15,FALSE)</f>
        <v>4</v>
      </c>
      <c r="H549" t="str">
        <f>VLOOKUP(A549,'Remote work mental helath'!$A$2:$T$1001,14,)</f>
        <v>No Change</v>
      </c>
      <c r="I549" t="str">
        <f>VLOOKUP(A549,'Remote work mental helath'!$A$2:$T$1001,16,)</f>
        <v>Unsatisfied</v>
      </c>
      <c r="J549" t="str">
        <f>VLOOKUP(A549,'Remote work mental helath'!$A$2:$T$1001,13,)</f>
        <v>Yes</v>
      </c>
      <c r="K549">
        <f>VLOOKUP(A549,'Remote work mental helath'!$A$2:$T$1001,17,FALSE)</f>
        <v>5</v>
      </c>
    </row>
    <row r="550" spans="1:11" x14ac:dyDescent="0.3">
      <c r="A550" t="s">
        <v>599</v>
      </c>
      <c r="B550" t="str">
        <f>VLOOKUP(A550,'Remote work mental helath'!$A$2:$T$1001,12,)</f>
        <v>Burnout</v>
      </c>
      <c r="C550" t="str">
        <f>VLOOKUP(A550,'Remote work mental helath'!$A$2:$T$1001,11,)</f>
        <v>Medium</v>
      </c>
      <c r="D550">
        <f>VLOOKUP('Mental Helath'!A550,'Remote work mental helath'!$A$2:$T$1001,10,)</f>
        <v>4</v>
      </c>
      <c r="E550" t="str">
        <f>VLOOKUP(A550,'Remote work mental helath'!A550:T1549,19,FALSE)</f>
        <v>Average</v>
      </c>
      <c r="F550" t="str">
        <f>VLOOKUP(A550,'Remote work mental helath'!$A$2:$T$1001,18,)</f>
        <v>None</v>
      </c>
      <c r="G550">
        <f>VLOOKUP(A550,'Remote work mental helath'!$A$2:$T$1001,15,FALSE)</f>
        <v>2</v>
      </c>
      <c r="H550" t="str">
        <f>VLOOKUP(A550,'Remote work mental helath'!$A$2:$T$1001,14,)</f>
        <v>No Change</v>
      </c>
      <c r="I550" t="str">
        <f>VLOOKUP(A550,'Remote work mental helath'!$A$2:$T$1001,16,)</f>
        <v>Unsatisfied</v>
      </c>
      <c r="J550" t="str">
        <f>VLOOKUP(A550,'Remote work mental helath'!$A$2:$T$1001,13,)</f>
        <v>Yes</v>
      </c>
      <c r="K550">
        <f>VLOOKUP(A550,'Remote work mental helath'!$A$2:$T$1001,17,FALSE)</f>
        <v>4</v>
      </c>
    </row>
    <row r="551" spans="1:11" x14ac:dyDescent="0.3">
      <c r="A551" t="s">
        <v>600</v>
      </c>
      <c r="B551" t="str">
        <f>VLOOKUP(A551,'Remote work mental helath'!$A$2:$T$1001,12,)</f>
        <v>Burnout</v>
      </c>
      <c r="C551" t="str">
        <f>VLOOKUP(A551,'Remote work mental helath'!$A$2:$T$1001,11,)</f>
        <v>High</v>
      </c>
      <c r="D551">
        <f>VLOOKUP('Mental Helath'!A551,'Remote work mental helath'!$A$2:$T$1001,10,)</f>
        <v>3</v>
      </c>
      <c r="E551" t="str">
        <f>VLOOKUP(A551,'Remote work mental helath'!A551:T1550,19,FALSE)</f>
        <v>Poor</v>
      </c>
      <c r="F551" t="str">
        <f>VLOOKUP(A551,'Remote work mental helath'!$A$2:$T$1001,18,)</f>
        <v>Daily</v>
      </c>
      <c r="G551">
        <f>VLOOKUP(A551,'Remote work mental helath'!$A$2:$T$1001,15,FALSE)</f>
        <v>5</v>
      </c>
      <c r="H551" t="str">
        <f>VLOOKUP(A551,'Remote work mental helath'!$A$2:$T$1001,14,)</f>
        <v>Decrease</v>
      </c>
      <c r="I551" t="str">
        <f>VLOOKUP(A551,'Remote work mental helath'!$A$2:$T$1001,16,)</f>
        <v>Neutral</v>
      </c>
      <c r="J551" t="str">
        <f>VLOOKUP(A551,'Remote work mental helath'!$A$2:$T$1001,13,)</f>
        <v>Yes</v>
      </c>
      <c r="K551">
        <f>VLOOKUP(A551,'Remote work mental helath'!$A$2:$T$1001,17,FALSE)</f>
        <v>3</v>
      </c>
    </row>
    <row r="552" spans="1:11" x14ac:dyDescent="0.3">
      <c r="A552" t="s">
        <v>601</v>
      </c>
      <c r="B552" t="str">
        <f>VLOOKUP(A552,'Remote work mental helath'!$A$2:$T$1001,12,)</f>
        <v>Anxiety</v>
      </c>
      <c r="C552" t="str">
        <f>VLOOKUP(A552,'Remote work mental helath'!$A$2:$T$1001,11,)</f>
        <v>High</v>
      </c>
      <c r="D552">
        <f>VLOOKUP('Mental Helath'!A552,'Remote work mental helath'!$A$2:$T$1001,10,)</f>
        <v>2</v>
      </c>
      <c r="E552" t="str">
        <f>VLOOKUP(A552,'Remote work mental helath'!A552:T1551,19,FALSE)</f>
        <v>Good</v>
      </c>
      <c r="F552" t="str">
        <f>VLOOKUP(A552,'Remote work mental helath'!$A$2:$T$1001,18,)</f>
        <v>Daily</v>
      </c>
      <c r="G552">
        <f>VLOOKUP(A552,'Remote work mental helath'!$A$2:$T$1001,15,FALSE)</f>
        <v>4</v>
      </c>
      <c r="H552" t="str">
        <f>VLOOKUP(A552,'Remote work mental helath'!$A$2:$T$1001,14,)</f>
        <v>No Change</v>
      </c>
      <c r="I552" t="str">
        <f>VLOOKUP(A552,'Remote work mental helath'!$A$2:$T$1001,16,)</f>
        <v>Unsatisfied</v>
      </c>
      <c r="J552" t="str">
        <f>VLOOKUP(A552,'Remote work mental helath'!$A$2:$T$1001,13,)</f>
        <v>Yes</v>
      </c>
      <c r="K552">
        <f>VLOOKUP(A552,'Remote work mental helath'!$A$2:$T$1001,17,FALSE)</f>
        <v>1</v>
      </c>
    </row>
    <row r="553" spans="1:11" x14ac:dyDescent="0.3">
      <c r="A553" t="s">
        <v>602</v>
      </c>
      <c r="B553" t="str">
        <f>VLOOKUP(A553,'Remote work mental helath'!$A$2:$T$1001,12,)</f>
        <v>Depression</v>
      </c>
      <c r="C553" t="str">
        <f>VLOOKUP(A553,'Remote work mental helath'!$A$2:$T$1001,11,)</f>
        <v>High</v>
      </c>
      <c r="D553">
        <f>VLOOKUP('Mental Helath'!A553,'Remote work mental helath'!$A$2:$T$1001,10,)</f>
        <v>3</v>
      </c>
      <c r="E553" t="str">
        <f>VLOOKUP(A553,'Remote work mental helath'!A553:T1552,19,FALSE)</f>
        <v>Poor</v>
      </c>
      <c r="F553" t="str">
        <f>VLOOKUP(A553,'Remote work mental helath'!$A$2:$T$1001,18,)</f>
        <v>Weekly</v>
      </c>
      <c r="G553">
        <f>VLOOKUP(A553,'Remote work mental helath'!$A$2:$T$1001,15,FALSE)</f>
        <v>5</v>
      </c>
      <c r="H553" t="str">
        <f>VLOOKUP(A553,'Remote work mental helath'!$A$2:$T$1001,14,)</f>
        <v>Decrease</v>
      </c>
      <c r="I553" t="str">
        <f>VLOOKUP(A553,'Remote work mental helath'!$A$2:$T$1001,16,)</f>
        <v>Satisfied</v>
      </c>
      <c r="J553" t="str">
        <f>VLOOKUP(A553,'Remote work mental helath'!$A$2:$T$1001,13,)</f>
        <v>No</v>
      </c>
      <c r="K553">
        <f>VLOOKUP(A553,'Remote work mental helath'!$A$2:$T$1001,17,FALSE)</f>
        <v>1</v>
      </c>
    </row>
    <row r="554" spans="1:11" x14ac:dyDescent="0.3">
      <c r="A554" t="s">
        <v>603</v>
      </c>
      <c r="B554" t="str">
        <f>VLOOKUP(A554,'Remote work mental helath'!$A$2:$T$1001,12,)</f>
        <v>Depression</v>
      </c>
      <c r="C554" t="str">
        <f>VLOOKUP(A554,'Remote work mental helath'!$A$2:$T$1001,11,)</f>
        <v>High</v>
      </c>
      <c r="D554">
        <f>VLOOKUP('Mental Helath'!A554,'Remote work mental helath'!$A$2:$T$1001,10,)</f>
        <v>4</v>
      </c>
      <c r="E554" t="str">
        <f>VLOOKUP(A554,'Remote work mental helath'!A554:T1553,19,FALSE)</f>
        <v>Poor</v>
      </c>
      <c r="F554" t="str">
        <f>VLOOKUP(A554,'Remote work mental helath'!$A$2:$T$1001,18,)</f>
        <v>Daily</v>
      </c>
      <c r="G554">
        <f>VLOOKUP(A554,'Remote work mental helath'!$A$2:$T$1001,15,FALSE)</f>
        <v>2</v>
      </c>
      <c r="H554" t="str">
        <f>VLOOKUP(A554,'Remote work mental helath'!$A$2:$T$1001,14,)</f>
        <v>Decrease</v>
      </c>
      <c r="I554" t="str">
        <f>VLOOKUP(A554,'Remote work mental helath'!$A$2:$T$1001,16,)</f>
        <v>Satisfied</v>
      </c>
      <c r="J554" t="str">
        <f>VLOOKUP(A554,'Remote work mental helath'!$A$2:$T$1001,13,)</f>
        <v>Yes</v>
      </c>
      <c r="K554">
        <f>VLOOKUP(A554,'Remote work mental helath'!$A$2:$T$1001,17,FALSE)</f>
        <v>1</v>
      </c>
    </row>
    <row r="555" spans="1:11" x14ac:dyDescent="0.3">
      <c r="A555" t="s">
        <v>604</v>
      </c>
      <c r="B555" t="str">
        <f>VLOOKUP(A555,'Remote work mental helath'!$A$2:$T$1001,12,)</f>
        <v>Anxiety</v>
      </c>
      <c r="C555" t="str">
        <f>VLOOKUP(A555,'Remote work mental helath'!$A$2:$T$1001,11,)</f>
        <v>High</v>
      </c>
      <c r="D555">
        <f>VLOOKUP('Mental Helath'!A555,'Remote work mental helath'!$A$2:$T$1001,10,)</f>
        <v>4</v>
      </c>
      <c r="E555" t="str">
        <f>VLOOKUP(A555,'Remote work mental helath'!A555:T1554,19,FALSE)</f>
        <v>Good</v>
      </c>
      <c r="F555" t="str">
        <f>VLOOKUP(A555,'Remote work mental helath'!$A$2:$T$1001,18,)</f>
        <v>Weekly</v>
      </c>
      <c r="G555">
        <f>VLOOKUP(A555,'Remote work mental helath'!$A$2:$T$1001,15,FALSE)</f>
        <v>1</v>
      </c>
      <c r="H555" t="str">
        <f>VLOOKUP(A555,'Remote work mental helath'!$A$2:$T$1001,14,)</f>
        <v>Increase</v>
      </c>
      <c r="I555" t="str">
        <f>VLOOKUP(A555,'Remote work mental helath'!$A$2:$T$1001,16,)</f>
        <v>Neutral</v>
      </c>
      <c r="J555" t="str">
        <f>VLOOKUP(A555,'Remote work mental helath'!$A$2:$T$1001,13,)</f>
        <v>No</v>
      </c>
      <c r="K555">
        <f>VLOOKUP(A555,'Remote work mental helath'!$A$2:$T$1001,17,FALSE)</f>
        <v>3</v>
      </c>
    </row>
    <row r="556" spans="1:11" x14ac:dyDescent="0.3">
      <c r="A556" t="s">
        <v>605</v>
      </c>
      <c r="B556" t="str">
        <f>VLOOKUP(A556,'Remote work mental helath'!$A$2:$T$1001,12,)</f>
        <v>None</v>
      </c>
      <c r="C556" t="str">
        <f>VLOOKUP(A556,'Remote work mental helath'!$A$2:$T$1001,11,)</f>
        <v>Low</v>
      </c>
      <c r="D556">
        <f>VLOOKUP('Mental Helath'!A556,'Remote work mental helath'!$A$2:$T$1001,10,)</f>
        <v>5</v>
      </c>
      <c r="E556" t="str">
        <f>VLOOKUP(A556,'Remote work mental helath'!A556:T1555,19,FALSE)</f>
        <v>Good</v>
      </c>
      <c r="F556" t="str">
        <f>VLOOKUP(A556,'Remote work mental helath'!$A$2:$T$1001,18,)</f>
        <v>Weekly</v>
      </c>
      <c r="G556">
        <f>VLOOKUP(A556,'Remote work mental helath'!$A$2:$T$1001,15,FALSE)</f>
        <v>5</v>
      </c>
      <c r="H556" t="str">
        <f>VLOOKUP(A556,'Remote work mental helath'!$A$2:$T$1001,14,)</f>
        <v>Decrease</v>
      </c>
      <c r="I556" t="str">
        <f>VLOOKUP(A556,'Remote work mental helath'!$A$2:$T$1001,16,)</f>
        <v>Unsatisfied</v>
      </c>
      <c r="J556" t="str">
        <f>VLOOKUP(A556,'Remote work mental helath'!$A$2:$T$1001,13,)</f>
        <v>Yes</v>
      </c>
      <c r="K556">
        <f>VLOOKUP(A556,'Remote work mental helath'!$A$2:$T$1001,17,FALSE)</f>
        <v>2</v>
      </c>
    </row>
    <row r="557" spans="1:11" x14ac:dyDescent="0.3">
      <c r="A557" t="s">
        <v>606</v>
      </c>
      <c r="B557" t="str">
        <f>VLOOKUP(A557,'Remote work mental helath'!$A$2:$T$1001,12,)</f>
        <v>Depression</v>
      </c>
      <c r="C557" t="str">
        <f>VLOOKUP(A557,'Remote work mental helath'!$A$2:$T$1001,11,)</f>
        <v>High</v>
      </c>
      <c r="D557">
        <f>VLOOKUP('Mental Helath'!A557,'Remote work mental helath'!$A$2:$T$1001,10,)</f>
        <v>4</v>
      </c>
      <c r="E557" t="str">
        <f>VLOOKUP(A557,'Remote work mental helath'!A557:T1556,19,FALSE)</f>
        <v>Poor</v>
      </c>
      <c r="F557" t="str">
        <f>VLOOKUP(A557,'Remote work mental helath'!$A$2:$T$1001,18,)</f>
        <v>Daily</v>
      </c>
      <c r="G557">
        <f>VLOOKUP(A557,'Remote work mental helath'!$A$2:$T$1001,15,FALSE)</f>
        <v>1</v>
      </c>
      <c r="H557" t="str">
        <f>VLOOKUP(A557,'Remote work mental helath'!$A$2:$T$1001,14,)</f>
        <v>Decrease</v>
      </c>
      <c r="I557" t="str">
        <f>VLOOKUP(A557,'Remote work mental helath'!$A$2:$T$1001,16,)</f>
        <v>Satisfied</v>
      </c>
      <c r="J557" t="str">
        <f>VLOOKUP(A557,'Remote work mental helath'!$A$2:$T$1001,13,)</f>
        <v>No</v>
      </c>
      <c r="K557">
        <f>VLOOKUP(A557,'Remote work mental helath'!$A$2:$T$1001,17,FALSE)</f>
        <v>5</v>
      </c>
    </row>
    <row r="558" spans="1:11" x14ac:dyDescent="0.3">
      <c r="A558" t="s">
        <v>607</v>
      </c>
      <c r="B558" t="str">
        <f>VLOOKUP(A558,'Remote work mental helath'!$A$2:$T$1001,12,)</f>
        <v>Anxiety</v>
      </c>
      <c r="C558" t="str">
        <f>VLOOKUP(A558,'Remote work mental helath'!$A$2:$T$1001,11,)</f>
        <v>Low</v>
      </c>
      <c r="D558">
        <f>VLOOKUP('Mental Helath'!A558,'Remote work mental helath'!$A$2:$T$1001,10,)</f>
        <v>1</v>
      </c>
      <c r="E558" t="str">
        <f>VLOOKUP(A558,'Remote work mental helath'!A558:T1557,19,FALSE)</f>
        <v>Good</v>
      </c>
      <c r="F558" t="str">
        <f>VLOOKUP(A558,'Remote work mental helath'!$A$2:$T$1001,18,)</f>
        <v>None</v>
      </c>
      <c r="G558">
        <f>VLOOKUP(A558,'Remote work mental helath'!$A$2:$T$1001,15,FALSE)</f>
        <v>1</v>
      </c>
      <c r="H558" t="str">
        <f>VLOOKUP(A558,'Remote work mental helath'!$A$2:$T$1001,14,)</f>
        <v>Increase</v>
      </c>
      <c r="I558" t="str">
        <f>VLOOKUP(A558,'Remote work mental helath'!$A$2:$T$1001,16,)</f>
        <v>Neutral</v>
      </c>
      <c r="J558" t="str">
        <f>VLOOKUP(A558,'Remote work mental helath'!$A$2:$T$1001,13,)</f>
        <v>Yes</v>
      </c>
      <c r="K558">
        <f>VLOOKUP(A558,'Remote work mental helath'!$A$2:$T$1001,17,FALSE)</f>
        <v>3</v>
      </c>
    </row>
    <row r="559" spans="1:11" x14ac:dyDescent="0.3">
      <c r="A559" t="s">
        <v>608</v>
      </c>
      <c r="B559" t="str">
        <f>VLOOKUP(A559,'Remote work mental helath'!$A$2:$T$1001,12,)</f>
        <v>Anxiety</v>
      </c>
      <c r="C559" t="str">
        <f>VLOOKUP(A559,'Remote work mental helath'!$A$2:$T$1001,11,)</f>
        <v>Low</v>
      </c>
      <c r="D559">
        <f>VLOOKUP('Mental Helath'!A559,'Remote work mental helath'!$A$2:$T$1001,10,)</f>
        <v>3</v>
      </c>
      <c r="E559" t="str">
        <f>VLOOKUP(A559,'Remote work mental helath'!A559:T1558,19,FALSE)</f>
        <v>Poor</v>
      </c>
      <c r="F559" t="str">
        <f>VLOOKUP(A559,'Remote work mental helath'!$A$2:$T$1001,18,)</f>
        <v>None</v>
      </c>
      <c r="G559">
        <f>VLOOKUP(A559,'Remote work mental helath'!$A$2:$T$1001,15,FALSE)</f>
        <v>5</v>
      </c>
      <c r="H559" t="str">
        <f>VLOOKUP(A559,'Remote work mental helath'!$A$2:$T$1001,14,)</f>
        <v>Decrease</v>
      </c>
      <c r="I559" t="str">
        <f>VLOOKUP(A559,'Remote work mental helath'!$A$2:$T$1001,16,)</f>
        <v>Unsatisfied</v>
      </c>
      <c r="J559" t="str">
        <f>VLOOKUP(A559,'Remote work mental helath'!$A$2:$T$1001,13,)</f>
        <v>Yes</v>
      </c>
      <c r="K559">
        <f>VLOOKUP(A559,'Remote work mental helath'!$A$2:$T$1001,17,FALSE)</f>
        <v>3</v>
      </c>
    </row>
    <row r="560" spans="1:11" x14ac:dyDescent="0.3">
      <c r="A560" t="s">
        <v>609</v>
      </c>
      <c r="B560" t="str">
        <f>VLOOKUP(A560,'Remote work mental helath'!$A$2:$T$1001,12,)</f>
        <v>Burnout</v>
      </c>
      <c r="C560" t="str">
        <f>VLOOKUP(A560,'Remote work mental helath'!$A$2:$T$1001,11,)</f>
        <v>Medium</v>
      </c>
      <c r="D560">
        <f>VLOOKUP('Mental Helath'!A560,'Remote work mental helath'!$A$2:$T$1001,10,)</f>
        <v>3</v>
      </c>
      <c r="E560" t="str">
        <f>VLOOKUP(A560,'Remote work mental helath'!A560:T1559,19,FALSE)</f>
        <v>Poor</v>
      </c>
      <c r="F560" t="str">
        <f>VLOOKUP(A560,'Remote work mental helath'!$A$2:$T$1001,18,)</f>
        <v>Weekly</v>
      </c>
      <c r="G560">
        <f>VLOOKUP(A560,'Remote work mental helath'!$A$2:$T$1001,15,FALSE)</f>
        <v>4</v>
      </c>
      <c r="H560" t="str">
        <f>VLOOKUP(A560,'Remote work mental helath'!$A$2:$T$1001,14,)</f>
        <v>No Change</v>
      </c>
      <c r="I560" t="str">
        <f>VLOOKUP(A560,'Remote work mental helath'!$A$2:$T$1001,16,)</f>
        <v>Satisfied</v>
      </c>
      <c r="J560" t="str">
        <f>VLOOKUP(A560,'Remote work mental helath'!$A$2:$T$1001,13,)</f>
        <v>No</v>
      </c>
      <c r="K560">
        <f>VLOOKUP(A560,'Remote work mental helath'!$A$2:$T$1001,17,FALSE)</f>
        <v>4</v>
      </c>
    </row>
    <row r="561" spans="1:11" x14ac:dyDescent="0.3">
      <c r="A561" t="s">
        <v>610</v>
      </c>
      <c r="B561" t="str">
        <f>VLOOKUP(A561,'Remote work mental helath'!$A$2:$T$1001,12,)</f>
        <v>Depression</v>
      </c>
      <c r="C561" t="str">
        <f>VLOOKUP(A561,'Remote work mental helath'!$A$2:$T$1001,11,)</f>
        <v>Medium</v>
      </c>
      <c r="D561">
        <f>VLOOKUP('Mental Helath'!A561,'Remote work mental helath'!$A$2:$T$1001,10,)</f>
        <v>5</v>
      </c>
      <c r="E561" t="str">
        <f>VLOOKUP(A561,'Remote work mental helath'!A561:T1560,19,FALSE)</f>
        <v>Average</v>
      </c>
      <c r="F561" t="str">
        <f>VLOOKUP(A561,'Remote work mental helath'!$A$2:$T$1001,18,)</f>
        <v>Weekly</v>
      </c>
      <c r="G561">
        <f>VLOOKUP(A561,'Remote work mental helath'!$A$2:$T$1001,15,FALSE)</f>
        <v>2</v>
      </c>
      <c r="H561" t="str">
        <f>VLOOKUP(A561,'Remote work mental helath'!$A$2:$T$1001,14,)</f>
        <v>Decrease</v>
      </c>
      <c r="I561" t="str">
        <f>VLOOKUP(A561,'Remote work mental helath'!$A$2:$T$1001,16,)</f>
        <v>Neutral</v>
      </c>
      <c r="J561" t="str">
        <f>VLOOKUP(A561,'Remote work mental helath'!$A$2:$T$1001,13,)</f>
        <v>Yes</v>
      </c>
      <c r="K561">
        <f>VLOOKUP(A561,'Remote work mental helath'!$A$2:$T$1001,17,FALSE)</f>
        <v>1</v>
      </c>
    </row>
    <row r="562" spans="1:11" x14ac:dyDescent="0.3">
      <c r="A562" t="s">
        <v>611</v>
      </c>
      <c r="B562" t="str">
        <f>VLOOKUP(A562,'Remote work mental helath'!$A$2:$T$1001,12,)</f>
        <v>Anxiety</v>
      </c>
      <c r="C562" t="str">
        <f>VLOOKUP(A562,'Remote work mental helath'!$A$2:$T$1001,11,)</f>
        <v>High</v>
      </c>
      <c r="D562">
        <f>VLOOKUP('Mental Helath'!A562,'Remote work mental helath'!$A$2:$T$1001,10,)</f>
        <v>5</v>
      </c>
      <c r="E562" t="str">
        <f>VLOOKUP(A562,'Remote work mental helath'!A562:T1561,19,FALSE)</f>
        <v>Poor</v>
      </c>
      <c r="F562" t="str">
        <f>VLOOKUP(A562,'Remote work mental helath'!$A$2:$T$1001,18,)</f>
        <v>Daily</v>
      </c>
      <c r="G562">
        <f>VLOOKUP(A562,'Remote work mental helath'!$A$2:$T$1001,15,FALSE)</f>
        <v>3</v>
      </c>
      <c r="H562" t="str">
        <f>VLOOKUP(A562,'Remote work mental helath'!$A$2:$T$1001,14,)</f>
        <v>No Change</v>
      </c>
      <c r="I562" t="str">
        <f>VLOOKUP(A562,'Remote work mental helath'!$A$2:$T$1001,16,)</f>
        <v>Unsatisfied</v>
      </c>
      <c r="J562" t="str">
        <f>VLOOKUP(A562,'Remote work mental helath'!$A$2:$T$1001,13,)</f>
        <v>Yes</v>
      </c>
      <c r="K562">
        <f>VLOOKUP(A562,'Remote work mental helath'!$A$2:$T$1001,17,FALSE)</f>
        <v>4</v>
      </c>
    </row>
    <row r="563" spans="1:11" x14ac:dyDescent="0.3">
      <c r="A563" t="s">
        <v>612</v>
      </c>
      <c r="B563" t="str">
        <f>VLOOKUP(A563,'Remote work mental helath'!$A$2:$T$1001,12,)</f>
        <v>Anxiety</v>
      </c>
      <c r="C563" t="str">
        <f>VLOOKUP(A563,'Remote work mental helath'!$A$2:$T$1001,11,)</f>
        <v>Medium</v>
      </c>
      <c r="D563">
        <f>VLOOKUP('Mental Helath'!A563,'Remote work mental helath'!$A$2:$T$1001,10,)</f>
        <v>2</v>
      </c>
      <c r="E563" t="str">
        <f>VLOOKUP(A563,'Remote work mental helath'!A563:T1562,19,FALSE)</f>
        <v>Good</v>
      </c>
      <c r="F563" t="str">
        <f>VLOOKUP(A563,'Remote work mental helath'!$A$2:$T$1001,18,)</f>
        <v>Weekly</v>
      </c>
      <c r="G563">
        <f>VLOOKUP(A563,'Remote work mental helath'!$A$2:$T$1001,15,FALSE)</f>
        <v>2</v>
      </c>
      <c r="H563" t="str">
        <f>VLOOKUP(A563,'Remote work mental helath'!$A$2:$T$1001,14,)</f>
        <v>Decrease</v>
      </c>
      <c r="I563" t="str">
        <f>VLOOKUP(A563,'Remote work mental helath'!$A$2:$T$1001,16,)</f>
        <v>Satisfied</v>
      </c>
      <c r="J563" t="str">
        <f>VLOOKUP(A563,'Remote work mental helath'!$A$2:$T$1001,13,)</f>
        <v>Yes</v>
      </c>
      <c r="K563">
        <f>VLOOKUP(A563,'Remote work mental helath'!$A$2:$T$1001,17,FALSE)</f>
        <v>4</v>
      </c>
    </row>
    <row r="564" spans="1:11" x14ac:dyDescent="0.3">
      <c r="A564" t="s">
        <v>613</v>
      </c>
      <c r="B564" t="str">
        <f>VLOOKUP(A564,'Remote work mental helath'!$A$2:$T$1001,12,)</f>
        <v>Depression</v>
      </c>
      <c r="C564" t="str">
        <f>VLOOKUP(A564,'Remote work mental helath'!$A$2:$T$1001,11,)</f>
        <v>Low</v>
      </c>
      <c r="D564">
        <f>VLOOKUP('Mental Helath'!A564,'Remote work mental helath'!$A$2:$T$1001,10,)</f>
        <v>5</v>
      </c>
      <c r="E564" t="str">
        <f>VLOOKUP(A564,'Remote work mental helath'!A564:T1563,19,FALSE)</f>
        <v>Good</v>
      </c>
      <c r="F564" t="str">
        <f>VLOOKUP(A564,'Remote work mental helath'!$A$2:$T$1001,18,)</f>
        <v>Weekly</v>
      </c>
      <c r="G564">
        <f>VLOOKUP(A564,'Remote work mental helath'!$A$2:$T$1001,15,FALSE)</f>
        <v>5</v>
      </c>
      <c r="H564" t="str">
        <f>VLOOKUP(A564,'Remote work mental helath'!$A$2:$T$1001,14,)</f>
        <v>Increase</v>
      </c>
      <c r="I564" t="str">
        <f>VLOOKUP(A564,'Remote work mental helath'!$A$2:$T$1001,16,)</f>
        <v>Unsatisfied</v>
      </c>
      <c r="J564" t="str">
        <f>VLOOKUP(A564,'Remote work mental helath'!$A$2:$T$1001,13,)</f>
        <v>No</v>
      </c>
      <c r="K564">
        <f>VLOOKUP(A564,'Remote work mental helath'!$A$2:$T$1001,17,FALSE)</f>
        <v>5</v>
      </c>
    </row>
    <row r="565" spans="1:11" x14ac:dyDescent="0.3">
      <c r="A565" t="s">
        <v>614</v>
      </c>
      <c r="B565" t="str">
        <f>VLOOKUP(A565,'Remote work mental helath'!$A$2:$T$1001,12,)</f>
        <v>Anxiety</v>
      </c>
      <c r="C565" t="str">
        <f>VLOOKUP(A565,'Remote work mental helath'!$A$2:$T$1001,11,)</f>
        <v>High</v>
      </c>
      <c r="D565">
        <f>VLOOKUP('Mental Helath'!A565,'Remote work mental helath'!$A$2:$T$1001,10,)</f>
        <v>2</v>
      </c>
      <c r="E565" t="str">
        <f>VLOOKUP(A565,'Remote work mental helath'!A565:T1564,19,FALSE)</f>
        <v>Poor</v>
      </c>
      <c r="F565" t="str">
        <f>VLOOKUP(A565,'Remote work mental helath'!$A$2:$T$1001,18,)</f>
        <v>Weekly</v>
      </c>
      <c r="G565">
        <f>VLOOKUP(A565,'Remote work mental helath'!$A$2:$T$1001,15,FALSE)</f>
        <v>4</v>
      </c>
      <c r="H565" t="str">
        <f>VLOOKUP(A565,'Remote work mental helath'!$A$2:$T$1001,14,)</f>
        <v>Decrease</v>
      </c>
      <c r="I565" t="str">
        <f>VLOOKUP(A565,'Remote work mental helath'!$A$2:$T$1001,16,)</f>
        <v>Neutral</v>
      </c>
      <c r="J565" t="str">
        <f>VLOOKUP(A565,'Remote work mental helath'!$A$2:$T$1001,13,)</f>
        <v>Yes</v>
      </c>
      <c r="K565">
        <f>VLOOKUP(A565,'Remote work mental helath'!$A$2:$T$1001,17,FALSE)</f>
        <v>1</v>
      </c>
    </row>
    <row r="566" spans="1:11" x14ac:dyDescent="0.3">
      <c r="A566" t="s">
        <v>615</v>
      </c>
      <c r="B566" t="str">
        <f>VLOOKUP(A566,'Remote work mental helath'!$A$2:$T$1001,12,)</f>
        <v>Anxiety</v>
      </c>
      <c r="C566" t="str">
        <f>VLOOKUP(A566,'Remote work mental helath'!$A$2:$T$1001,11,)</f>
        <v>Low</v>
      </c>
      <c r="D566">
        <f>VLOOKUP('Mental Helath'!A566,'Remote work mental helath'!$A$2:$T$1001,10,)</f>
        <v>4</v>
      </c>
      <c r="E566" t="str">
        <f>VLOOKUP(A566,'Remote work mental helath'!A566:T1565,19,FALSE)</f>
        <v>Poor</v>
      </c>
      <c r="F566" t="str">
        <f>VLOOKUP(A566,'Remote work mental helath'!$A$2:$T$1001,18,)</f>
        <v>None</v>
      </c>
      <c r="G566">
        <f>VLOOKUP(A566,'Remote work mental helath'!$A$2:$T$1001,15,FALSE)</f>
        <v>4</v>
      </c>
      <c r="H566" t="str">
        <f>VLOOKUP(A566,'Remote work mental helath'!$A$2:$T$1001,14,)</f>
        <v>No Change</v>
      </c>
      <c r="I566" t="str">
        <f>VLOOKUP(A566,'Remote work mental helath'!$A$2:$T$1001,16,)</f>
        <v>Satisfied</v>
      </c>
      <c r="J566" t="str">
        <f>VLOOKUP(A566,'Remote work mental helath'!$A$2:$T$1001,13,)</f>
        <v>No</v>
      </c>
      <c r="K566">
        <f>VLOOKUP(A566,'Remote work mental helath'!$A$2:$T$1001,17,FALSE)</f>
        <v>1</v>
      </c>
    </row>
    <row r="567" spans="1:11" x14ac:dyDescent="0.3">
      <c r="A567" t="s">
        <v>616</v>
      </c>
      <c r="B567" t="str">
        <f>VLOOKUP(A567,'Remote work mental helath'!$A$2:$T$1001,12,)</f>
        <v>Depression</v>
      </c>
      <c r="C567" t="str">
        <f>VLOOKUP(A567,'Remote work mental helath'!$A$2:$T$1001,11,)</f>
        <v>High</v>
      </c>
      <c r="D567">
        <f>VLOOKUP('Mental Helath'!A567,'Remote work mental helath'!$A$2:$T$1001,10,)</f>
        <v>2</v>
      </c>
      <c r="E567" t="str">
        <f>VLOOKUP(A567,'Remote work mental helath'!A567:T1566,19,FALSE)</f>
        <v>Good</v>
      </c>
      <c r="F567" t="str">
        <f>VLOOKUP(A567,'Remote work mental helath'!$A$2:$T$1001,18,)</f>
        <v>Daily</v>
      </c>
      <c r="G567">
        <f>VLOOKUP(A567,'Remote work mental helath'!$A$2:$T$1001,15,FALSE)</f>
        <v>4</v>
      </c>
      <c r="H567" t="str">
        <f>VLOOKUP(A567,'Remote work mental helath'!$A$2:$T$1001,14,)</f>
        <v>Decrease</v>
      </c>
      <c r="I567" t="str">
        <f>VLOOKUP(A567,'Remote work mental helath'!$A$2:$T$1001,16,)</f>
        <v>Satisfied</v>
      </c>
      <c r="J567" t="str">
        <f>VLOOKUP(A567,'Remote work mental helath'!$A$2:$T$1001,13,)</f>
        <v>No</v>
      </c>
      <c r="K567">
        <f>VLOOKUP(A567,'Remote work mental helath'!$A$2:$T$1001,17,FALSE)</f>
        <v>5</v>
      </c>
    </row>
    <row r="568" spans="1:11" x14ac:dyDescent="0.3">
      <c r="A568" t="s">
        <v>617</v>
      </c>
      <c r="B568" t="str">
        <f>VLOOKUP(A568,'Remote work mental helath'!$A$2:$T$1001,12,)</f>
        <v>Depression</v>
      </c>
      <c r="C568" t="str">
        <f>VLOOKUP(A568,'Remote work mental helath'!$A$2:$T$1001,11,)</f>
        <v>Medium</v>
      </c>
      <c r="D568">
        <f>VLOOKUP('Mental Helath'!A568,'Remote work mental helath'!$A$2:$T$1001,10,)</f>
        <v>1</v>
      </c>
      <c r="E568" t="str">
        <f>VLOOKUP(A568,'Remote work mental helath'!A568:T1567,19,FALSE)</f>
        <v>Poor</v>
      </c>
      <c r="F568" t="str">
        <f>VLOOKUP(A568,'Remote work mental helath'!$A$2:$T$1001,18,)</f>
        <v>None</v>
      </c>
      <c r="G568">
        <f>VLOOKUP(A568,'Remote work mental helath'!$A$2:$T$1001,15,FALSE)</f>
        <v>4</v>
      </c>
      <c r="H568" t="str">
        <f>VLOOKUP(A568,'Remote work mental helath'!$A$2:$T$1001,14,)</f>
        <v>No Change</v>
      </c>
      <c r="I568" t="str">
        <f>VLOOKUP(A568,'Remote work mental helath'!$A$2:$T$1001,16,)</f>
        <v>Satisfied</v>
      </c>
      <c r="J568" t="str">
        <f>VLOOKUP(A568,'Remote work mental helath'!$A$2:$T$1001,13,)</f>
        <v>Yes</v>
      </c>
      <c r="K568">
        <f>VLOOKUP(A568,'Remote work mental helath'!$A$2:$T$1001,17,FALSE)</f>
        <v>1</v>
      </c>
    </row>
    <row r="569" spans="1:11" x14ac:dyDescent="0.3">
      <c r="A569" t="s">
        <v>618</v>
      </c>
      <c r="B569" t="str">
        <f>VLOOKUP(A569,'Remote work mental helath'!$A$2:$T$1001,12,)</f>
        <v>Burnout</v>
      </c>
      <c r="C569" t="str">
        <f>VLOOKUP(A569,'Remote work mental helath'!$A$2:$T$1001,11,)</f>
        <v>High</v>
      </c>
      <c r="D569">
        <f>VLOOKUP('Mental Helath'!A569,'Remote work mental helath'!$A$2:$T$1001,10,)</f>
        <v>5</v>
      </c>
      <c r="E569" t="str">
        <f>VLOOKUP(A569,'Remote work mental helath'!A569:T1568,19,FALSE)</f>
        <v>Average</v>
      </c>
      <c r="F569" t="str">
        <f>VLOOKUP(A569,'Remote work mental helath'!$A$2:$T$1001,18,)</f>
        <v>None</v>
      </c>
      <c r="G569">
        <f>VLOOKUP(A569,'Remote work mental helath'!$A$2:$T$1001,15,FALSE)</f>
        <v>2</v>
      </c>
      <c r="H569" t="str">
        <f>VLOOKUP(A569,'Remote work mental helath'!$A$2:$T$1001,14,)</f>
        <v>Decrease</v>
      </c>
      <c r="I569" t="str">
        <f>VLOOKUP(A569,'Remote work mental helath'!$A$2:$T$1001,16,)</f>
        <v>Satisfied</v>
      </c>
      <c r="J569" t="str">
        <f>VLOOKUP(A569,'Remote work mental helath'!$A$2:$T$1001,13,)</f>
        <v>Yes</v>
      </c>
      <c r="K569">
        <f>VLOOKUP(A569,'Remote work mental helath'!$A$2:$T$1001,17,FALSE)</f>
        <v>4</v>
      </c>
    </row>
    <row r="570" spans="1:11" x14ac:dyDescent="0.3">
      <c r="A570" t="s">
        <v>619</v>
      </c>
      <c r="B570" t="str">
        <f>VLOOKUP(A570,'Remote work mental helath'!$A$2:$T$1001,12,)</f>
        <v>Depression</v>
      </c>
      <c r="C570" t="str">
        <f>VLOOKUP(A570,'Remote work mental helath'!$A$2:$T$1001,11,)</f>
        <v>High</v>
      </c>
      <c r="D570">
        <f>VLOOKUP('Mental Helath'!A570,'Remote work mental helath'!$A$2:$T$1001,10,)</f>
        <v>5</v>
      </c>
      <c r="E570" t="str">
        <f>VLOOKUP(A570,'Remote work mental helath'!A570:T1569,19,FALSE)</f>
        <v>Good</v>
      </c>
      <c r="F570" t="str">
        <f>VLOOKUP(A570,'Remote work mental helath'!$A$2:$T$1001,18,)</f>
        <v>None</v>
      </c>
      <c r="G570">
        <f>VLOOKUP(A570,'Remote work mental helath'!$A$2:$T$1001,15,FALSE)</f>
        <v>4</v>
      </c>
      <c r="H570" t="str">
        <f>VLOOKUP(A570,'Remote work mental helath'!$A$2:$T$1001,14,)</f>
        <v>Increase</v>
      </c>
      <c r="I570" t="str">
        <f>VLOOKUP(A570,'Remote work mental helath'!$A$2:$T$1001,16,)</f>
        <v>Neutral</v>
      </c>
      <c r="J570" t="str">
        <f>VLOOKUP(A570,'Remote work mental helath'!$A$2:$T$1001,13,)</f>
        <v>Yes</v>
      </c>
      <c r="K570">
        <f>VLOOKUP(A570,'Remote work mental helath'!$A$2:$T$1001,17,FALSE)</f>
        <v>4</v>
      </c>
    </row>
    <row r="571" spans="1:11" x14ac:dyDescent="0.3">
      <c r="A571" t="s">
        <v>620</v>
      </c>
      <c r="B571" t="str">
        <f>VLOOKUP(A571,'Remote work mental helath'!$A$2:$T$1001,12,)</f>
        <v>Anxiety</v>
      </c>
      <c r="C571" t="str">
        <f>VLOOKUP(A571,'Remote work mental helath'!$A$2:$T$1001,11,)</f>
        <v>High</v>
      </c>
      <c r="D571">
        <f>VLOOKUP('Mental Helath'!A571,'Remote work mental helath'!$A$2:$T$1001,10,)</f>
        <v>1</v>
      </c>
      <c r="E571" t="str">
        <f>VLOOKUP(A571,'Remote work mental helath'!A571:T1570,19,FALSE)</f>
        <v>Good</v>
      </c>
      <c r="F571" t="str">
        <f>VLOOKUP(A571,'Remote work mental helath'!$A$2:$T$1001,18,)</f>
        <v>Daily</v>
      </c>
      <c r="G571">
        <f>VLOOKUP(A571,'Remote work mental helath'!$A$2:$T$1001,15,FALSE)</f>
        <v>2</v>
      </c>
      <c r="H571" t="str">
        <f>VLOOKUP(A571,'Remote work mental helath'!$A$2:$T$1001,14,)</f>
        <v>Increase</v>
      </c>
      <c r="I571" t="str">
        <f>VLOOKUP(A571,'Remote work mental helath'!$A$2:$T$1001,16,)</f>
        <v>Unsatisfied</v>
      </c>
      <c r="J571" t="str">
        <f>VLOOKUP(A571,'Remote work mental helath'!$A$2:$T$1001,13,)</f>
        <v>Yes</v>
      </c>
      <c r="K571">
        <f>VLOOKUP(A571,'Remote work mental helath'!$A$2:$T$1001,17,FALSE)</f>
        <v>2</v>
      </c>
    </row>
    <row r="572" spans="1:11" x14ac:dyDescent="0.3">
      <c r="A572" t="s">
        <v>621</v>
      </c>
      <c r="B572" t="str">
        <f>VLOOKUP(A572,'Remote work mental helath'!$A$2:$T$1001,12,)</f>
        <v>Anxiety</v>
      </c>
      <c r="C572" t="str">
        <f>VLOOKUP(A572,'Remote work mental helath'!$A$2:$T$1001,11,)</f>
        <v>High</v>
      </c>
      <c r="D572">
        <f>VLOOKUP('Mental Helath'!A572,'Remote work mental helath'!$A$2:$T$1001,10,)</f>
        <v>2</v>
      </c>
      <c r="E572" t="str">
        <f>VLOOKUP(A572,'Remote work mental helath'!A572:T1571,19,FALSE)</f>
        <v>Average</v>
      </c>
      <c r="F572" t="str">
        <f>VLOOKUP(A572,'Remote work mental helath'!$A$2:$T$1001,18,)</f>
        <v>Weekly</v>
      </c>
      <c r="G572">
        <f>VLOOKUP(A572,'Remote work mental helath'!$A$2:$T$1001,15,FALSE)</f>
        <v>2</v>
      </c>
      <c r="H572" t="str">
        <f>VLOOKUP(A572,'Remote work mental helath'!$A$2:$T$1001,14,)</f>
        <v>No Change</v>
      </c>
      <c r="I572" t="str">
        <f>VLOOKUP(A572,'Remote work mental helath'!$A$2:$T$1001,16,)</f>
        <v>Satisfied</v>
      </c>
      <c r="J572" t="str">
        <f>VLOOKUP(A572,'Remote work mental helath'!$A$2:$T$1001,13,)</f>
        <v>Yes</v>
      </c>
      <c r="K572">
        <f>VLOOKUP(A572,'Remote work mental helath'!$A$2:$T$1001,17,FALSE)</f>
        <v>2</v>
      </c>
    </row>
    <row r="573" spans="1:11" x14ac:dyDescent="0.3">
      <c r="A573" t="s">
        <v>622</v>
      </c>
      <c r="B573" t="str">
        <f>VLOOKUP(A573,'Remote work mental helath'!$A$2:$T$1001,12,)</f>
        <v>Anxiety</v>
      </c>
      <c r="C573" t="str">
        <f>VLOOKUP(A573,'Remote work mental helath'!$A$2:$T$1001,11,)</f>
        <v>Medium</v>
      </c>
      <c r="D573">
        <f>VLOOKUP('Mental Helath'!A573,'Remote work mental helath'!$A$2:$T$1001,10,)</f>
        <v>3</v>
      </c>
      <c r="E573" t="str">
        <f>VLOOKUP(A573,'Remote work mental helath'!A573:T1572,19,FALSE)</f>
        <v>Good</v>
      </c>
      <c r="F573" t="str">
        <f>VLOOKUP(A573,'Remote work mental helath'!$A$2:$T$1001,18,)</f>
        <v>Daily</v>
      </c>
      <c r="G573">
        <f>VLOOKUP(A573,'Remote work mental helath'!$A$2:$T$1001,15,FALSE)</f>
        <v>2</v>
      </c>
      <c r="H573" t="str">
        <f>VLOOKUP(A573,'Remote work mental helath'!$A$2:$T$1001,14,)</f>
        <v>Decrease</v>
      </c>
      <c r="I573" t="str">
        <f>VLOOKUP(A573,'Remote work mental helath'!$A$2:$T$1001,16,)</f>
        <v>Satisfied</v>
      </c>
      <c r="J573" t="str">
        <f>VLOOKUP(A573,'Remote work mental helath'!$A$2:$T$1001,13,)</f>
        <v>No</v>
      </c>
      <c r="K573">
        <f>VLOOKUP(A573,'Remote work mental helath'!$A$2:$T$1001,17,FALSE)</f>
        <v>3</v>
      </c>
    </row>
    <row r="574" spans="1:11" x14ac:dyDescent="0.3">
      <c r="A574" t="s">
        <v>623</v>
      </c>
      <c r="B574" t="str">
        <f>VLOOKUP(A574,'Remote work mental helath'!$A$2:$T$1001,12,)</f>
        <v>Anxiety</v>
      </c>
      <c r="C574" t="str">
        <f>VLOOKUP(A574,'Remote work mental helath'!$A$2:$T$1001,11,)</f>
        <v>Medium</v>
      </c>
      <c r="D574">
        <f>VLOOKUP('Mental Helath'!A574,'Remote work mental helath'!$A$2:$T$1001,10,)</f>
        <v>1</v>
      </c>
      <c r="E574" t="str">
        <f>VLOOKUP(A574,'Remote work mental helath'!A574:T1573,19,FALSE)</f>
        <v>Good</v>
      </c>
      <c r="F574" t="str">
        <f>VLOOKUP(A574,'Remote work mental helath'!$A$2:$T$1001,18,)</f>
        <v>None</v>
      </c>
      <c r="G574">
        <f>VLOOKUP(A574,'Remote work mental helath'!$A$2:$T$1001,15,FALSE)</f>
        <v>2</v>
      </c>
      <c r="H574" t="str">
        <f>VLOOKUP(A574,'Remote work mental helath'!$A$2:$T$1001,14,)</f>
        <v>Decrease</v>
      </c>
      <c r="I574" t="str">
        <f>VLOOKUP(A574,'Remote work mental helath'!$A$2:$T$1001,16,)</f>
        <v>Unsatisfied</v>
      </c>
      <c r="J574" t="str">
        <f>VLOOKUP(A574,'Remote work mental helath'!$A$2:$T$1001,13,)</f>
        <v>Yes</v>
      </c>
      <c r="K574">
        <f>VLOOKUP(A574,'Remote work mental helath'!$A$2:$T$1001,17,FALSE)</f>
        <v>4</v>
      </c>
    </row>
    <row r="575" spans="1:11" x14ac:dyDescent="0.3">
      <c r="A575" t="s">
        <v>624</v>
      </c>
      <c r="B575" t="str">
        <f>VLOOKUP(A575,'Remote work mental helath'!$A$2:$T$1001,12,)</f>
        <v>Burnout</v>
      </c>
      <c r="C575" t="str">
        <f>VLOOKUP(A575,'Remote work mental helath'!$A$2:$T$1001,11,)</f>
        <v>Medium</v>
      </c>
      <c r="D575">
        <f>VLOOKUP('Mental Helath'!A575,'Remote work mental helath'!$A$2:$T$1001,10,)</f>
        <v>2</v>
      </c>
      <c r="E575" t="str">
        <f>VLOOKUP(A575,'Remote work mental helath'!A575:T1574,19,FALSE)</f>
        <v>Poor</v>
      </c>
      <c r="F575" t="str">
        <f>VLOOKUP(A575,'Remote work mental helath'!$A$2:$T$1001,18,)</f>
        <v>None</v>
      </c>
      <c r="G575">
        <f>VLOOKUP(A575,'Remote work mental helath'!$A$2:$T$1001,15,FALSE)</f>
        <v>4</v>
      </c>
      <c r="H575" t="str">
        <f>VLOOKUP(A575,'Remote work mental helath'!$A$2:$T$1001,14,)</f>
        <v>Decrease</v>
      </c>
      <c r="I575" t="str">
        <f>VLOOKUP(A575,'Remote work mental helath'!$A$2:$T$1001,16,)</f>
        <v>Neutral</v>
      </c>
      <c r="J575" t="str">
        <f>VLOOKUP(A575,'Remote work mental helath'!$A$2:$T$1001,13,)</f>
        <v>No</v>
      </c>
      <c r="K575">
        <f>VLOOKUP(A575,'Remote work mental helath'!$A$2:$T$1001,17,FALSE)</f>
        <v>1</v>
      </c>
    </row>
    <row r="576" spans="1:11" x14ac:dyDescent="0.3">
      <c r="A576" t="s">
        <v>625</v>
      </c>
      <c r="B576" t="str">
        <f>VLOOKUP(A576,'Remote work mental helath'!$A$2:$T$1001,12,)</f>
        <v>Anxiety</v>
      </c>
      <c r="C576" t="str">
        <f>VLOOKUP(A576,'Remote work mental helath'!$A$2:$T$1001,11,)</f>
        <v>Medium</v>
      </c>
      <c r="D576">
        <f>VLOOKUP('Mental Helath'!A576,'Remote work mental helath'!$A$2:$T$1001,10,)</f>
        <v>4</v>
      </c>
      <c r="E576" t="str">
        <f>VLOOKUP(A576,'Remote work mental helath'!A576:T1575,19,FALSE)</f>
        <v>Good</v>
      </c>
      <c r="F576" t="str">
        <f>VLOOKUP(A576,'Remote work mental helath'!$A$2:$T$1001,18,)</f>
        <v>None</v>
      </c>
      <c r="G576">
        <f>VLOOKUP(A576,'Remote work mental helath'!$A$2:$T$1001,15,FALSE)</f>
        <v>4</v>
      </c>
      <c r="H576" t="str">
        <f>VLOOKUP(A576,'Remote work mental helath'!$A$2:$T$1001,14,)</f>
        <v>Increase</v>
      </c>
      <c r="I576" t="str">
        <f>VLOOKUP(A576,'Remote work mental helath'!$A$2:$T$1001,16,)</f>
        <v>Satisfied</v>
      </c>
      <c r="J576" t="str">
        <f>VLOOKUP(A576,'Remote work mental helath'!$A$2:$T$1001,13,)</f>
        <v>Yes</v>
      </c>
      <c r="K576">
        <f>VLOOKUP(A576,'Remote work mental helath'!$A$2:$T$1001,17,FALSE)</f>
        <v>3</v>
      </c>
    </row>
    <row r="577" spans="1:11" x14ac:dyDescent="0.3">
      <c r="A577" t="s">
        <v>626</v>
      </c>
      <c r="B577" t="str">
        <f>VLOOKUP(A577,'Remote work mental helath'!$A$2:$T$1001,12,)</f>
        <v>Anxiety</v>
      </c>
      <c r="C577" t="str">
        <f>VLOOKUP(A577,'Remote work mental helath'!$A$2:$T$1001,11,)</f>
        <v>Medium</v>
      </c>
      <c r="D577">
        <f>VLOOKUP('Mental Helath'!A577,'Remote work mental helath'!$A$2:$T$1001,10,)</f>
        <v>2</v>
      </c>
      <c r="E577" t="str">
        <f>VLOOKUP(A577,'Remote work mental helath'!A577:T1576,19,FALSE)</f>
        <v>Average</v>
      </c>
      <c r="F577" t="str">
        <f>VLOOKUP(A577,'Remote work mental helath'!$A$2:$T$1001,18,)</f>
        <v>None</v>
      </c>
      <c r="G577">
        <f>VLOOKUP(A577,'Remote work mental helath'!$A$2:$T$1001,15,FALSE)</f>
        <v>4</v>
      </c>
      <c r="H577" t="str">
        <f>VLOOKUP(A577,'Remote work mental helath'!$A$2:$T$1001,14,)</f>
        <v>Decrease</v>
      </c>
      <c r="I577" t="str">
        <f>VLOOKUP(A577,'Remote work mental helath'!$A$2:$T$1001,16,)</f>
        <v>Satisfied</v>
      </c>
      <c r="J577" t="str">
        <f>VLOOKUP(A577,'Remote work mental helath'!$A$2:$T$1001,13,)</f>
        <v>Yes</v>
      </c>
      <c r="K577">
        <f>VLOOKUP(A577,'Remote work mental helath'!$A$2:$T$1001,17,FALSE)</f>
        <v>4</v>
      </c>
    </row>
    <row r="578" spans="1:11" x14ac:dyDescent="0.3">
      <c r="A578" t="s">
        <v>627</v>
      </c>
      <c r="B578" t="str">
        <f>VLOOKUP(A578,'Remote work mental helath'!$A$2:$T$1001,12,)</f>
        <v>None</v>
      </c>
      <c r="C578" t="str">
        <f>VLOOKUP(A578,'Remote work mental helath'!$A$2:$T$1001,11,)</f>
        <v>High</v>
      </c>
      <c r="D578">
        <f>VLOOKUP('Mental Helath'!A578,'Remote work mental helath'!$A$2:$T$1001,10,)</f>
        <v>3</v>
      </c>
      <c r="E578" t="str">
        <f>VLOOKUP(A578,'Remote work mental helath'!A578:T1577,19,FALSE)</f>
        <v>Good</v>
      </c>
      <c r="F578" t="str">
        <f>VLOOKUP(A578,'Remote work mental helath'!$A$2:$T$1001,18,)</f>
        <v>None</v>
      </c>
      <c r="G578">
        <f>VLOOKUP(A578,'Remote work mental helath'!$A$2:$T$1001,15,FALSE)</f>
        <v>1</v>
      </c>
      <c r="H578" t="str">
        <f>VLOOKUP(A578,'Remote work mental helath'!$A$2:$T$1001,14,)</f>
        <v>Increase</v>
      </c>
      <c r="I578" t="str">
        <f>VLOOKUP(A578,'Remote work mental helath'!$A$2:$T$1001,16,)</f>
        <v>Unsatisfied</v>
      </c>
      <c r="J578" t="str">
        <f>VLOOKUP(A578,'Remote work mental helath'!$A$2:$T$1001,13,)</f>
        <v>Yes</v>
      </c>
      <c r="K578">
        <f>VLOOKUP(A578,'Remote work mental helath'!$A$2:$T$1001,17,FALSE)</f>
        <v>5</v>
      </c>
    </row>
    <row r="579" spans="1:11" x14ac:dyDescent="0.3">
      <c r="A579" t="s">
        <v>628</v>
      </c>
      <c r="B579" t="str">
        <f>VLOOKUP(A579,'Remote work mental helath'!$A$2:$T$1001,12,)</f>
        <v>Anxiety</v>
      </c>
      <c r="C579" t="str">
        <f>VLOOKUP(A579,'Remote work mental helath'!$A$2:$T$1001,11,)</f>
        <v>High</v>
      </c>
      <c r="D579">
        <f>VLOOKUP('Mental Helath'!A579,'Remote work mental helath'!$A$2:$T$1001,10,)</f>
        <v>4</v>
      </c>
      <c r="E579" t="str">
        <f>VLOOKUP(A579,'Remote work mental helath'!A579:T1578,19,FALSE)</f>
        <v>Average</v>
      </c>
      <c r="F579" t="str">
        <f>VLOOKUP(A579,'Remote work mental helath'!$A$2:$T$1001,18,)</f>
        <v>Weekly</v>
      </c>
      <c r="G579">
        <f>VLOOKUP(A579,'Remote work mental helath'!$A$2:$T$1001,15,FALSE)</f>
        <v>2</v>
      </c>
      <c r="H579" t="str">
        <f>VLOOKUP(A579,'Remote work mental helath'!$A$2:$T$1001,14,)</f>
        <v>Increase</v>
      </c>
      <c r="I579" t="str">
        <f>VLOOKUP(A579,'Remote work mental helath'!$A$2:$T$1001,16,)</f>
        <v>Satisfied</v>
      </c>
      <c r="J579" t="str">
        <f>VLOOKUP(A579,'Remote work mental helath'!$A$2:$T$1001,13,)</f>
        <v>No</v>
      </c>
      <c r="K579">
        <f>VLOOKUP(A579,'Remote work mental helath'!$A$2:$T$1001,17,FALSE)</f>
        <v>4</v>
      </c>
    </row>
    <row r="580" spans="1:11" x14ac:dyDescent="0.3">
      <c r="A580" t="s">
        <v>629</v>
      </c>
      <c r="B580" t="str">
        <f>VLOOKUP(A580,'Remote work mental helath'!$A$2:$T$1001,12,)</f>
        <v>Anxiety</v>
      </c>
      <c r="C580" t="str">
        <f>VLOOKUP(A580,'Remote work mental helath'!$A$2:$T$1001,11,)</f>
        <v>Low</v>
      </c>
      <c r="D580">
        <f>VLOOKUP('Mental Helath'!A580,'Remote work mental helath'!$A$2:$T$1001,10,)</f>
        <v>3</v>
      </c>
      <c r="E580" t="str">
        <f>VLOOKUP(A580,'Remote work mental helath'!A580:T1579,19,FALSE)</f>
        <v>Poor</v>
      </c>
      <c r="F580" t="str">
        <f>VLOOKUP(A580,'Remote work mental helath'!$A$2:$T$1001,18,)</f>
        <v>None</v>
      </c>
      <c r="G580">
        <f>VLOOKUP(A580,'Remote work mental helath'!$A$2:$T$1001,15,FALSE)</f>
        <v>4</v>
      </c>
      <c r="H580" t="str">
        <f>VLOOKUP(A580,'Remote work mental helath'!$A$2:$T$1001,14,)</f>
        <v>Increase</v>
      </c>
      <c r="I580" t="str">
        <f>VLOOKUP(A580,'Remote work mental helath'!$A$2:$T$1001,16,)</f>
        <v>Unsatisfied</v>
      </c>
      <c r="J580" t="str">
        <f>VLOOKUP(A580,'Remote work mental helath'!$A$2:$T$1001,13,)</f>
        <v>No</v>
      </c>
      <c r="K580">
        <f>VLOOKUP(A580,'Remote work mental helath'!$A$2:$T$1001,17,FALSE)</f>
        <v>1</v>
      </c>
    </row>
    <row r="581" spans="1:11" x14ac:dyDescent="0.3">
      <c r="A581" t="s">
        <v>630</v>
      </c>
      <c r="B581" t="str">
        <f>VLOOKUP(A581,'Remote work mental helath'!$A$2:$T$1001,12,)</f>
        <v>Anxiety</v>
      </c>
      <c r="C581" t="str">
        <f>VLOOKUP(A581,'Remote work mental helath'!$A$2:$T$1001,11,)</f>
        <v>Low</v>
      </c>
      <c r="D581">
        <f>VLOOKUP('Mental Helath'!A581,'Remote work mental helath'!$A$2:$T$1001,10,)</f>
        <v>4</v>
      </c>
      <c r="E581" t="str">
        <f>VLOOKUP(A581,'Remote work mental helath'!A581:T1580,19,FALSE)</f>
        <v>Poor</v>
      </c>
      <c r="F581" t="str">
        <f>VLOOKUP(A581,'Remote work mental helath'!$A$2:$T$1001,18,)</f>
        <v>Weekly</v>
      </c>
      <c r="G581">
        <f>VLOOKUP(A581,'Remote work mental helath'!$A$2:$T$1001,15,FALSE)</f>
        <v>4</v>
      </c>
      <c r="H581" t="str">
        <f>VLOOKUP(A581,'Remote work mental helath'!$A$2:$T$1001,14,)</f>
        <v>Decrease</v>
      </c>
      <c r="I581" t="str">
        <f>VLOOKUP(A581,'Remote work mental helath'!$A$2:$T$1001,16,)</f>
        <v>Neutral</v>
      </c>
      <c r="J581" t="str">
        <f>VLOOKUP(A581,'Remote work mental helath'!$A$2:$T$1001,13,)</f>
        <v>No</v>
      </c>
      <c r="K581">
        <f>VLOOKUP(A581,'Remote work mental helath'!$A$2:$T$1001,17,FALSE)</f>
        <v>4</v>
      </c>
    </row>
    <row r="582" spans="1:11" x14ac:dyDescent="0.3">
      <c r="A582" t="s">
        <v>631</v>
      </c>
      <c r="B582" t="str">
        <f>VLOOKUP(A582,'Remote work mental helath'!$A$2:$T$1001,12,)</f>
        <v>Anxiety</v>
      </c>
      <c r="C582" t="str">
        <f>VLOOKUP(A582,'Remote work mental helath'!$A$2:$T$1001,11,)</f>
        <v>High</v>
      </c>
      <c r="D582">
        <f>VLOOKUP('Mental Helath'!A582,'Remote work mental helath'!$A$2:$T$1001,10,)</f>
        <v>5</v>
      </c>
      <c r="E582" t="str">
        <f>VLOOKUP(A582,'Remote work mental helath'!A582:T1581,19,FALSE)</f>
        <v>Average</v>
      </c>
      <c r="F582" t="str">
        <f>VLOOKUP(A582,'Remote work mental helath'!$A$2:$T$1001,18,)</f>
        <v>Daily</v>
      </c>
      <c r="G582">
        <f>VLOOKUP(A582,'Remote work mental helath'!$A$2:$T$1001,15,FALSE)</f>
        <v>5</v>
      </c>
      <c r="H582" t="str">
        <f>VLOOKUP(A582,'Remote work mental helath'!$A$2:$T$1001,14,)</f>
        <v>No Change</v>
      </c>
      <c r="I582" t="str">
        <f>VLOOKUP(A582,'Remote work mental helath'!$A$2:$T$1001,16,)</f>
        <v>Satisfied</v>
      </c>
      <c r="J582" t="str">
        <f>VLOOKUP(A582,'Remote work mental helath'!$A$2:$T$1001,13,)</f>
        <v>Yes</v>
      </c>
      <c r="K582">
        <f>VLOOKUP(A582,'Remote work mental helath'!$A$2:$T$1001,17,FALSE)</f>
        <v>5</v>
      </c>
    </row>
    <row r="583" spans="1:11" x14ac:dyDescent="0.3">
      <c r="A583" t="s">
        <v>632</v>
      </c>
      <c r="B583" t="str">
        <f>VLOOKUP(A583,'Remote work mental helath'!$A$2:$T$1001,12,)</f>
        <v>Burnout</v>
      </c>
      <c r="C583" t="str">
        <f>VLOOKUP(A583,'Remote work mental helath'!$A$2:$T$1001,11,)</f>
        <v>Medium</v>
      </c>
      <c r="D583">
        <f>VLOOKUP('Mental Helath'!A583,'Remote work mental helath'!$A$2:$T$1001,10,)</f>
        <v>5</v>
      </c>
      <c r="E583" t="str">
        <f>VLOOKUP(A583,'Remote work mental helath'!A583:T1582,19,FALSE)</f>
        <v>Average</v>
      </c>
      <c r="F583" t="str">
        <f>VLOOKUP(A583,'Remote work mental helath'!$A$2:$T$1001,18,)</f>
        <v>Daily</v>
      </c>
      <c r="G583">
        <f>VLOOKUP(A583,'Remote work mental helath'!$A$2:$T$1001,15,FALSE)</f>
        <v>4</v>
      </c>
      <c r="H583" t="str">
        <f>VLOOKUP(A583,'Remote work mental helath'!$A$2:$T$1001,14,)</f>
        <v>Decrease</v>
      </c>
      <c r="I583" t="str">
        <f>VLOOKUP(A583,'Remote work mental helath'!$A$2:$T$1001,16,)</f>
        <v>Unsatisfied</v>
      </c>
      <c r="J583" t="str">
        <f>VLOOKUP(A583,'Remote work mental helath'!$A$2:$T$1001,13,)</f>
        <v>Yes</v>
      </c>
      <c r="K583">
        <f>VLOOKUP(A583,'Remote work mental helath'!$A$2:$T$1001,17,FALSE)</f>
        <v>3</v>
      </c>
    </row>
    <row r="584" spans="1:11" x14ac:dyDescent="0.3">
      <c r="A584" t="s">
        <v>633</v>
      </c>
      <c r="B584" t="str">
        <f>VLOOKUP(A584,'Remote work mental helath'!$A$2:$T$1001,12,)</f>
        <v>Anxiety</v>
      </c>
      <c r="C584" t="str">
        <f>VLOOKUP(A584,'Remote work mental helath'!$A$2:$T$1001,11,)</f>
        <v>Medium</v>
      </c>
      <c r="D584">
        <f>VLOOKUP('Mental Helath'!A584,'Remote work mental helath'!$A$2:$T$1001,10,)</f>
        <v>1</v>
      </c>
      <c r="E584" t="str">
        <f>VLOOKUP(A584,'Remote work mental helath'!A584:T1583,19,FALSE)</f>
        <v>Average</v>
      </c>
      <c r="F584" t="str">
        <f>VLOOKUP(A584,'Remote work mental helath'!$A$2:$T$1001,18,)</f>
        <v>Weekly</v>
      </c>
      <c r="G584">
        <f>VLOOKUP(A584,'Remote work mental helath'!$A$2:$T$1001,15,FALSE)</f>
        <v>2</v>
      </c>
      <c r="H584" t="str">
        <f>VLOOKUP(A584,'Remote work mental helath'!$A$2:$T$1001,14,)</f>
        <v>Decrease</v>
      </c>
      <c r="I584" t="str">
        <f>VLOOKUP(A584,'Remote work mental helath'!$A$2:$T$1001,16,)</f>
        <v>Unsatisfied</v>
      </c>
      <c r="J584" t="str">
        <f>VLOOKUP(A584,'Remote work mental helath'!$A$2:$T$1001,13,)</f>
        <v>Yes</v>
      </c>
      <c r="K584">
        <f>VLOOKUP(A584,'Remote work mental helath'!$A$2:$T$1001,17,FALSE)</f>
        <v>4</v>
      </c>
    </row>
    <row r="585" spans="1:11" x14ac:dyDescent="0.3">
      <c r="A585" t="s">
        <v>634</v>
      </c>
      <c r="B585" t="str">
        <f>VLOOKUP(A585,'Remote work mental helath'!$A$2:$T$1001,12,)</f>
        <v>Depression</v>
      </c>
      <c r="C585" t="str">
        <f>VLOOKUP(A585,'Remote work mental helath'!$A$2:$T$1001,11,)</f>
        <v>Medium</v>
      </c>
      <c r="D585">
        <f>VLOOKUP('Mental Helath'!A585,'Remote work mental helath'!$A$2:$T$1001,10,)</f>
        <v>1</v>
      </c>
      <c r="E585" t="str">
        <f>VLOOKUP(A585,'Remote work mental helath'!A585:T1584,19,FALSE)</f>
        <v>Poor</v>
      </c>
      <c r="F585" t="str">
        <f>VLOOKUP(A585,'Remote work mental helath'!$A$2:$T$1001,18,)</f>
        <v>None</v>
      </c>
      <c r="G585">
        <f>VLOOKUP(A585,'Remote work mental helath'!$A$2:$T$1001,15,FALSE)</f>
        <v>4</v>
      </c>
      <c r="H585" t="str">
        <f>VLOOKUP(A585,'Remote work mental helath'!$A$2:$T$1001,14,)</f>
        <v>Decrease</v>
      </c>
      <c r="I585" t="str">
        <f>VLOOKUP(A585,'Remote work mental helath'!$A$2:$T$1001,16,)</f>
        <v>Neutral</v>
      </c>
      <c r="J585" t="str">
        <f>VLOOKUP(A585,'Remote work mental helath'!$A$2:$T$1001,13,)</f>
        <v>No</v>
      </c>
      <c r="K585">
        <f>VLOOKUP(A585,'Remote work mental helath'!$A$2:$T$1001,17,FALSE)</f>
        <v>1</v>
      </c>
    </row>
    <row r="586" spans="1:11" x14ac:dyDescent="0.3">
      <c r="A586" t="s">
        <v>635</v>
      </c>
      <c r="B586" t="str">
        <f>VLOOKUP(A586,'Remote work mental helath'!$A$2:$T$1001,12,)</f>
        <v>Depression</v>
      </c>
      <c r="C586" t="str">
        <f>VLOOKUP(A586,'Remote work mental helath'!$A$2:$T$1001,11,)</f>
        <v>Low</v>
      </c>
      <c r="D586">
        <f>VLOOKUP('Mental Helath'!A586,'Remote work mental helath'!$A$2:$T$1001,10,)</f>
        <v>1</v>
      </c>
      <c r="E586" t="str">
        <f>VLOOKUP(A586,'Remote work mental helath'!A586:T1585,19,FALSE)</f>
        <v>Poor</v>
      </c>
      <c r="F586" t="str">
        <f>VLOOKUP(A586,'Remote work mental helath'!$A$2:$T$1001,18,)</f>
        <v>None</v>
      </c>
      <c r="G586">
        <f>VLOOKUP(A586,'Remote work mental helath'!$A$2:$T$1001,15,FALSE)</f>
        <v>5</v>
      </c>
      <c r="H586" t="str">
        <f>VLOOKUP(A586,'Remote work mental helath'!$A$2:$T$1001,14,)</f>
        <v>No Change</v>
      </c>
      <c r="I586" t="str">
        <f>VLOOKUP(A586,'Remote work mental helath'!$A$2:$T$1001,16,)</f>
        <v>Neutral</v>
      </c>
      <c r="J586" t="str">
        <f>VLOOKUP(A586,'Remote work mental helath'!$A$2:$T$1001,13,)</f>
        <v>No</v>
      </c>
      <c r="K586">
        <f>VLOOKUP(A586,'Remote work mental helath'!$A$2:$T$1001,17,FALSE)</f>
        <v>4</v>
      </c>
    </row>
    <row r="587" spans="1:11" x14ac:dyDescent="0.3">
      <c r="A587" t="s">
        <v>636</v>
      </c>
      <c r="B587" t="str">
        <f>VLOOKUP(A587,'Remote work mental helath'!$A$2:$T$1001,12,)</f>
        <v>Burnout</v>
      </c>
      <c r="C587" t="str">
        <f>VLOOKUP(A587,'Remote work mental helath'!$A$2:$T$1001,11,)</f>
        <v>Low</v>
      </c>
      <c r="D587">
        <f>VLOOKUP('Mental Helath'!A587,'Remote work mental helath'!$A$2:$T$1001,10,)</f>
        <v>3</v>
      </c>
      <c r="E587" t="str">
        <f>VLOOKUP(A587,'Remote work mental helath'!A587:T1586,19,FALSE)</f>
        <v>Good</v>
      </c>
      <c r="F587" t="str">
        <f>VLOOKUP(A587,'Remote work mental helath'!$A$2:$T$1001,18,)</f>
        <v>Daily</v>
      </c>
      <c r="G587">
        <f>VLOOKUP(A587,'Remote work mental helath'!$A$2:$T$1001,15,FALSE)</f>
        <v>3</v>
      </c>
      <c r="H587" t="str">
        <f>VLOOKUP(A587,'Remote work mental helath'!$A$2:$T$1001,14,)</f>
        <v>No Change</v>
      </c>
      <c r="I587" t="str">
        <f>VLOOKUP(A587,'Remote work mental helath'!$A$2:$T$1001,16,)</f>
        <v>Neutral</v>
      </c>
      <c r="J587" t="str">
        <f>VLOOKUP(A587,'Remote work mental helath'!$A$2:$T$1001,13,)</f>
        <v>No</v>
      </c>
      <c r="K587">
        <f>VLOOKUP(A587,'Remote work mental helath'!$A$2:$T$1001,17,FALSE)</f>
        <v>1</v>
      </c>
    </row>
    <row r="588" spans="1:11" x14ac:dyDescent="0.3">
      <c r="A588" t="s">
        <v>637</v>
      </c>
      <c r="B588" t="str">
        <f>VLOOKUP(A588,'Remote work mental helath'!$A$2:$T$1001,12,)</f>
        <v>None</v>
      </c>
      <c r="C588" t="str">
        <f>VLOOKUP(A588,'Remote work mental helath'!$A$2:$T$1001,11,)</f>
        <v>Low</v>
      </c>
      <c r="D588">
        <f>VLOOKUP('Mental Helath'!A588,'Remote work mental helath'!$A$2:$T$1001,10,)</f>
        <v>5</v>
      </c>
      <c r="E588" t="str">
        <f>VLOOKUP(A588,'Remote work mental helath'!A588:T1587,19,FALSE)</f>
        <v>Poor</v>
      </c>
      <c r="F588" t="str">
        <f>VLOOKUP(A588,'Remote work mental helath'!$A$2:$T$1001,18,)</f>
        <v>Daily</v>
      </c>
      <c r="G588">
        <f>VLOOKUP(A588,'Remote work mental helath'!$A$2:$T$1001,15,FALSE)</f>
        <v>4</v>
      </c>
      <c r="H588" t="str">
        <f>VLOOKUP(A588,'Remote work mental helath'!$A$2:$T$1001,14,)</f>
        <v>Increase</v>
      </c>
      <c r="I588" t="str">
        <f>VLOOKUP(A588,'Remote work mental helath'!$A$2:$T$1001,16,)</f>
        <v>Unsatisfied</v>
      </c>
      <c r="J588" t="str">
        <f>VLOOKUP(A588,'Remote work mental helath'!$A$2:$T$1001,13,)</f>
        <v>Yes</v>
      </c>
      <c r="K588">
        <f>VLOOKUP(A588,'Remote work mental helath'!$A$2:$T$1001,17,FALSE)</f>
        <v>2</v>
      </c>
    </row>
    <row r="589" spans="1:11" x14ac:dyDescent="0.3">
      <c r="A589" t="s">
        <v>638</v>
      </c>
      <c r="B589" t="str">
        <f>VLOOKUP(A589,'Remote work mental helath'!$A$2:$T$1001,12,)</f>
        <v>Anxiety</v>
      </c>
      <c r="C589" t="str">
        <f>VLOOKUP(A589,'Remote work mental helath'!$A$2:$T$1001,11,)</f>
        <v>Low</v>
      </c>
      <c r="D589">
        <f>VLOOKUP('Mental Helath'!A589,'Remote work mental helath'!$A$2:$T$1001,10,)</f>
        <v>3</v>
      </c>
      <c r="E589" t="str">
        <f>VLOOKUP(A589,'Remote work mental helath'!A589:T1588,19,FALSE)</f>
        <v>Average</v>
      </c>
      <c r="F589" t="str">
        <f>VLOOKUP(A589,'Remote work mental helath'!$A$2:$T$1001,18,)</f>
        <v>Daily</v>
      </c>
      <c r="G589">
        <f>VLOOKUP(A589,'Remote work mental helath'!$A$2:$T$1001,15,FALSE)</f>
        <v>1</v>
      </c>
      <c r="H589" t="str">
        <f>VLOOKUP(A589,'Remote work mental helath'!$A$2:$T$1001,14,)</f>
        <v>Increase</v>
      </c>
      <c r="I589" t="str">
        <f>VLOOKUP(A589,'Remote work mental helath'!$A$2:$T$1001,16,)</f>
        <v>Satisfied</v>
      </c>
      <c r="J589" t="str">
        <f>VLOOKUP(A589,'Remote work mental helath'!$A$2:$T$1001,13,)</f>
        <v>No</v>
      </c>
      <c r="K589">
        <f>VLOOKUP(A589,'Remote work mental helath'!$A$2:$T$1001,17,FALSE)</f>
        <v>2</v>
      </c>
    </row>
    <row r="590" spans="1:11" x14ac:dyDescent="0.3">
      <c r="A590" t="s">
        <v>639</v>
      </c>
      <c r="B590" t="str">
        <f>VLOOKUP(A590,'Remote work mental helath'!$A$2:$T$1001,12,)</f>
        <v>Burnout</v>
      </c>
      <c r="C590" t="str">
        <f>VLOOKUP(A590,'Remote work mental helath'!$A$2:$T$1001,11,)</f>
        <v>Medium</v>
      </c>
      <c r="D590">
        <f>VLOOKUP('Mental Helath'!A590,'Remote work mental helath'!$A$2:$T$1001,10,)</f>
        <v>5</v>
      </c>
      <c r="E590" t="str">
        <f>VLOOKUP(A590,'Remote work mental helath'!A590:T1589,19,FALSE)</f>
        <v>Good</v>
      </c>
      <c r="F590" t="str">
        <f>VLOOKUP(A590,'Remote work mental helath'!$A$2:$T$1001,18,)</f>
        <v>Weekly</v>
      </c>
      <c r="G590">
        <f>VLOOKUP(A590,'Remote work mental helath'!$A$2:$T$1001,15,FALSE)</f>
        <v>4</v>
      </c>
      <c r="H590" t="str">
        <f>VLOOKUP(A590,'Remote work mental helath'!$A$2:$T$1001,14,)</f>
        <v>Decrease</v>
      </c>
      <c r="I590" t="str">
        <f>VLOOKUP(A590,'Remote work mental helath'!$A$2:$T$1001,16,)</f>
        <v>Satisfied</v>
      </c>
      <c r="J590" t="str">
        <f>VLOOKUP(A590,'Remote work mental helath'!$A$2:$T$1001,13,)</f>
        <v>No</v>
      </c>
      <c r="K590">
        <f>VLOOKUP(A590,'Remote work mental helath'!$A$2:$T$1001,17,FALSE)</f>
        <v>5</v>
      </c>
    </row>
    <row r="591" spans="1:11" x14ac:dyDescent="0.3">
      <c r="A591" t="s">
        <v>640</v>
      </c>
      <c r="B591" t="str">
        <f>VLOOKUP(A591,'Remote work mental helath'!$A$2:$T$1001,12,)</f>
        <v>Depression</v>
      </c>
      <c r="C591" t="str">
        <f>VLOOKUP(A591,'Remote work mental helath'!$A$2:$T$1001,11,)</f>
        <v>Low</v>
      </c>
      <c r="D591">
        <f>VLOOKUP('Mental Helath'!A591,'Remote work mental helath'!$A$2:$T$1001,10,)</f>
        <v>4</v>
      </c>
      <c r="E591" t="str">
        <f>VLOOKUP(A591,'Remote work mental helath'!A591:T1590,19,FALSE)</f>
        <v>Average</v>
      </c>
      <c r="F591" t="str">
        <f>VLOOKUP(A591,'Remote work mental helath'!$A$2:$T$1001,18,)</f>
        <v>Weekly</v>
      </c>
      <c r="G591">
        <f>VLOOKUP(A591,'Remote work mental helath'!$A$2:$T$1001,15,FALSE)</f>
        <v>1</v>
      </c>
      <c r="H591" t="str">
        <f>VLOOKUP(A591,'Remote work mental helath'!$A$2:$T$1001,14,)</f>
        <v>Decrease</v>
      </c>
      <c r="I591" t="str">
        <f>VLOOKUP(A591,'Remote work mental helath'!$A$2:$T$1001,16,)</f>
        <v>Satisfied</v>
      </c>
      <c r="J591" t="str">
        <f>VLOOKUP(A591,'Remote work mental helath'!$A$2:$T$1001,13,)</f>
        <v>No</v>
      </c>
      <c r="K591">
        <f>VLOOKUP(A591,'Remote work mental helath'!$A$2:$T$1001,17,FALSE)</f>
        <v>2</v>
      </c>
    </row>
    <row r="592" spans="1:11" x14ac:dyDescent="0.3">
      <c r="A592" t="s">
        <v>641</v>
      </c>
      <c r="B592" t="str">
        <f>VLOOKUP(A592,'Remote work mental helath'!$A$2:$T$1001,12,)</f>
        <v>Depression</v>
      </c>
      <c r="C592" t="str">
        <f>VLOOKUP(A592,'Remote work mental helath'!$A$2:$T$1001,11,)</f>
        <v>Low</v>
      </c>
      <c r="D592">
        <f>VLOOKUP('Mental Helath'!A592,'Remote work mental helath'!$A$2:$T$1001,10,)</f>
        <v>5</v>
      </c>
      <c r="E592" t="str">
        <f>VLOOKUP(A592,'Remote work mental helath'!A592:T1591,19,FALSE)</f>
        <v>Average</v>
      </c>
      <c r="F592" t="str">
        <f>VLOOKUP(A592,'Remote work mental helath'!$A$2:$T$1001,18,)</f>
        <v>Daily</v>
      </c>
      <c r="G592">
        <f>VLOOKUP(A592,'Remote work mental helath'!$A$2:$T$1001,15,FALSE)</f>
        <v>4</v>
      </c>
      <c r="H592" t="str">
        <f>VLOOKUP(A592,'Remote work mental helath'!$A$2:$T$1001,14,)</f>
        <v>Decrease</v>
      </c>
      <c r="I592" t="str">
        <f>VLOOKUP(A592,'Remote work mental helath'!$A$2:$T$1001,16,)</f>
        <v>Unsatisfied</v>
      </c>
      <c r="J592" t="str">
        <f>VLOOKUP(A592,'Remote work mental helath'!$A$2:$T$1001,13,)</f>
        <v>No</v>
      </c>
      <c r="K592">
        <f>VLOOKUP(A592,'Remote work mental helath'!$A$2:$T$1001,17,FALSE)</f>
        <v>4</v>
      </c>
    </row>
    <row r="593" spans="1:11" x14ac:dyDescent="0.3">
      <c r="A593" t="s">
        <v>642</v>
      </c>
      <c r="B593" t="str">
        <f>VLOOKUP(A593,'Remote work mental helath'!$A$2:$T$1001,12,)</f>
        <v>None</v>
      </c>
      <c r="C593" t="str">
        <f>VLOOKUP(A593,'Remote work mental helath'!$A$2:$T$1001,11,)</f>
        <v>Medium</v>
      </c>
      <c r="D593">
        <f>VLOOKUP('Mental Helath'!A593,'Remote work mental helath'!$A$2:$T$1001,10,)</f>
        <v>3</v>
      </c>
      <c r="E593" t="str">
        <f>VLOOKUP(A593,'Remote work mental helath'!A593:T1592,19,FALSE)</f>
        <v>Average</v>
      </c>
      <c r="F593" t="str">
        <f>VLOOKUP(A593,'Remote work mental helath'!$A$2:$T$1001,18,)</f>
        <v>Weekly</v>
      </c>
      <c r="G593">
        <f>VLOOKUP(A593,'Remote work mental helath'!$A$2:$T$1001,15,FALSE)</f>
        <v>1</v>
      </c>
      <c r="H593" t="str">
        <f>VLOOKUP(A593,'Remote work mental helath'!$A$2:$T$1001,14,)</f>
        <v>Increase</v>
      </c>
      <c r="I593" t="str">
        <f>VLOOKUP(A593,'Remote work mental helath'!$A$2:$T$1001,16,)</f>
        <v>Neutral</v>
      </c>
      <c r="J593" t="str">
        <f>VLOOKUP(A593,'Remote work mental helath'!$A$2:$T$1001,13,)</f>
        <v>Yes</v>
      </c>
      <c r="K593">
        <f>VLOOKUP(A593,'Remote work mental helath'!$A$2:$T$1001,17,FALSE)</f>
        <v>5</v>
      </c>
    </row>
    <row r="594" spans="1:11" x14ac:dyDescent="0.3">
      <c r="A594" t="s">
        <v>643</v>
      </c>
      <c r="B594" t="str">
        <f>VLOOKUP(A594,'Remote work mental helath'!$A$2:$T$1001,12,)</f>
        <v>Anxiety</v>
      </c>
      <c r="C594" t="str">
        <f>VLOOKUP(A594,'Remote work mental helath'!$A$2:$T$1001,11,)</f>
        <v>Medium</v>
      </c>
      <c r="D594">
        <f>VLOOKUP('Mental Helath'!A594,'Remote work mental helath'!$A$2:$T$1001,10,)</f>
        <v>2</v>
      </c>
      <c r="E594" t="str">
        <f>VLOOKUP(A594,'Remote work mental helath'!A594:T1593,19,FALSE)</f>
        <v>Good</v>
      </c>
      <c r="F594" t="str">
        <f>VLOOKUP(A594,'Remote work mental helath'!$A$2:$T$1001,18,)</f>
        <v>Daily</v>
      </c>
      <c r="G594">
        <f>VLOOKUP(A594,'Remote work mental helath'!$A$2:$T$1001,15,FALSE)</f>
        <v>3</v>
      </c>
      <c r="H594" t="str">
        <f>VLOOKUP(A594,'Remote work mental helath'!$A$2:$T$1001,14,)</f>
        <v>No Change</v>
      </c>
      <c r="I594" t="str">
        <f>VLOOKUP(A594,'Remote work mental helath'!$A$2:$T$1001,16,)</f>
        <v>Unsatisfied</v>
      </c>
      <c r="J594" t="str">
        <f>VLOOKUP(A594,'Remote work mental helath'!$A$2:$T$1001,13,)</f>
        <v>Yes</v>
      </c>
      <c r="K594">
        <f>VLOOKUP(A594,'Remote work mental helath'!$A$2:$T$1001,17,FALSE)</f>
        <v>3</v>
      </c>
    </row>
    <row r="595" spans="1:11" x14ac:dyDescent="0.3">
      <c r="A595" t="s">
        <v>644</v>
      </c>
      <c r="B595" t="str">
        <f>VLOOKUP(A595,'Remote work mental helath'!$A$2:$T$1001,12,)</f>
        <v>Anxiety</v>
      </c>
      <c r="C595" t="str">
        <f>VLOOKUP(A595,'Remote work mental helath'!$A$2:$T$1001,11,)</f>
        <v>High</v>
      </c>
      <c r="D595">
        <f>VLOOKUP('Mental Helath'!A595,'Remote work mental helath'!$A$2:$T$1001,10,)</f>
        <v>5</v>
      </c>
      <c r="E595" t="str">
        <f>VLOOKUP(A595,'Remote work mental helath'!A595:T1594,19,FALSE)</f>
        <v>Good</v>
      </c>
      <c r="F595" t="str">
        <f>VLOOKUP(A595,'Remote work mental helath'!$A$2:$T$1001,18,)</f>
        <v>None</v>
      </c>
      <c r="G595">
        <f>VLOOKUP(A595,'Remote work mental helath'!$A$2:$T$1001,15,FALSE)</f>
        <v>3</v>
      </c>
      <c r="H595" t="str">
        <f>VLOOKUP(A595,'Remote work mental helath'!$A$2:$T$1001,14,)</f>
        <v>Decrease</v>
      </c>
      <c r="I595" t="str">
        <f>VLOOKUP(A595,'Remote work mental helath'!$A$2:$T$1001,16,)</f>
        <v>Neutral</v>
      </c>
      <c r="J595" t="str">
        <f>VLOOKUP(A595,'Remote work mental helath'!$A$2:$T$1001,13,)</f>
        <v>Yes</v>
      </c>
      <c r="K595">
        <f>VLOOKUP(A595,'Remote work mental helath'!$A$2:$T$1001,17,FALSE)</f>
        <v>3</v>
      </c>
    </row>
    <row r="596" spans="1:11" x14ac:dyDescent="0.3">
      <c r="A596" t="s">
        <v>645</v>
      </c>
      <c r="B596" t="str">
        <f>VLOOKUP(A596,'Remote work mental helath'!$A$2:$T$1001,12,)</f>
        <v>Burnout</v>
      </c>
      <c r="C596" t="str">
        <f>VLOOKUP(A596,'Remote work mental helath'!$A$2:$T$1001,11,)</f>
        <v>High</v>
      </c>
      <c r="D596">
        <f>VLOOKUP('Mental Helath'!A596,'Remote work mental helath'!$A$2:$T$1001,10,)</f>
        <v>1</v>
      </c>
      <c r="E596" t="str">
        <f>VLOOKUP(A596,'Remote work mental helath'!A596:T1595,19,FALSE)</f>
        <v>Poor</v>
      </c>
      <c r="F596" t="str">
        <f>VLOOKUP(A596,'Remote work mental helath'!$A$2:$T$1001,18,)</f>
        <v>Daily</v>
      </c>
      <c r="G596">
        <f>VLOOKUP(A596,'Remote work mental helath'!$A$2:$T$1001,15,FALSE)</f>
        <v>4</v>
      </c>
      <c r="H596" t="str">
        <f>VLOOKUP(A596,'Remote work mental helath'!$A$2:$T$1001,14,)</f>
        <v>No Change</v>
      </c>
      <c r="I596" t="str">
        <f>VLOOKUP(A596,'Remote work mental helath'!$A$2:$T$1001,16,)</f>
        <v>Unsatisfied</v>
      </c>
      <c r="J596" t="str">
        <f>VLOOKUP(A596,'Remote work mental helath'!$A$2:$T$1001,13,)</f>
        <v>No</v>
      </c>
      <c r="K596">
        <f>VLOOKUP(A596,'Remote work mental helath'!$A$2:$T$1001,17,FALSE)</f>
        <v>3</v>
      </c>
    </row>
    <row r="597" spans="1:11" x14ac:dyDescent="0.3">
      <c r="A597" t="s">
        <v>646</v>
      </c>
      <c r="B597" t="str">
        <f>VLOOKUP(A597,'Remote work mental helath'!$A$2:$T$1001,12,)</f>
        <v>Depression</v>
      </c>
      <c r="C597" t="str">
        <f>VLOOKUP(A597,'Remote work mental helath'!$A$2:$T$1001,11,)</f>
        <v>Medium</v>
      </c>
      <c r="D597">
        <f>VLOOKUP('Mental Helath'!A597,'Remote work mental helath'!$A$2:$T$1001,10,)</f>
        <v>2</v>
      </c>
      <c r="E597" t="str">
        <f>VLOOKUP(A597,'Remote work mental helath'!A597:T1596,19,FALSE)</f>
        <v>Good</v>
      </c>
      <c r="F597" t="str">
        <f>VLOOKUP(A597,'Remote work mental helath'!$A$2:$T$1001,18,)</f>
        <v>None</v>
      </c>
      <c r="G597">
        <f>VLOOKUP(A597,'Remote work mental helath'!$A$2:$T$1001,15,FALSE)</f>
        <v>1</v>
      </c>
      <c r="H597" t="str">
        <f>VLOOKUP(A597,'Remote work mental helath'!$A$2:$T$1001,14,)</f>
        <v>No Change</v>
      </c>
      <c r="I597" t="str">
        <f>VLOOKUP(A597,'Remote work mental helath'!$A$2:$T$1001,16,)</f>
        <v>Unsatisfied</v>
      </c>
      <c r="J597" t="str">
        <f>VLOOKUP(A597,'Remote work mental helath'!$A$2:$T$1001,13,)</f>
        <v>Yes</v>
      </c>
      <c r="K597">
        <f>VLOOKUP(A597,'Remote work mental helath'!$A$2:$T$1001,17,FALSE)</f>
        <v>1</v>
      </c>
    </row>
    <row r="598" spans="1:11" x14ac:dyDescent="0.3">
      <c r="A598" t="s">
        <v>647</v>
      </c>
      <c r="B598" t="str">
        <f>VLOOKUP(A598,'Remote work mental helath'!$A$2:$T$1001,12,)</f>
        <v>Anxiety</v>
      </c>
      <c r="C598" t="str">
        <f>VLOOKUP(A598,'Remote work mental helath'!$A$2:$T$1001,11,)</f>
        <v>Low</v>
      </c>
      <c r="D598">
        <f>VLOOKUP('Mental Helath'!A598,'Remote work mental helath'!$A$2:$T$1001,10,)</f>
        <v>5</v>
      </c>
      <c r="E598" t="str">
        <f>VLOOKUP(A598,'Remote work mental helath'!A598:T1597,19,FALSE)</f>
        <v>Good</v>
      </c>
      <c r="F598" t="str">
        <f>VLOOKUP(A598,'Remote work mental helath'!$A$2:$T$1001,18,)</f>
        <v>Weekly</v>
      </c>
      <c r="G598">
        <f>VLOOKUP(A598,'Remote work mental helath'!$A$2:$T$1001,15,FALSE)</f>
        <v>1</v>
      </c>
      <c r="H598" t="str">
        <f>VLOOKUP(A598,'Remote work mental helath'!$A$2:$T$1001,14,)</f>
        <v>Decrease</v>
      </c>
      <c r="I598" t="str">
        <f>VLOOKUP(A598,'Remote work mental helath'!$A$2:$T$1001,16,)</f>
        <v>Unsatisfied</v>
      </c>
      <c r="J598" t="str">
        <f>VLOOKUP(A598,'Remote work mental helath'!$A$2:$T$1001,13,)</f>
        <v>No</v>
      </c>
      <c r="K598">
        <f>VLOOKUP(A598,'Remote work mental helath'!$A$2:$T$1001,17,FALSE)</f>
        <v>5</v>
      </c>
    </row>
    <row r="599" spans="1:11" x14ac:dyDescent="0.3">
      <c r="A599" t="s">
        <v>648</v>
      </c>
      <c r="B599" t="str">
        <f>VLOOKUP(A599,'Remote work mental helath'!$A$2:$T$1001,12,)</f>
        <v>Depression</v>
      </c>
      <c r="C599" t="str">
        <f>VLOOKUP(A599,'Remote work mental helath'!$A$2:$T$1001,11,)</f>
        <v>High</v>
      </c>
      <c r="D599">
        <f>VLOOKUP('Mental Helath'!A599,'Remote work mental helath'!$A$2:$T$1001,10,)</f>
        <v>4</v>
      </c>
      <c r="E599" t="str">
        <f>VLOOKUP(A599,'Remote work mental helath'!A599:T1598,19,FALSE)</f>
        <v>Poor</v>
      </c>
      <c r="F599" t="str">
        <f>VLOOKUP(A599,'Remote work mental helath'!$A$2:$T$1001,18,)</f>
        <v>Daily</v>
      </c>
      <c r="G599">
        <f>VLOOKUP(A599,'Remote work mental helath'!$A$2:$T$1001,15,FALSE)</f>
        <v>5</v>
      </c>
      <c r="H599" t="str">
        <f>VLOOKUP(A599,'Remote work mental helath'!$A$2:$T$1001,14,)</f>
        <v>Increase</v>
      </c>
      <c r="I599" t="str">
        <f>VLOOKUP(A599,'Remote work mental helath'!$A$2:$T$1001,16,)</f>
        <v>Unsatisfied</v>
      </c>
      <c r="J599" t="str">
        <f>VLOOKUP(A599,'Remote work mental helath'!$A$2:$T$1001,13,)</f>
        <v>No</v>
      </c>
      <c r="K599">
        <f>VLOOKUP(A599,'Remote work mental helath'!$A$2:$T$1001,17,FALSE)</f>
        <v>4</v>
      </c>
    </row>
    <row r="600" spans="1:11" x14ac:dyDescent="0.3">
      <c r="A600" t="s">
        <v>649</v>
      </c>
      <c r="B600" t="str">
        <f>VLOOKUP(A600,'Remote work mental helath'!$A$2:$T$1001,12,)</f>
        <v>Depression</v>
      </c>
      <c r="C600" t="str">
        <f>VLOOKUP(A600,'Remote work mental helath'!$A$2:$T$1001,11,)</f>
        <v>Medium</v>
      </c>
      <c r="D600">
        <f>VLOOKUP('Mental Helath'!A600,'Remote work mental helath'!$A$2:$T$1001,10,)</f>
        <v>5</v>
      </c>
      <c r="E600" t="str">
        <f>VLOOKUP(A600,'Remote work mental helath'!A600:T1599,19,FALSE)</f>
        <v>Good</v>
      </c>
      <c r="F600" t="str">
        <f>VLOOKUP(A600,'Remote work mental helath'!$A$2:$T$1001,18,)</f>
        <v>Daily</v>
      </c>
      <c r="G600">
        <f>VLOOKUP(A600,'Remote work mental helath'!$A$2:$T$1001,15,FALSE)</f>
        <v>2</v>
      </c>
      <c r="H600" t="str">
        <f>VLOOKUP(A600,'Remote work mental helath'!$A$2:$T$1001,14,)</f>
        <v>Decrease</v>
      </c>
      <c r="I600" t="str">
        <f>VLOOKUP(A600,'Remote work mental helath'!$A$2:$T$1001,16,)</f>
        <v>Neutral</v>
      </c>
      <c r="J600" t="str">
        <f>VLOOKUP(A600,'Remote work mental helath'!$A$2:$T$1001,13,)</f>
        <v>Yes</v>
      </c>
      <c r="K600">
        <f>VLOOKUP(A600,'Remote work mental helath'!$A$2:$T$1001,17,FALSE)</f>
        <v>3</v>
      </c>
    </row>
    <row r="601" spans="1:11" x14ac:dyDescent="0.3">
      <c r="A601" t="s">
        <v>650</v>
      </c>
      <c r="B601" t="str">
        <f>VLOOKUP(A601,'Remote work mental helath'!$A$2:$T$1001,12,)</f>
        <v>None</v>
      </c>
      <c r="C601" t="str">
        <f>VLOOKUP(A601,'Remote work mental helath'!$A$2:$T$1001,11,)</f>
        <v>Low</v>
      </c>
      <c r="D601">
        <f>VLOOKUP('Mental Helath'!A601,'Remote work mental helath'!$A$2:$T$1001,10,)</f>
        <v>1</v>
      </c>
      <c r="E601" t="str">
        <f>VLOOKUP(A601,'Remote work mental helath'!A601:T1600,19,FALSE)</f>
        <v>Poor</v>
      </c>
      <c r="F601" t="str">
        <f>VLOOKUP(A601,'Remote work mental helath'!$A$2:$T$1001,18,)</f>
        <v>Weekly</v>
      </c>
      <c r="G601">
        <f>VLOOKUP(A601,'Remote work mental helath'!$A$2:$T$1001,15,FALSE)</f>
        <v>4</v>
      </c>
      <c r="H601" t="str">
        <f>VLOOKUP(A601,'Remote work mental helath'!$A$2:$T$1001,14,)</f>
        <v>Decrease</v>
      </c>
      <c r="I601" t="str">
        <f>VLOOKUP(A601,'Remote work mental helath'!$A$2:$T$1001,16,)</f>
        <v>Neutral</v>
      </c>
      <c r="J601" t="str">
        <f>VLOOKUP(A601,'Remote work mental helath'!$A$2:$T$1001,13,)</f>
        <v>Yes</v>
      </c>
      <c r="K601">
        <f>VLOOKUP(A601,'Remote work mental helath'!$A$2:$T$1001,17,FALSE)</f>
        <v>5</v>
      </c>
    </row>
    <row r="602" spans="1:11" x14ac:dyDescent="0.3">
      <c r="A602" t="s">
        <v>651</v>
      </c>
      <c r="B602" t="str">
        <f>VLOOKUP(A602,'Remote work mental helath'!$A$2:$T$1001,12,)</f>
        <v>None</v>
      </c>
      <c r="C602" t="str">
        <f>VLOOKUP(A602,'Remote work mental helath'!$A$2:$T$1001,11,)</f>
        <v>Low</v>
      </c>
      <c r="D602">
        <f>VLOOKUP('Mental Helath'!A602,'Remote work mental helath'!$A$2:$T$1001,10,)</f>
        <v>1</v>
      </c>
      <c r="E602" t="str">
        <f>VLOOKUP(A602,'Remote work mental helath'!A602:T1601,19,FALSE)</f>
        <v>Good</v>
      </c>
      <c r="F602" t="str">
        <f>VLOOKUP(A602,'Remote work mental helath'!$A$2:$T$1001,18,)</f>
        <v>Daily</v>
      </c>
      <c r="G602">
        <f>VLOOKUP(A602,'Remote work mental helath'!$A$2:$T$1001,15,FALSE)</f>
        <v>3</v>
      </c>
      <c r="H602" t="str">
        <f>VLOOKUP(A602,'Remote work mental helath'!$A$2:$T$1001,14,)</f>
        <v>Decrease</v>
      </c>
      <c r="I602" t="str">
        <f>VLOOKUP(A602,'Remote work mental helath'!$A$2:$T$1001,16,)</f>
        <v>Neutral</v>
      </c>
      <c r="J602" t="str">
        <f>VLOOKUP(A602,'Remote work mental helath'!$A$2:$T$1001,13,)</f>
        <v>Yes</v>
      </c>
      <c r="K602">
        <f>VLOOKUP(A602,'Remote work mental helath'!$A$2:$T$1001,17,FALSE)</f>
        <v>1</v>
      </c>
    </row>
    <row r="603" spans="1:11" x14ac:dyDescent="0.3">
      <c r="A603" t="s">
        <v>652</v>
      </c>
      <c r="B603" t="str">
        <f>VLOOKUP(A603,'Remote work mental helath'!$A$2:$T$1001,12,)</f>
        <v>None</v>
      </c>
      <c r="C603" t="str">
        <f>VLOOKUP(A603,'Remote work mental helath'!$A$2:$T$1001,11,)</f>
        <v>High</v>
      </c>
      <c r="D603">
        <f>VLOOKUP('Mental Helath'!A603,'Remote work mental helath'!$A$2:$T$1001,10,)</f>
        <v>3</v>
      </c>
      <c r="E603" t="str">
        <f>VLOOKUP(A603,'Remote work mental helath'!A603:T1602,19,FALSE)</f>
        <v>Poor</v>
      </c>
      <c r="F603" t="str">
        <f>VLOOKUP(A603,'Remote work mental helath'!$A$2:$T$1001,18,)</f>
        <v>None</v>
      </c>
      <c r="G603">
        <f>VLOOKUP(A603,'Remote work mental helath'!$A$2:$T$1001,15,FALSE)</f>
        <v>4</v>
      </c>
      <c r="H603" t="str">
        <f>VLOOKUP(A603,'Remote work mental helath'!$A$2:$T$1001,14,)</f>
        <v>Decrease</v>
      </c>
      <c r="I603" t="str">
        <f>VLOOKUP(A603,'Remote work mental helath'!$A$2:$T$1001,16,)</f>
        <v>Neutral</v>
      </c>
      <c r="J603" t="str">
        <f>VLOOKUP(A603,'Remote work mental helath'!$A$2:$T$1001,13,)</f>
        <v>No</v>
      </c>
      <c r="K603">
        <f>VLOOKUP(A603,'Remote work mental helath'!$A$2:$T$1001,17,FALSE)</f>
        <v>1</v>
      </c>
    </row>
    <row r="604" spans="1:11" x14ac:dyDescent="0.3">
      <c r="A604" t="s">
        <v>653</v>
      </c>
      <c r="B604" t="str">
        <f>VLOOKUP(A604,'Remote work mental helath'!$A$2:$T$1001,12,)</f>
        <v>Depression</v>
      </c>
      <c r="C604" t="str">
        <f>VLOOKUP(A604,'Remote work mental helath'!$A$2:$T$1001,11,)</f>
        <v>Medium</v>
      </c>
      <c r="D604">
        <f>VLOOKUP('Mental Helath'!A604,'Remote work mental helath'!$A$2:$T$1001,10,)</f>
        <v>1</v>
      </c>
      <c r="E604" t="str">
        <f>VLOOKUP(A604,'Remote work mental helath'!A604:T1603,19,FALSE)</f>
        <v>Poor</v>
      </c>
      <c r="F604" t="str">
        <f>VLOOKUP(A604,'Remote work mental helath'!$A$2:$T$1001,18,)</f>
        <v>Weekly</v>
      </c>
      <c r="G604">
        <f>VLOOKUP(A604,'Remote work mental helath'!$A$2:$T$1001,15,FALSE)</f>
        <v>1</v>
      </c>
      <c r="H604" t="str">
        <f>VLOOKUP(A604,'Remote work mental helath'!$A$2:$T$1001,14,)</f>
        <v>Decrease</v>
      </c>
      <c r="I604" t="str">
        <f>VLOOKUP(A604,'Remote work mental helath'!$A$2:$T$1001,16,)</f>
        <v>Satisfied</v>
      </c>
      <c r="J604" t="str">
        <f>VLOOKUP(A604,'Remote work mental helath'!$A$2:$T$1001,13,)</f>
        <v>No</v>
      </c>
      <c r="K604">
        <f>VLOOKUP(A604,'Remote work mental helath'!$A$2:$T$1001,17,FALSE)</f>
        <v>1</v>
      </c>
    </row>
    <row r="605" spans="1:11" x14ac:dyDescent="0.3">
      <c r="A605" t="s">
        <v>654</v>
      </c>
      <c r="B605" t="str">
        <f>VLOOKUP(A605,'Remote work mental helath'!$A$2:$T$1001,12,)</f>
        <v>Depression</v>
      </c>
      <c r="C605" t="str">
        <f>VLOOKUP(A605,'Remote work mental helath'!$A$2:$T$1001,11,)</f>
        <v>High</v>
      </c>
      <c r="D605">
        <f>VLOOKUP('Mental Helath'!A605,'Remote work mental helath'!$A$2:$T$1001,10,)</f>
        <v>3</v>
      </c>
      <c r="E605" t="str">
        <f>VLOOKUP(A605,'Remote work mental helath'!A605:T1604,19,FALSE)</f>
        <v>Average</v>
      </c>
      <c r="F605" t="str">
        <f>VLOOKUP(A605,'Remote work mental helath'!$A$2:$T$1001,18,)</f>
        <v>Weekly</v>
      </c>
      <c r="G605">
        <f>VLOOKUP(A605,'Remote work mental helath'!$A$2:$T$1001,15,FALSE)</f>
        <v>3</v>
      </c>
      <c r="H605" t="str">
        <f>VLOOKUP(A605,'Remote work mental helath'!$A$2:$T$1001,14,)</f>
        <v>Decrease</v>
      </c>
      <c r="I605" t="str">
        <f>VLOOKUP(A605,'Remote work mental helath'!$A$2:$T$1001,16,)</f>
        <v>Satisfied</v>
      </c>
      <c r="J605" t="str">
        <f>VLOOKUP(A605,'Remote work mental helath'!$A$2:$T$1001,13,)</f>
        <v>Yes</v>
      </c>
      <c r="K605">
        <f>VLOOKUP(A605,'Remote work mental helath'!$A$2:$T$1001,17,FALSE)</f>
        <v>3</v>
      </c>
    </row>
    <row r="606" spans="1:11" x14ac:dyDescent="0.3">
      <c r="A606" t="s">
        <v>655</v>
      </c>
      <c r="B606" t="str">
        <f>VLOOKUP(A606,'Remote work mental helath'!$A$2:$T$1001,12,)</f>
        <v>None</v>
      </c>
      <c r="C606" t="str">
        <f>VLOOKUP(A606,'Remote work mental helath'!$A$2:$T$1001,11,)</f>
        <v>High</v>
      </c>
      <c r="D606">
        <f>VLOOKUP('Mental Helath'!A606,'Remote work mental helath'!$A$2:$T$1001,10,)</f>
        <v>4</v>
      </c>
      <c r="E606" t="str">
        <f>VLOOKUP(A606,'Remote work mental helath'!A606:T1605,19,FALSE)</f>
        <v>Average</v>
      </c>
      <c r="F606" t="str">
        <f>VLOOKUP(A606,'Remote work mental helath'!$A$2:$T$1001,18,)</f>
        <v>Weekly</v>
      </c>
      <c r="G606">
        <f>VLOOKUP(A606,'Remote work mental helath'!$A$2:$T$1001,15,FALSE)</f>
        <v>2</v>
      </c>
      <c r="H606" t="str">
        <f>VLOOKUP(A606,'Remote work mental helath'!$A$2:$T$1001,14,)</f>
        <v>Decrease</v>
      </c>
      <c r="I606" t="str">
        <f>VLOOKUP(A606,'Remote work mental helath'!$A$2:$T$1001,16,)</f>
        <v>Satisfied</v>
      </c>
      <c r="J606" t="str">
        <f>VLOOKUP(A606,'Remote work mental helath'!$A$2:$T$1001,13,)</f>
        <v>No</v>
      </c>
      <c r="K606">
        <f>VLOOKUP(A606,'Remote work mental helath'!$A$2:$T$1001,17,FALSE)</f>
        <v>3</v>
      </c>
    </row>
    <row r="607" spans="1:11" x14ac:dyDescent="0.3">
      <c r="A607" t="s">
        <v>656</v>
      </c>
      <c r="B607" t="str">
        <f>VLOOKUP(A607,'Remote work mental helath'!$A$2:$T$1001,12,)</f>
        <v>Depression</v>
      </c>
      <c r="C607" t="str">
        <f>VLOOKUP(A607,'Remote work mental helath'!$A$2:$T$1001,11,)</f>
        <v>High</v>
      </c>
      <c r="D607">
        <f>VLOOKUP('Mental Helath'!A607,'Remote work mental helath'!$A$2:$T$1001,10,)</f>
        <v>1</v>
      </c>
      <c r="E607" t="str">
        <f>VLOOKUP(A607,'Remote work mental helath'!A607:T1606,19,FALSE)</f>
        <v>Average</v>
      </c>
      <c r="F607" t="str">
        <f>VLOOKUP(A607,'Remote work mental helath'!$A$2:$T$1001,18,)</f>
        <v>Daily</v>
      </c>
      <c r="G607">
        <f>VLOOKUP(A607,'Remote work mental helath'!$A$2:$T$1001,15,FALSE)</f>
        <v>5</v>
      </c>
      <c r="H607" t="str">
        <f>VLOOKUP(A607,'Remote work mental helath'!$A$2:$T$1001,14,)</f>
        <v>No Change</v>
      </c>
      <c r="I607" t="str">
        <f>VLOOKUP(A607,'Remote work mental helath'!$A$2:$T$1001,16,)</f>
        <v>Unsatisfied</v>
      </c>
      <c r="J607" t="str">
        <f>VLOOKUP(A607,'Remote work mental helath'!$A$2:$T$1001,13,)</f>
        <v>Yes</v>
      </c>
      <c r="K607">
        <f>VLOOKUP(A607,'Remote work mental helath'!$A$2:$T$1001,17,FALSE)</f>
        <v>4</v>
      </c>
    </row>
    <row r="608" spans="1:11" x14ac:dyDescent="0.3">
      <c r="A608" t="s">
        <v>657</v>
      </c>
      <c r="B608" t="str">
        <f>VLOOKUP(A608,'Remote work mental helath'!$A$2:$T$1001,12,)</f>
        <v>Anxiety</v>
      </c>
      <c r="C608" t="str">
        <f>VLOOKUP(A608,'Remote work mental helath'!$A$2:$T$1001,11,)</f>
        <v>Low</v>
      </c>
      <c r="D608">
        <f>VLOOKUP('Mental Helath'!A608,'Remote work mental helath'!$A$2:$T$1001,10,)</f>
        <v>5</v>
      </c>
      <c r="E608" t="str">
        <f>VLOOKUP(A608,'Remote work mental helath'!A608:T1607,19,FALSE)</f>
        <v>Average</v>
      </c>
      <c r="F608" t="str">
        <f>VLOOKUP(A608,'Remote work mental helath'!$A$2:$T$1001,18,)</f>
        <v>None</v>
      </c>
      <c r="G608">
        <f>VLOOKUP(A608,'Remote work mental helath'!$A$2:$T$1001,15,FALSE)</f>
        <v>3</v>
      </c>
      <c r="H608" t="str">
        <f>VLOOKUP(A608,'Remote work mental helath'!$A$2:$T$1001,14,)</f>
        <v>Decrease</v>
      </c>
      <c r="I608" t="str">
        <f>VLOOKUP(A608,'Remote work mental helath'!$A$2:$T$1001,16,)</f>
        <v>Satisfied</v>
      </c>
      <c r="J608" t="str">
        <f>VLOOKUP(A608,'Remote work mental helath'!$A$2:$T$1001,13,)</f>
        <v>Yes</v>
      </c>
      <c r="K608">
        <f>VLOOKUP(A608,'Remote work mental helath'!$A$2:$T$1001,17,FALSE)</f>
        <v>4</v>
      </c>
    </row>
    <row r="609" spans="1:11" x14ac:dyDescent="0.3">
      <c r="A609" t="s">
        <v>658</v>
      </c>
      <c r="B609" t="str">
        <f>VLOOKUP(A609,'Remote work mental helath'!$A$2:$T$1001,12,)</f>
        <v>Depression</v>
      </c>
      <c r="C609" t="str">
        <f>VLOOKUP(A609,'Remote work mental helath'!$A$2:$T$1001,11,)</f>
        <v>High</v>
      </c>
      <c r="D609">
        <f>VLOOKUP('Mental Helath'!A609,'Remote work mental helath'!$A$2:$T$1001,10,)</f>
        <v>3</v>
      </c>
      <c r="E609" t="str">
        <f>VLOOKUP(A609,'Remote work mental helath'!A609:T1608,19,FALSE)</f>
        <v>Average</v>
      </c>
      <c r="F609" t="str">
        <f>VLOOKUP(A609,'Remote work mental helath'!$A$2:$T$1001,18,)</f>
        <v>None</v>
      </c>
      <c r="G609">
        <f>VLOOKUP(A609,'Remote work mental helath'!$A$2:$T$1001,15,FALSE)</f>
        <v>2</v>
      </c>
      <c r="H609" t="str">
        <f>VLOOKUP(A609,'Remote work mental helath'!$A$2:$T$1001,14,)</f>
        <v>Increase</v>
      </c>
      <c r="I609" t="str">
        <f>VLOOKUP(A609,'Remote work mental helath'!$A$2:$T$1001,16,)</f>
        <v>Neutral</v>
      </c>
      <c r="J609" t="str">
        <f>VLOOKUP(A609,'Remote work mental helath'!$A$2:$T$1001,13,)</f>
        <v>No</v>
      </c>
      <c r="K609">
        <f>VLOOKUP(A609,'Remote work mental helath'!$A$2:$T$1001,17,FALSE)</f>
        <v>2</v>
      </c>
    </row>
    <row r="610" spans="1:11" x14ac:dyDescent="0.3">
      <c r="A610" t="s">
        <v>659</v>
      </c>
      <c r="B610" t="str">
        <f>VLOOKUP(A610,'Remote work mental helath'!$A$2:$T$1001,12,)</f>
        <v>None</v>
      </c>
      <c r="C610" t="str">
        <f>VLOOKUP(A610,'Remote work mental helath'!$A$2:$T$1001,11,)</f>
        <v>High</v>
      </c>
      <c r="D610">
        <f>VLOOKUP('Mental Helath'!A610,'Remote work mental helath'!$A$2:$T$1001,10,)</f>
        <v>3</v>
      </c>
      <c r="E610" t="str">
        <f>VLOOKUP(A610,'Remote work mental helath'!A610:T1609,19,FALSE)</f>
        <v>Good</v>
      </c>
      <c r="F610" t="str">
        <f>VLOOKUP(A610,'Remote work mental helath'!$A$2:$T$1001,18,)</f>
        <v>Weekly</v>
      </c>
      <c r="G610">
        <f>VLOOKUP(A610,'Remote work mental helath'!$A$2:$T$1001,15,FALSE)</f>
        <v>2</v>
      </c>
      <c r="H610" t="str">
        <f>VLOOKUP(A610,'Remote work mental helath'!$A$2:$T$1001,14,)</f>
        <v>Increase</v>
      </c>
      <c r="I610" t="str">
        <f>VLOOKUP(A610,'Remote work mental helath'!$A$2:$T$1001,16,)</f>
        <v>Unsatisfied</v>
      </c>
      <c r="J610" t="str">
        <f>VLOOKUP(A610,'Remote work mental helath'!$A$2:$T$1001,13,)</f>
        <v>Yes</v>
      </c>
      <c r="K610">
        <f>VLOOKUP(A610,'Remote work mental helath'!$A$2:$T$1001,17,FALSE)</f>
        <v>1</v>
      </c>
    </row>
    <row r="611" spans="1:11" x14ac:dyDescent="0.3">
      <c r="A611" t="s">
        <v>660</v>
      </c>
      <c r="B611" t="str">
        <f>VLOOKUP(A611,'Remote work mental helath'!$A$2:$T$1001,12,)</f>
        <v>Burnout</v>
      </c>
      <c r="C611" t="str">
        <f>VLOOKUP(A611,'Remote work mental helath'!$A$2:$T$1001,11,)</f>
        <v>Medium</v>
      </c>
      <c r="D611">
        <f>VLOOKUP('Mental Helath'!A611,'Remote work mental helath'!$A$2:$T$1001,10,)</f>
        <v>5</v>
      </c>
      <c r="E611" t="str">
        <f>VLOOKUP(A611,'Remote work mental helath'!A611:T1610,19,FALSE)</f>
        <v>Good</v>
      </c>
      <c r="F611" t="str">
        <f>VLOOKUP(A611,'Remote work mental helath'!$A$2:$T$1001,18,)</f>
        <v>Weekly</v>
      </c>
      <c r="G611">
        <f>VLOOKUP(A611,'Remote work mental helath'!$A$2:$T$1001,15,FALSE)</f>
        <v>2</v>
      </c>
      <c r="H611" t="str">
        <f>VLOOKUP(A611,'Remote work mental helath'!$A$2:$T$1001,14,)</f>
        <v>No Change</v>
      </c>
      <c r="I611" t="str">
        <f>VLOOKUP(A611,'Remote work mental helath'!$A$2:$T$1001,16,)</f>
        <v>Satisfied</v>
      </c>
      <c r="J611" t="str">
        <f>VLOOKUP(A611,'Remote work mental helath'!$A$2:$T$1001,13,)</f>
        <v>Yes</v>
      </c>
      <c r="K611">
        <f>VLOOKUP(A611,'Remote work mental helath'!$A$2:$T$1001,17,FALSE)</f>
        <v>5</v>
      </c>
    </row>
    <row r="612" spans="1:11" x14ac:dyDescent="0.3">
      <c r="A612" t="s">
        <v>661</v>
      </c>
      <c r="B612" t="str">
        <f>VLOOKUP(A612,'Remote work mental helath'!$A$2:$T$1001,12,)</f>
        <v>Burnout</v>
      </c>
      <c r="C612" t="str">
        <f>VLOOKUP(A612,'Remote work mental helath'!$A$2:$T$1001,11,)</f>
        <v>High</v>
      </c>
      <c r="D612">
        <f>VLOOKUP('Mental Helath'!A612,'Remote work mental helath'!$A$2:$T$1001,10,)</f>
        <v>4</v>
      </c>
      <c r="E612" t="str">
        <f>VLOOKUP(A612,'Remote work mental helath'!A612:T1611,19,FALSE)</f>
        <v>Poor</v>
      </c>
      <c r="F612" t="str">
        <f>VLOOKUP(A612,'Remote work mental helath'!$A$2:$T$1001,18,)</f>
        <v>Weekly</v>
      </c>
      <c r="G612">
        <f>VLOOKUP(A612,'Remote work mental helath'!$A$2:$T$1001,15,FALSE)</f>
        <v>2</v>
      </c>
      <c r="H612" t="str">
        <f>VLOOKUP(A612,'Remote work mental helath'!$A$2:$T$1001,14,)</f>
        <v>Decrease</v>
      </c>
      <c r="I612" t="str">
        <f>VLOOKUP(A612,'Remote work mental helath'!$A$2:$T$1001,16,)</f>
        <v>Unsatisfied</v>
      </c>
      <c r="J612" t="str">
        <f>VLOOKUP(A612,'Remote work mental helath'!$A$2:$T$1001,13,)</f>
        <v>Yes</v>
      </c>
      <c r="K612">
        <f>VLOOKUP(A612,'Remote work mental helath'!$A$2:$T$1001,17,FALSE)</f>
        <v>3</v>
      </c>
    </row>
    <row r="613" spans="1:11" x14ac:dyDescent="0.3">
      <c r="A613" t="s">
        <v>662</v>
      </c>
      <c r="B613" t="str">
        <f>VLOOKUP(A613,'Remote work mental helath'!$A$2:$T$1001,12,)</f>
        <v>Depression</v>
      </c>
      <c r="C613" t="str">
        <f>VLOOKUP(A613,'Remote work mental helath'!$A$2:$T$1001,11,)</f>
        <v>Medium</v>
      </c>
      <c r="D613">
        <f>VLOOKUP('Mental Helath'!A613,'Remote work mental helath'!$A$2:$T$1001,10,)</f>
        <v>3</v>
      </c>
      <c r="E613" t="str">
        <f>VLOOKUP(A613,'Remote work mental helath'!A613:T1612,19,FALSE)</f>
        <v>Poor</v>
      </c>
      <c r="F613" t="str">
        <f>VLOOKUP(A613,'Remote work mental helath'!$A$2:$T$1001,18,)</f>
        <v>Daily</v>
      </c>
      <c r="G613">
        <f>VLOOKUP(A613,'Remote work mental helath'!$A$2:$T$1001,15,FALSE)</f>
        <v>4</v>
      </c>
      <c r="H613" t="str">
        <f>VLOOKUP(A613,'Remote work mental helath'!$A$2:$T$1001,14,)</f>
        <v>Decrease</v>
      </c>
      <c r="I613" t="str">
        <f>VLOOKUP(A613,'Remote work mental helath'!$A$2:$T$1001,16,)</f>
        <v>Neutral</v>
      </c>
      <c r="J613" t="str">
        <f>VLOOKUP(A613,'Remote work mental helath'!$A$2:$T$1001,13,)</f>
        <v>No</v>
      </c>
      <c r="K613">
        <f>VLOOKUP(A613,'Remote work mental helath'!$A$2:$T$1001,17,FALSE)</f>
        <v>1</v>
      </c>
    </row>
    <row r="614" spans="1:11" x14ac:dyDescent="0.3">
      <c r="A614" t="s">
        <v>663</v>
      </c>
      <c r="B614" t="str">
        <f>VLOOKUP(A614,'Remote work mental helath'!$A$2:$T$1001,12,)</f>
        <v>Depression</v>
      </c>
      <c r="C614" t="str">
        <f>VLOOKUP(A614,'Remote work mental helath'!$A$2:$T$1001,11,)</f>
        <v>Medium</v>
      </c>
      <c r="D614">
        <f>VLOOKUP('Mental Helath'!A614,'Remote work mental helath'!$A$2:$T$1001,10,)</f>
        <v>4</v>
      </c>
      <c r="E614" t="str">
        <f>VLOOKUP(A614,'Remote work mental helath'!A614:T1613,19,FALSE)</f>
        <v>Average</v>
      </c>
      <c r="F614" t="str">
        <f>VLOOKUP(A614,'Remote work mental helath'!$A$2:$T$1001,18,)</f>
        <v>None</v>
      </c>
      <c r="G614">
        <f>VLOOKUP(A614,'Remote work mental helath'!$A$2:$T$1001,15,FALSE)</f>
        <v>3</v>
      </c>
      <c r="H614" t="str">
        <f>VLOOKUP(A614,'Remote work mental helath'!$A$2:$T$1001,14,)</f>
        <v>Decrease</v>
      </c>
      <c r="I614" t="str">
        <f>VLOOKUP(A614,'Remote work mental helath'!$A$2:$T$1001,16,)</f>
        <v>Satisfied</v>
      </c>
      <c r="J614" t="str">
        <f>VLOOKUP(A614,'Remote work mental helath'!$A$2:$T$1001,13,)</f>
        <v>No</v>
      </c>
      <c r="K614">
        <f>VLOOKUP(A614,'Remote work mental helath'!$A$2:$T$1001,17,FALSE)</f>
        <v>3</v>
      </c>
    </row>
    <row r="615" spans="1:11" x14ac:dyDescent="0.3">
      <c r="A615" t="s">
        <v>664</v>
      </c>
      <c r="B615" t="str">
        <f>VLOOKUP(A615,'Remote work mental helath'!$A$2:$T$1001,12,)</f>
        <v>Anxiety</v>
      </c>
      <c r="C615" t="str">
        <f>VLOOKUP(A615,'Remote work mental helath'!$A$2:$T$1001,11,)</f>
        <v>High</v>
      </c>
      <c r="D615">
        <f>VLOOKUP('Mental Helath'!A615,'Remote work mental helath'!$A$2:$T$1001,10,)</f>
        <v>2</v>
      </c>
      <c r="E615" t="str">
        <f>VLOOKUP(A615,'Remote work mental helath'!A615:T1614,19,FALSE)</f>
        <v>Poor</v>
      </c>
      <c r="F615" t="str">
        <f>VLOOKUP(A615,'Remote work mental helath'!$A$2:$T$1001,18,)</f>
        <v>None</v>
      </c>
      <c r="G615">
        <f>VLOOKUP(A615,'Remote work mental helath'!$A$2:$T$1001,15,FALSE)</f>
        <v>2</v>
      </c>
      <c r="H615" t="str">
        <f>VLOOKUP(A615,'Remote work mental helath'!$A$2:$T$1001,14,)</f>
        <v>No Change</v>
      </c>
      <c r="I615" t="str">
        <f>VLOOKUP(A615,'Remote work mental helath'!$A$2:$T$1001,16,)</f>
        <v>Unsatisfied</v>
      </c>
      <c r="J615" t="str">
        <f>VLOOKUP(A615,'Remote work mental helath'!$A$2:$T$1001,13,)</f>
        <v>Yes</v>
      </c>
      <c r="K615">
        <f>VLOOKUP(A615,'Remote work mental helath'!$A$2:$T$1001,17,FALSE)</f>
        <v>4</v>
      </c>
    </row>
    <row r="616" spans="1:11" x14ac:dyDescent="0.3">
      <c r="A616" t="s">
        <v>665</v>
      </c>
      <c r="B616" t="str">
        <f>VLOOKUP(A616,'Remote work mental helath'!$A$2:$T$1001,12,)</f>
        <v>Depression</v>
      </c>
      <c r="C616" t="str">
        <f>VLOOKUP(A616,'Remote work mental helath'!$A$2:$T$1001,11,)</f>
        <v>Medium</v>
      </c>
      <c r="D616">
        <f>VLOOKUP('Mental Helath'!A616,'Remote work mental helath'!$A$2:$T$1001,10,)</f>
        <v>4</v>
      </c>
      <c r="E616" t="str">
        <f>VLOOKUP(A616,'Remote work mental helath'!A616:T1615,19,FALSE)</f>
        <v>Good</v>
      </c>
      <c r="F616" t="str">
        <f>VLOOKUP(A616,'Remote work mental helath'!$A$2:$T$1001,18,)</f>
        <v>Daily</v>
      </c>
      <c r="G616">
        <f>VLOOKUP(A616,'Remote work mental helath'!$A$2:$T$1001,15,FALSE)</f>
        <v>3</v>
      </c>
      <c r="H616" t="str">
        <f>VLOOKUP(A616,'Remote work mental helath'!$A$2:$T$1001,14,)</f>
        <v>No Change</v>
      </c>
      <c r="I616" t="str">
        <f>VLOOKUP(A616,'Remote work mental helath'!$A$2:$T$1001,16,)</f>
        <v>Unsatisfied</v>
      </c>
      <c r="J616" t="str">
        <f>VLOOKUP(A616,'Remote work mental helath'!$A$2:$T$1001,13,)</f>
        <v>No</v>
      </c>
      <c r="K616">
        <f>VLOOKUP(A616,'Remote work mental helath'!$A$2:$T$1001,17,FALSE)</f>
        <v>3</v>
      </c>
    </row>
    <row r="617" spans="1:11" x14ac:dyDescent="0.3">
      <c r="A617" t="s">
        <v>666</v>
      </c>
      <c r="B617" t="str">
        <f>VLOOKUP(A617,'Remote work mental helath'!$A$2:$T$1001,12,)</f>
        <v>None</v>
      </c>
      <c r="C617" t="str">
        <f>VLOOKUP(A617,'Remote work mental helath'!$A$2:$T$1001,11,)</f>
        <v>Medium</v>
      </c>
      <c r="D617">
        <f>VLOOKUP('Mental Helath'!A617,'Remote work mental helath'!$A$2:$T$1001,10,)</f>
        <v>3</v>
      </c>
      <c r="E617" t="str">
        <f>VLOOKUP(A617,'Remote work mental helath'!A617:T1616,19,FALSE)</f>
        <v>Poor</v>
      </c>
      <c r="F617" t="str">
        <f>VLOOKUP(A617,'Remote work mental helath'!$A$2:$T$1001,18,)</f>
        <v>None</v>
      </c>
      <c r="G617">
        <f>VLOOKUP(A617,'Remote work mental helath'!$A$2:$T$1001,15,FALSE)</f>
        <v>5</v>
      </c>
      <c r="H617" t="str">
        <f>VLOOKUP(A617,'Remote work mental helath'!$A$2:$T$1001,14,)</f>
        <v>No Change</v>
      </c>
      <c r="I617" t="str">
        <f>VLOOKUP(A617,'Remote work mental helath'!$A$2:$T$1001,16,)</f>
        <v>Unsatisfied</v>
      </c>
      <c r="J617" t="str">
        <f>VLOOKUP(A617,'Remote work mental helath'!$A$2:$T$1001,13,)</f>
        <v>No</v>
      </c>
      <c r="K617">
        <f>VLOOKUP(A617,'Remote work mental helath'!$A$2:$T$1001,17,FALSE)</f>
        <v>4</v>
      </c>
    </row>
    <row r="618" spans="1:11" x14ac:dyDescent="0.3">
      <c r="A618" t="s">
        <v>667</v>
      </c>
      <c r="B618" t="str">
        <f>VLOOKUP(A618,'Remote work mental helath'!$A$2:$T$1001,12,)</f>
        <v>Burnout</v>
      </c>
      <c r="C618" t="str">
        <f>VLOOKUP(A618,'Remote work mental helath'!$A$2:$T$1001,11,)</f>
        <v>Medium</v>
      </c>
      <c r="D618">
        <f>VLOOKUP('Mental Helath'!A618,'Remote work mental helath'!$A$2:$T$1001,10,)</f>
        <v>1</v>
      </c>
      <c r="E618" t="str">
        <f>VLOOKUP(A618,'Remote work mental helath'!A618:T1617,19,FALSE)</f>
        <v>Poor</v>
      </c>
      <c r="F618" t="str">
        <f>VLOOKUP(A618,'Remote work mental helath'!$A$2:$T$1001,18,)</f>
        <v>None</v>
      </c>
      <c r="G618">
        <f>VLOOKUP(A618,'Remote work mental helath'!$A$2:$T$1001,15,FALSE)</f>
        <v>5</v>
      </c>
      <c r="H618" t="str">
        <f>VLOOKUP(A618,'Remote work mental helath'!$A$2:$T$1001,14,)</f>
        <v>No Change</v>
      </c>
      <c r="I618" t="str">
        <f>VLOOKUP(A618,'Remote work mental helath'!$A$2:$T$1001,16,)</f>
        <v>Satisfied</v>
      </c>
      <c r="J618" t="str">
        <f>VLOOKUP(A618,'Remote work mental helath'!$A$2:$T$1001,13,)</f>
        <v>No</v>
      </c>
      <c r="K618">
        <f>VLOOKUP(A618,'Remote work mental helath'!$A$2:$T$1001,17,FALSE)</f>
        <v>2</v>
      </c>
    </row>
    <row r="619" spans="1:11" x14ac:dyDescent="0.3">
      <c r="A619" t="s">
        <v>668</v>
      </c>
      <c r="B619" t="str">
        <f>VLOOKUP(A619,'Remote work mental helath'!$A$2:$T$1001,12,)</f>
        <v>Burnout</v>
      </c>
      <c r="C619" t="str">
        <f>VLOOKUP(A619,'Remote work mental helath'!$A$2:$T$1001,11,)</f>
        <v>High</v>
      </c>
      <c r="D619">
        <f>VLOOKUP('Mental Helath'!A619,'Remote work mental helath'!$A$2:$T$1001,10,)</f>
        <v>4</v>
      </c>
      <c r="E619" t="str">
        <f>VLOOKUP(A619,'Remote work mental helath'!A619:T1618,19,FALSE)</f>
        <v>Average</v>
      </c>
      <c r="F619" t="str">
        <f>VLOOKUP(A619,'Remote work mental helath'!$A$2:$T$1001,18,)</f>
        <v>Weekly</v>
      </c>
      <c r="G619">
        <f>VLOOKUP(A619,'Remote work mental helath'!$A$2:$T$1001,15,FALSE)</f>
        <v>4</v>
      </c>
      <c r="H619" t="str">
        <f>VLOOKUP(A619,'Remote work mental helath'!$A$2:$T$1001,14,)</f>
        <v>Decrease</v>
      </c>
      <c r="I619" t="str">
        <f>VLOOKUP(A619,'Remote work mental helath'!$A$2:$T$1001,16,)</f>
        <v>Unsatisfied</v>
      </c>
      <c r="J619" t="str">
        <f>VLOOKUP(A619,'Remote work mental helath'!$A$2:$T$1001,13,)</f>
        <v>No</v>
      </c>
      <c r="K619">
        <f>VLOOKUP(A619,'Remote work mental helath'!$A$2:$T$1001,17,FALSE)</f>
        <v>4</v>
      </c>
    </row>
    <row r="620" spans="1:11" x14ac:dyDescent="0.3">
      <c r="A620" t="s">
        <v>669</v>
      </c>
      <c r="B620" t="str">
        <f>VLOOKUP(A620,'Remote work mental helath'!$A$2:$T$1001,12,)</f>
        <v>None</v>
      </c>
      <c r="C620" t="str">
        <f>VLOOKUP(A620,'Remote work mental helath'!$A$2:$T$1001,11,)</f>
        <v>Low</v>
      </c>
      <c r="D620">
        <f>VLOOKUP('Mental Helath'!A620,'Remote work mental helath'!$A$2:$T$1001,10,)</f>
        <v>2</v>
      </c>
      <c r="E620" t="str">
        <f>VLOOKUP(A620,'Remote work mental helath'!A620:T1619,19,FALSE)</f>
        <v>Average</v>
      </c>
      <c r="F620" t="str">
        <f>VLOOKUP(A620,'Remote work mental helath'!$A$2:$T$1001,18,)</f>
        <v>Daily</v>
      </c>
      <c r="G620">
        <f>VLOOKUP(A620,'Remote work mental helath'!$A$2:$T$1001,15,FALSE)</f>
        <v>1</v>
      </c>
      <c r="H620" t="str">
        <f>VLOOKUP(A620,'Remote work mental helath'!$A$2:$T$1001,14,)</f>
        <v>Decrease</v>
      </c>
      <c r="I620" t="str">
        <f>VLOOKUP(A620,'Remote work mental helath'!$A$2:$T$1001,16,)</f>
        <v>Satisfied</v>
      </c>
      <c r="J620" t="str">
        <f>VLOOKUP(A620,'Remote work mental helath'!$A$2:$T$1001,13,)</f>
        <v>No</v>
      </c>
      <c r="K620">
        <f>VLOOKUP(A620,'Remote work mental helath'!$A$2:$T$1001,17,FALSE)</f>
        <v>4</v>
      </c>
    </row>
    <row r="621" spans="1:11" x14ac:dyDescent="0.3">
      <c r="A621" t="s">
        <v>670</v>
      </c>
      <c r="B621" t="str">
        <f>VLOOKUP(A621,'Remote work mental helath'!$A$2:$T$1001,12,)</f>
        <v>Burnout</v>
      </c>
      <c r="C621" t="str">
        <f>VLOOKUP(A621,'Remote work mental helath'!$A$2:$T$1001,11,)</f>
        <v>High</v>
      </c>
      <c r="D621">
        <f>VLOOKUP('Mental Helath'!A621,'Remote work mental helath'!$A$2:$T$1001,10,)</f>
        <v>5</v>
      </c>
      <c r="E621" t="str">
        <f>VLOOKUP(A621,'Remote work mental helath'!A621:T1620,19,FALSE)</f>
        <v>Poor</v>
      </c>
      <c r="F621" t="str">
        <f>VLOOKUP(A621,'Remote work mental helath'!$A$2:$T$1001,18,)</f>
        <v>Weekly</v>
      </c>
      <c r="G621">
        <f>VLOOKUP(A621,'Remote work mental helath'!$A$2:$T$1001,15,FALSE)</f>
        <v>4</v>
      </c>
      <c r="H621" t="str">
        <f>VLOOKUP(A621,'Remote work mental helath'!$A$2:$T$1001,14,)</f>
        <v>Decrease</v>
      </c>
      <c r="I621" t="str">
        <f>VLOOKUP(A621,'Remote work mental helath'!$A$2:$T$1001,16,)</f>
        <v>Unsatisfied</v>
      </c>
      <c r="J621" t="str">
        <f>VLOOKUP(A621,'Remote work mental helath'!$A$2:$T$1001,13,)</f>
        <v>No</v>
      </c>
      <c r="K621">
        <f>VLOOKUP(A621,'Remote work mental helath'!$A$2:$T$1001,17,FALSE)</f>
        <v>4</v>
      </c>
    </row>
    <row r="622" spans="1:11" x14ac:dyDescent="0.3">
      <c r="A622" t="s">
        <v>671</v>
      </c>
      <c r="B622" t="str">
        <f>VLOOKUP(A622,'Remote work mental helath'!$A$2:$T$1001,12,)</f>
        <v>None</v>
      </c>
      <c r="C622" t="str">
        <f>VLOOKUP(A622,'Remote work mental helath'!$A$2:$T$1001,11,)</f>
        <v>High</v>
      </c>
      <c r="D622">
        <f>VLOOKUP('Mental Helath'!A622,'Remote work mental helath'!$A$2:$T$1001,10,)</f>
        <v>3</v>
      </c>
      <c r="E622" t="str">
        <f>VLOOKUP(A622,'Remote work mental helath'!A622:T1621,19,FALSE)</f>
        <v>Poor</v>
      </c>
      <c r="F622" t="str">
        <f>VLOOKUP(A622,'Remote work mental helath'!$A$2:$T$1001,18,)</f>
        <v>None</v>
      </c>
      <c r="G622">
        <f>VLOOKUP(A622,'Remote work mental helath'!$A$2:$T$1001,15,FALSE)</f>
        <v>3</v>
      </c>
      <c r="H622" t="str">
        <f>VLOOKUP(A622,'Remote work mental helath'!$A$2:$T$1001,14,)</f>
        <v>Decrease</v>
      </c>
      <c r="I622" t="str">
        <f>VLOOKUP(A622,'Remote work mental helath'!$A$2:$T$1001,16,)</f>
        <v>Neutral</v>
      </c>
      <c r="J622" t="str">
        <f>VLOOKUP(A622,'Remote work mental helath'!$A$2:$T$1001,13,)</f>
        <v>No</v>
      </c>
      <c r="K622">
        <f>VLOOKUP(A622,'Remote work mental helath'!$A$2:$T$1001,17,FALSE)</f>
        <v>3</v>
      </c>
    </row>
    <row r="623" spans="1:11" x14ac:dyDescent="0.3">
      <c r="A623" t="s">
        <v>672</v>
      </c>
      <c r="B623" t="str">
        <f>VLOOKUP(A623,'Remote work mental helath'!$A$2:$T$1001,12,)</f>
        <v>Depression</v>
      </c>
      <c r="C623" t="str">
        <f>VLOOKUP(A623,'Remote work mental helath'!$A$2:$T$1001,11,)</f>
        <v>Low</v>
      </c>
      <c r="D623">
        <f>VLOOKUP('Mental Helath'!A623,'Remote work mental helath'!$A$2:$T$1001,10,)</f>
        <v>5</v>
      </c>
      <c r="E623" t="str">
        <f>VLOOKUP(A623,'Remote work mental helath'!A623:T1622,19,FALSE)</f>
        <v>Poor</v>
      </c>
      <c r="F623" t="str">
        <f>VLOOKUP(A623,'Remote work mental helath'!$A$2:$T$1001,18,)</f>
        <v>Weekly</v>
      </c>
      <c r="G623">
        <f>VLOOKUP(A623,'Remote work mental helath'!$A$2:$T$1001,15,FALSE)</f>
        <v>1</v>
      </c>
      <c r="H623" t="str">
        <f>VLOOKUP(A623,'Remote work mental helath'!$A$2:$T$1001,14,)</f>
        <v>Increase</v>
      </c>
      <c r="I623" t="str">
        <f>VLOOKUP(A623,'Remote work mental helath'!$A$2:$T$1001,16,)</f>
        <v>Unsatisfied</v>
      </c>
      <c r="J623" t="str">
        <f>VLOOKUP(A623,'Remote work mental helath'!$A$2:$T$1001,13,)</f>
        <v>Yes</v>
      </c>
      <c r="K623">
        <f>VLOOKUP(A623,'Remote work mental helath'!$A$2:$T$1001,17,FALSE)</f>
        <v>1</v>
      </c>
    </row>
    <row r="624" spans="1:11" x14ac:dyDescent="0.3">
      <c r="A624" t="s">
        <v>673</v>
      </c>
      <c r="B624" t="str">
        <f>VLOOKUP(A624,'Remote work mental helath'!$A$2:$T$1001,12,)</f>
        <v>Anxiety</v>
      </c>
      <c r="C624" t="str">
        <f>VLOOKUP(A624,'Remote work mental helath'!$A$2:$T$1001,11,)</f>
        <v>Medium</v>
      </c>
      <c r="D624">
        <f>VLOOKUP('Mental Helath'!A624,'Remote work mental helath'!$A$2:$T$1001,10,)</f>
        <v>5</v>
      </c>
      <c r="E624" t="str">
        <f>VLOOKUP(A624,'Remote work mental helath'!A624:T1623,19,FALSE)</f>
        <v>Poor</v>
      </c>
      <c r="F624" t="str">
        <f>VLOOKUP(A624,'Remote work mental helath'!$A$2:$T$1001,18,)</f>
        <v>None</v>
      </c>
      <c r="G624">
        <f>VLOOKUP(A624,'Remote work mental helath'!$A$2:$T$1001,15,FALSE)</f>
        <v>5</v>
      </c>
      <c r="H624" t="str">
        <f>VLOOKUP(A624,'Remote work mental helath'!$A$2:$T$1001,14,)</f>
        <v>No Change</v>
      </c>
      <c r="I624" t="str">
        <f>VLOOKUP(A624,'Remote work mental helath'!$A$2:$T$1001,16,)</f>
        <v>Neutral</v>
      </c>
      <c r="J624" t="str">
        <f>VLOOKUP(A624,'Remote work mental helath'!$A$2:$T$1001,13,)</f>
        <v>No</v>
      </c>
      <c r="K624">
        <f>VLOOKUP(A624,'Remote work mental helath'!$A$2:$T$1001,17,FALSE)</f>
        <v>5</v>
      </c>
    </row>
    <row r="625" spans="1:11" x14ac:dyDescent="0.3">
      <c r="A625" t="s">
        <v>674</v>
      </c>
      <c r="B625" t="str">
        <f>VLOOKUP(A625,'Remote work mental helath'!$A$2:$T$1001,12,)</f>
        <v>Depression</v>
      </c>
      <c r="C625" t="str">
        <f>VLOOKUP(A625,'Remote work mental helath'!$A$2:$T$1001,11,)</f>
        <v>High</v>
      </c>
      <c r="D625">
        <f>VLOOKUP('Mental Helath'!A625,'Remote work mental helath'!$A$2:$T$1001,10,)</f>
        <v>5</v>
      </c>
      <c r="E625" t="str">
        <f>VLOOKUP(A625,'Remote work mental helath'!A625:T1624,19,FALSE)</f>
        <v>Good</v>
      </c>
      <c r="F625" t="str">
        <f>VLOOKUP(A625,'Remote work mental helath'!$A$2:$T$1001,18,)</f>
        <v>None</v>
      </c>
      <c r="G625">
        <f>VLOOKUP(A625,'Remote work mental helath'!$A$2:$T$1001,15,FALSE)</f>
        <v>4</v>
      </c>
      <c r="H625" t="str">
        <f>VLOOKUP(A625,'Remote work mental helath'!$A$2:$T$1001,14,)</f>
        <v>No Change</v>
      </c>
      <c r="I625" t="str">
        <f>VLOOKUP(A625,'Remote work mental helath'!$A$2:$T$1001,16,)</f>
        <v>Unsatisfied</v>
      </c>
      <c r="J625" t="str">
        <f>VLOOKUP(A625,'Remote work mental helath'!$A$2:$T$1001,13,)</f>
        <v>Yes</v>
      </c>
      <c r="K625">
        <f>VLOOKUP(A625,'Remote work mental helath'!$A$2:$T$1001,17,FALSE)</f>
        <v>1</v>
      </c>
    </row>
    <row r="626" spans="1:11" x14ac:dyDescent="0.3">
      <c r="A626" t="s">
        <v>675</v>
      </c>
      <c r="B626" t="str">
        <f>VLOOKUP(A626,'Remote work mental helath'!$A$2:$T$1001,12,)</f>
        <v>Anxiety</v>
      </c>
      <c r="C626" t="str">
        <f>VLOOKUP(A626,'Remote work mental helath'!$A$2:$T$1001,11,)</f>
        <v>High</v>
      </c>
      <c r="D626">
        <f>VLOOKUP('Mental Helath'!A626,'Remote work mental helath'!$A$2:$T$1001,10,)</f>
        <v>4</v>
      </c>
      <c r="E626" t="str">
        <f>VLOOKUP(A626,'Remote work mental helath'!A626:T1625,19,FALSE)</f>
        <v>Poor</v>
      </c>
      <c r="F626" t="str">
        <f>VLOOKUP(A626,'Remote work mental helath'!$A$2:$T$1001,18,)</f>
        <v>Weekly</v>
      </c>
      <c r="G626">
        <f>VLOOKUP(A626,'Remote work mental helath'!$A$2:$T$1001,15,FALSE)</f>
        <v>3</v>
      </c>
      <c r="H626" t="str">
        <f>VLOOKUP(A626,'Remote work mental helath'!$A$2:$T$1001,14,)</f>
        <v>No Change</v>
      </c>
      <c r="I626" t="str">
        <f>VLOOKUP(A626,'Remote work mental helath'!$A$2:$T$1001,16,)</f>
        <v>Satisfied</v>
      </c>
      <c r="J626" t="str">
        <f>VLOOKUP(A626,'Remote work mental helath'!$A$2:$T$1001,13,)</f>
        <v>Yes</v>
      </c>
      <c r="K626">
        <f>VLOOKUP(A626,'Remote work mental helath'!$A$2:$T$1001,17,FALSE)</f>
        <v>2</v>
      </c>
    </row>
    <row r="627" spans="1:11" x14ac:dyDescent="0.3">
      <c r="A627" t="s">
        <v>676</v>
      </c>
      <c r="B627" t="str">
        <f>VLOOKUP(A627,'Remote work mental helath'!$A$2:$T$1001,12,)</f>
        <v>Anxiety</v>
      </c>
      <c r="C627" t="str">
        <f>VLOOKUP(A627,'Remote work mental helath'!$A$2:$T$1001,11,)</f>
        <v>Low</v>
      </c>
      <c r="D627">
        <f>VLOOKUP('Mental Helath'!A627,'Remote work mental helath'!$A$2:$T$1001,10,)</f>
        <v>1</v>
      </c>
      <c r="E627" t="str">
        <f>VLOOKUP(A627,'Remote work mental helath'!A627:T1626,19,FALSE)</f>
        <v>Poor</v>
      </c>
      <c r="F627" t="str">
        <f>VLOOKUP(A627,'Remote work mental helath'!$A$2:$T$1001,18,)</f>
        <v>None</v>
      </c>
      <c r="G627">
        <f>VLOOKUP(A627,'Remote work mental helath'!$A$2:$T$1001,15,FALSE)</f>
        <v>3</v>
      </c>
      <c r="H627" t="str">
        <f>VLOOKUP(A627,'Remote work mental helath'!$A$2:$T$1001,14,)</f>
        <v>Decrease</v>
      </c>
      <c r="I627" t="str">
        <f>VLOOKUP(A627,'Remote work mental helath'!$A$2:$T$1001,16,)</f>
        <v>Unsatisfied</v>
      </c>
      <c r="J627" t="str">
        <f>VLOOKUP(A627,'Remote work mental helath'!$A$2:$T$1001,13,)</f>
        <v>No</v>
      </c>
      <c r="K627">
        <f>VLOOKUP(A627,'Remote work mental helath'!$A$2:$T$1001,17,FALSE)</f>
        <v>1</v>
      </c>
    </row>
    <row r="628" spans="1:11" x14ac:dyDescent="0.3">
      <c r="A628" t="s">
        <v>677</v>
      </c>
      <c r="B628" t="str">
        <f>VLOOKUP(A628,'Remote work mental helath'!$A$2:$T$1001,12,)</f>
        <v>Depression</v>
      </c>
      <c r="C628" t="str">
        <f>VLOOKUP(A628,'Remote work mental helath'!$A$2:$T$1001,11,)</f>
        <v>Medium</v>
      </c>
      <c r="D628">
        <f>VLOOKUP('Mental Helath'!A628,'Remote work mental helath'!$A$2:$T$1001,10,)</f>
        <v>2</v>
      </c>
      <c r="E628" t="str">
        <f>VLOOKUP(A628,'Remote work mental helath'!A628:T1627,19,FALSE)</f>
        <v>Good</v>
      </c>
      <c r="F628" t="str">
        <f>VLOOKUP(A628,'Remote work mental helath'!$A$2:$T$1001,18,)</f>
        <v>None</v>
      </c>
      <c r="G628">
        <f>VLOOKUP(A628,'Remote work mental helath'!$A$2:$T$1001,15,FALSE)</f>
        <v>3</v>
      </c>
      <c r="H628" t="str">
        <f>VLOOKUP(A628,'Remote work mental helath'!$A$2:$T$1001,14,)</f>
        <v>Decrease</v>
      </c>
      <c r="I628" t="str">
        <f>VLOOKUP(A628,'Remote work mental helath'!$A$2:$T$1001,16,)</f>
        <v>Satisfied</v>
      </c>
      <c r="J628" t="str">
        <f>VLOOKUP(A628,'Remote work mental helath'!$A$2:$T$1001,13,)</f>
        <v>Yes</v>
      </c>
      <c r="K628">
        <f>VLOOKUP(A628,'Remote work mental helath'!$A$2:$T$1001,17,FALSE)</f>
        <v>3</v>
      </c>
    </row>
    <row r="629" spans="1:11" x14ac:dyDescent="0.3">
      <c r="A629" t="s">
        <v>678</v>
      </c>
      <c r="B629" t="str">
        <f>VLOOKUP(A629,'Remote work mental helath'!$A$2:$T$1001,12,)</f>
        <v>Anxiety</v>
      </c>
      <c r="C629" t="str">
        <f>VLOOKUP(A629,'Remote work mental helath'!$A$2:$T$1001,11,)</f>
        <v>Low</v>
      </c>
      <c r="D629">
        <f>VLOOKUP('Mental Helath'!A629,'Remote work mental helath'!$A$2:$T$1001,10,)</f>
        <v>1</v>
      </c>
      <c r="E629" t="str">
        <f>VLOOKUP(A629,'Remote work mental helath'!A629:T1628,19,FALSE)</f>
        <v>Good</v>
      </c>
      <c r="F629" t="str">
        <f>VLOOKUP(A629,'Remote work mental helath'!$A$2:$T$1001,18,)</f>
        <v>Daily</v>
      </c>
      <c r="G629">
        <f>VLOOKUP(A629,'Remote work mental helath'!$A$2:$T$1001,15,FALSE)</f>
        <v>1</v>
      </c>
      <c r="H629" t="str">
        <f>VLOOKUP(A629,'Remote work mental helath'!$A$2:$T$1001,14,)</f>
        <v>Increase</v>
      </c>
      <c r="I629" t="str">
        <f>VLOOKUP(A629,'Remote work mental helath'!$A$2:$T$1001,16,)</f>
        <v>Unsatisfied</v>
      </c>
      <c r="J629" t="str">
        <f>VLOOKUP(A629,'Remote work mental helath'!$A$2:$T$1001,13,)</f>
        <v>Yes</v>
      </c>
      <c r="K629">
        <f>VLOOKUP(A629,'Remote work mental helath'!$A$2:$T$1001,17,FALSE)</f>
        <v>1</v>
      </c>
    </row>
    <row r="630" spans="1:11" x14ac:dyDescent="0.3">
      <c r="A630" t="s">
        <v>679</v>
      </c>
      <c r="B630" t="str">
        <f>VLOOKUP(A630,'Remote work mental helath'!$A$2:$T$1001,12,)</f>
        <v>Depression</v>
      </c>
      <c r="C630" t="str">
        <f>VLOOKUP(A630,'Remote work mental helath'!$A$2:$T$1001,11,)</f>
        <v>High</v>
      </c>
      <c r="D630">
        <f>VLOOKUP('Mental Helath'!A630,'Remote work mental helath'!$A$2:$T$1001,10,)</f>
        <v>1</v>
      </c>
      <c r="E630" t="str">
        <f>VLOOKUP(A630,'Remote work mental helath'!A630:T1629,19,FALSE)</f>
        <v>Average</v>
      </c>
      <c r="F630" t="str">
        <f>VLOOKUP(A630,'Remote work mental helath'!$A$2:$T$1001,18,)</f>
        <v>Daily</v>
      </c>
      <c r="G630">
        <f>VLOOKUP(A630,'Remote work mental helath'!$A$2:$T$1001,15,FALSE)</f>
        <v>1</v>
      </c>
      <c r="H630" t="str">
        <f>VLOOKUP(A630,'Remote work mental helath'!$A$2:$T$1001,14,)</f>
        <v>No Change</v>
      </c>
      <c r="I630" t="str">
        <f>VLOOKUP(A630,'Remote work mental helath'!$A$2:$T$1001,16,)</f>
        <v>Satisfied</v>
      </c>
      <c r="J630" t="str">
        <f>VLOOKUP(A630,'Remote work mental helath'!$A$2:$T$1001,13,)</f>
        <v>Yes</v>
      </c>
      <c r="K630">
        <f>VLOOKUP(A630,'Remote work mental helath'!$A$2:$T$1001,17,FALSE)</f>
        <v>3</v>
      </c>
    </row>
    <row r="631" spans="1:11" x14ac:dyDescent="0.3">
      <c r="A631" t="s">
        <v>680</v>
      </c>
      <c r="B631" t="str">
        <f>VLOOKUP(A631,'Remote work mental helath'!$A$2:$T$1001,12,)</f>
        <v>Anxiety</v>
      </c>
      <c r="C631" t="str">
        <f>VLOOKUP(A631,'Remote work mental helath'!$A$2:$T$1001,11,)</f>
        <v>Low</v>
      </c>
      <c r="D631">
        <f>VLOOKUP('Mental Helath'!A631,'Remote work mental helath'!$A$2:$T$1001,10,)</f>
        <v>4</v>
      </c>
      <c r="E631" t="str">
        <f>VLOOKUP(A631,'Remote work mental helath'!A631:T1630,19,FALSE)</f>
        <v>Average</v>
      </c>
      <c r="F631" t="str">
        <f>VLOOKUP(A631,'Remote work mental helath'!$A$2:$T$1001,18,)</f>
        <v>None</v>
      </c>
      <c r="G631">
        <f>VLOOKUP(A631,'Remote work mental helath'!$A$2:$T$1001,15,FALSE)</f>
        <v>5</v>
      </c>
      <c r="H631" t="str">
        <f>VLOOKUP(A631,'Remote work mental helath'!$A$2:$T$1001,14,)</f>
        <v>Increase</v>
      </c>
      <c r="I631" t="str">
        <f>VLOOKUP(A631,'Remote work mental helath'!$A$2:$T$1001,16,)</f>
        <v>Unsatisfied</v>
      </c>
      <c r="J631" t="str">
        <f>VLOOKUP(A631,'Remote work mental helath'!$A$2:$T$1001,13,)</f>
        <v>Yes</v>
      </c>
      <c r="K631">
        <f>VLOOKUP(A631,'Remote work mental helath'!$A$2:$T$1001,17,FALSE)</f>
        <v>4</v>
      </c>
    </row>
    <row r="632" spans="1:11" x14ac:dyDescent="0.3">
      <c r="A632" t="s">
        <v>681</v>
      </c>
      <c r="B632" t="str">
        <f>VLOOKUP(A632,'Remote work mental helath'!$A$2:$T$1001,12,)</f>
        <v>Burnout</v>
      </c>
      <c r="C632" t="str">
        <f>VLOOKUP(A632,'Remote work mental helath'!$A$2:$T$1001,11,)</f>
        <v>Low</v>
      </c>
      <c r="D632">
        <f>VLOOKUP('Mental Helath'!A632,'Remote work mental helath'!$A$2:$T$1001,10,)</f>
        <v>5</v>
      </c>
      <c r="E632" t="str">
        <f>VLOOKUP(A632,'Remote work mental helath'!A632:T1631,19,FALSE)</f>
        <v>Poor</v>
      </c>
      <c r="F632" t="str">
        <f>VLOOKUP(A632,'Remote work mental helath'!$A$2:$T$1001,18,)</f>
        <v>Weekly</v>
      </c>
      <c r="G632">
        <f>VLOOKUP(A632,'Remote work mental helath'!$A$2:$T$1001,15,FALSE)</f>
        <v>2</v>
      </c>
      <c r="H632" t="str">
        <f>VLOOKUP(A632,'Remote work mental helath'!$A$2:$T$1001,14,)</f>
        <v>Decrease</v>
      </c>
      <c r="I632" t="str">
        <f>VLOOKUP(A632,'Remote work mental helath'!$A$2:$T$1001,16,)</f>
        <v>Satisfied</v>
      </c>
      <c r="J632" t="str">
        <f>VLOOKUP(A632,'Remote work mental helath'!$A$2:$T$1001,13,)</f>
        <v>No</v>
      </c>
      <c r="K632">
        <f>VLOOKUP(A632,'Remote work mental helath'!$A$2:$T$1001,17,FALSE)</f>
        <v>4</v>
      </c>
    </row>
    <row r="633" spans="1:11" x14ac:dyDescent="0.3">
      <c r="A633" t="s">
        <v>682</v>
      </c>
      <c r="B633" t="str">
        <f>VLOOKUP(A633,'Remote work mental helath'!$A$2:$T$1001,12,)</f>
        <v>Depression</v>
      </c>
      <c r="C633" t="str">
        <f>VLOOKUP(A633,'Remote work mental helath'!$A$2:$T$1001,11,)</f>
        <v>Medium</v>
      </c>
      <c r="D633">
        <f>VLOOKUP('Mental Helath'!A633,'Remote work mental helath'!$A$2:$T$1001,10,)</f>
        <v>2</v>
      </c>
      <c r="E633" t="str">
        <f>VLOOKUP(A633,'Remote work mental helath'!A633:T1632,19,FALSE)</f>
        <v>Average</v>
      </c>
      <c r="F633" t="str">
        <f>VLOOKUP(A633,'Remote work mental helath'!$A$2:$T$1001,18,)</f>
        <v>None</v>
      </c>
      <c r="G633">
        <f>VLOOKUP(A633,'Remote work mental helath'!$A$2:$T$1001,15,FALSE)</f>
        <v>1</v>
      </c>
      <c r="H633" t="str">
        <f>VLOOKUP(A633,'Remote work mental helath'!$A$2:$T$1001,14,)</f>
        <v>Decrease</v>
      </c>
      <c r="I633" t="str">
        <f>VLOOKUP(A633,'Remote work mental helath'!$A$2:$T$1001,16,)</f>
        <v>Unsatisfied</v>
      </c>
      <c r="J633" t="str">
        <f>VLOOKUP(A633,'Remote work mental helath'!$A$2:$T$1001,13,)</f>
        <v>Yes</v>
      </c>
      <c r="K633">
        <f>VLOOKUP(A633,'Remote work mental helath'!$A$2:$T$1001,17,FALSE)</f>
        <v>4</v>
      </c>
    </row>
    <row r="634" spans="1:11" x14ac:dyDescent="0.3">
      <c r="A634" t="s">
        <v>683</v>
      </c>
      <c r="B634" t="str">
        <f>VLOOKUP(A634,'Remote work mental helath'!$A$2:$T$1001,12,)</f>
        <v>Anxiety</v>
      </c>
      <c r="C634" t="str">
        <f>VLOOKUP(A634,'Remote work mental helath'!$A$2:$T$1001,11,)</f>
        <v>High</v>
      </c>
      <c r="D634">
        <f>VLOOKUP('Mental Helath'!A634,'Remote work mental helath'!$A$2:$T$1001,10,)</f>
        <v>3</v>
      </c>
      <c r="E634" t="str">
        <f>VLOOKUP(A634,'Remote work mental helath'!A634:T1633,19,FALSE)</f>
        <v>Poor</v>
      </c>
      <c r="F634" t="str">
        <f>VLOOKUP(A634,'Remote work mental helath'!$A$2:$T$1001,18,)</f>
        <v>None</v>
      </c>
      <c r="G634">
        <f>VLOOKUP(A634,'Remote work mental helath'!$A$2:$T$1001,15,FALSE)</f>
        <v>4</v>
      </c>
      <c r="H634" t="str">
        <f>VLOOKUP(A634,'Remote work mental helath'!$A$2:$T$1001,14,)</f>
        <v>Increase</v>
      </c>
      <c r="I634" t="str">
        <f>VLOOKUP(A634,'Remote work mental helath'!$A$2:$T$1001,16,)</f>
        <v>Unsatisfied</v>
      </c>
      <c r="J634" t="str">
        <f>VLOOKUP(A634,'Remote work mental helath'!$A$2:$T$1001,13,)</f>
        <v>Yes</v>
      </c>
      <c r="K634">
        <f>VLOOKUP(A634,'Remote work mental helath'!$A$2:$T$1001,17,FALSE)</f>
        <v>3</v>
      </c>
    </row>
    <row r="635" spans="1:11" x14ac:dyDescent="0.3">
      <c r="A635" t="s">
        <v>684</v>
      </c>
      <c r="B635" t="str">
        <f>VLOOKUP(A635,'Remote work mental helath'!$A$2:$T$1001,12,)</f>
        <v>None</v>
      </c>
      <c r="C635" t="str">
        <f>VLOOKUP(A635,'Remote work mental helath'!$A$2:$T$1001,11,)</f>
        <v>Low</v>
      </c>
      <c r="D635">
        <f>VLOOKUP('Mental Helath'!A635,'Remote work mental helath'!$A$2:$T$1001,10,)</f>
        <v>3</v>
      </c>
      <c r="E635" t="str">
        <f>VLOOKUP(A635,'Remote work mental helath'!A635:T1634,19,FALSE)</f>
        <v>Good</v>
      </c>
      <c r="F635" t="str">
        <f>VLOOKUP(A635,'Remote work mental helath'!$A$2:$T$1001,18,)</f>
        <v>Weekly</v>
      </c>
      <c r="G635">
        <f>VLOOKUP(A635,'Remote work mental helath'!$A$2:$T$1001,15,FALSE)</f>
        <v>1</v>
      </c>
      <c r="H635" t="str">
        <f>VLOOKUP(A635,'Remote work mental helath'!$A$2:$T$1001,14,)</f>
        <v>No Change</v>
      </c>
      <c r="I635" t="str">
        <f>VLOOKUP(A635,'Remote work mental helath'!$A$2:$T$1001,16,)</f>
        <v>Neutral</v>
      </c>
      <c r="J635" t="str">
        <f>VLOOKUP(A635,'Remote work mental helath'!$A$2:$T$1001,13,)</f>
        <v>No</v>
      </c>
      <c r="K635">
        <f>VLOOKUP(A635,'Remote work mental helath'!$A$2:$T$1001,17,FALSE)</f>
        <v>1</v>
      </c>
    </row>
    <row r="636" spans="1:11" x14ac:dyDescent="0.3">
      <c r="A636" t="s">
        <v>685</v>
      </c>
      <c r="B636" t="str">
        <f>VLOOKUP(A636,'Remote work mental helath'!$A$2:$T$1001,12,)</f>
        <v>Depression</v>
      </c>
      <c r="C636" t="str">
        <f>VLOOKUP(A636,'Remote work mental helath'!$A$2:$T$1001,11,)</f>
        <v>High</v>
      </c>
      <c r="D636">
        <f>VLOOKUP('Mental Helath'!A636,'Remote work mental helath'!$A$2:$T$1001,10,)</f>
        <v>1</v>
      </c>
      <c r="E636" t="str">
        <f>VLOOKUP(A636,'Remote work mental helath'!A636:T1635,19,FALSE)</f>
        <v>Average</v>
      </c>
      <c r="F636" t="str">
        <f>VLOOKUP(A636,'Remote work mental helath'!$A$2:$T$1001,18,)</f>
        <v>Daily</v>
      </c>
      <c r="G636">
        <f>VLOOKUP(A636,'Remote work mental helath'!$A$2:$T$1001,15,FALSE)</f>
        <v>4</v>
      </c>
      <c r="H636" t="str">
        <f>VLOOKUP(A636,'Remote work mental helath'!$A$2:$T$1001,14,)</f>
        <v>Increase</v>
      </c>
      <c r="I636" t="str">
        <f>VLOOKUP(A636,'Remote work mental helath'!$A$2:$T$1001,16,)</f>
        <v>Unsatisfied</v>
      </c>
      <c r="J636" t="str">
        <f>VLOOKUP(A636,'Remote work mental helath'!$A$2:$T$1001,13,)</f>
        <v>No</v>
      </c>
      <c r="K636">
        <f>VLOOKUP(A636,'Remote work mental helath'!$A$2:$T$1001,17,FALSE)</f>
        <v>3</v>
      </c>
    </row>
    <row r="637" spans="1:11" x14ac:dyDescent="0.3">
      <c r="A637" t="s">
        <v>686</v>
      </c>
      <c r="B637" t="str">
        <f>VLOOKUP(A637,'Remote work mental helath'!$A$2:$T$1001,12,)</f>
        <v>Depression</v>
      </c>
      <c r="C637" t="str">
        <f>VLOOKUP(A637,'Remote work mental helath'!$A$2:$T$1001,11,)</f>
        <v>High</v>
      </c>
      <c r="D637">
        <f>VLOOKUP('Mental Helath'!A637,'Remote work mental helath'!$A$2:$T$1001,10,)</f>
        <v>2</v>
      </c>
      <c r="E637" t="str">
        <f>VLOOKUP(A637,'Remote work mental helath'!A637:T1636,19,FALSE)</f>
        <v>Average</v>
      </c>
      <c r="F637" t="str">
        <f>VLOOKUP(A637,'Remote work mental helath'!$A$2:$T$1001,18,)</f>
        <v>Daily</v>
      </c>
      <c r="G637">
        <f>VLOOKUP(A637,'Remote work mental helath'!$A$2:$T$1001,15,FALSE)</f>
        <v>1</v>
      </c>
      <c r="H637" t="str">
        <f>VLOOKUP(A637,'Remote work mental helath'!$A$2:$T$1001,14,)</f>
        <v>Increase</v>
      </c>
      <c r="I637" t="str">
        <f>VLOOKUP(A637,'Remote work mental helath'!$A$2:$T$1001,16,)</f>
        <v>Neutral</v>
      </c>
      <c r="J637" t="str">
        <f>VLOOKUP(A637,'Remote work mental helath'!$A$2:$T$1001,13,)</f>
        <v>No</v>
      </c>
      <c r="K637">
        <f>VLOOKUP(A637,'Remote work mental helath'!$A$2:$T$1001,17,FALSE)</f>
        <v>2</v>
      </c>
    </row>
    <row r="638" spans="1:11" x14ac:dyDescent="0.3">
      <c r="A638" t="s">
        <v>687</v>
      </c>
      <c r="B638" t="str">
        <f>VLOOKUP(A638,'Remote work mental helath'!$A$2:$T$1001,12,)</f>
        <v>Burnout</v>
      </c>
      <c r="C638" t="str">
        <f>VLOOKUP(A638,'Remote work mental helath'!$A$2:$T$1001,11,)</f>
        <v>Low</v>
      </c>
      <c r="D638">
        <f>VLOOKUP('Mental Helath'!A638,'Remote work mental helath'!$A$2:$T$1001,10,)</f>
        <v>1</v>
      </c>
      <c r="E638" t="str">
        <f>VLOOKUP(A638,'Remote work mental helath'!A638:T1637,19,FALSE)</f>
        <v>Good</v>
      </c>
      <c r="F638" t="str">
        <f>VLOOKUP(A638,'Remote work mental helath'!$A$2:$T$1001,18,)</f>
        <v>None</v>
      </c>
      <c r="G638">
        <f>VLOOKUP(A638,'Remote work mental helath'!$A$2:$T$1001,15,FALSE)</f>
        <v>2</v>
      </c>
      <c r="H638" t="str">
        <f>VLOOKUP(A638,'Remote work mental helath'!$A$2:$T$1001,14,)</f>
        <v>Increase</v>
      </c>
      <c r="I638" t="str">
        <f>VLOOKUP(A638,'Remote work mental helath'!$A$2:$T$1001,16,)</f>
        <v>Unsatisfied</v>
      </c>
      <c r="J638" t="str">
        <f>VLOOKUP(A638,'Remote work mental helath'!$A$2:$T$1001,13,)</f>
        <v>Yes</v>
      </c>
      <c r="K638">
        <f>VLOOKUP(A638,'Remote work mental helath'!$A$2:$T$1001,17,FALSE)</f>
        <v>3</v>
      </c>
    </row>
    <row r="639" spans="1:11" x14ac:dyDescent="0.3">
      <c r="A639" t="s">
        <v>688</v>
      </c>
      <c r="B639" t="str">
        <f>VLOOKUP(A639,'Remote work mental helath'!$A$2:$T$1001,12,)</f>
        <v>Burnout</v>
      </c>
      <c r="C639" t="str">
        <f>VLOOKUP(A639,'Remote work mental helath'!$A$2:$T$1001,11,)</f>
        <v>High</v>
      </c>
      <c r="D639">
        <f>VLOOKUP('Mental Helath'!A639,'Remote work mental helath'!$A$2:$T$1001,10,)</f>
        <v>3</v>
      </c>
      <c r="E639" t="str">
        <f>VLOOKUP(A639,'Remote work mental helath'!A639:T1638,19,FALSE)</f>
        <v>Good</v>
      </c>
      <c r="F639" t="str">
        <f>VLOOKUP(A639,'Remote work mental helath'!$A$2:$T$1001,18,)</f>
        <v>Weekly</v>
      </c>
      <c r="G639">
        <f>VLOOKUP(A639,'Remote work mental helath'!$A$2:$T$1001,15,FALSE)</f>
        <v>5</v>
      </c>
      <c r="H639" t="str">
        <f>VLOOKUP(A639,'Remote work mental helath'!$A$2:$T$1001,14,)</f>
        <v>Increase</v>
      </c>
      <c r="I639" t="str">
        <f>VLOOKUP(A639,'Remote work mental helath'!$A$2:$T$1001,16,)</f>
        <v>Unsatisfied</v>
      </c>
      <c r="J639" t="str">
        <f>VLOOKUP(A639,'Remote work mental helath'!$A$2:$T$1001,13,)</f>
        <v>No</v>
      </c>
      <c r="K639">
        <f>VLOOKUP(A639,'Remote work mental helath'!$A$2:$T$1001,17,FALSE)</f>
        <v>4</v>
      </c>
    </row>
    <row r="640" spans="1:11" x14ac:dyDescent="0.3">
      <c r="A640" t="s">
        <v>689</v>
      </c>
      <c r="B640" t="str">
        <f>VLOOKUP(A640,'Remote work mental helath'!$A$2:$T$1001,12,)</f>
        <v>None</v>
      </c>
      <c r="C640" t="str">
        <f>VLOOKUP(A640,'Remote work mental helath'!$A$2:$T$1001,11,)</f>
        <v>High</v>
      </c>
      <c r="D640">
        <f>VLOOKUP('Mental Helath'!A640,'Remote work mental helath'!$A$2:$T$1001,10,)</f>
        <v>3</v>
      </c>
      <c r="E640" t="str">
        <f>VLOOKUP(A640,'Remote work mental helath'!A640:T1639,19,FALSE)</f>
        <v>Good</v>
      </c>
      <c r="F640" t="str">
        <f>VLOOKUP(A640,'Remote work mental helath'!$A$2:$T$1001,18,)</f>
        <v>Daily</v>
      </c>
      <c r="G640">
        <f>VLOOKUP(A640,'Remote work mental helath'!$A$2:$T$1001,15,FALSE)</f>
        <v>3</v>
      </c>
      <c r="H640" t="str">
        <f>VLOOKUP(A640,'Remote work mental helath'!$A$2:$T$1001,14,)</f>
        <v>Decrease</v>
      </c>
      <c r="I640" t="str">
        <f>VLOOKUP(A640,'Remote work mental helath'!$A$2:$T$1001,16,)</f>
        <v>Satisfied</v>
      </c>
      <c r="J640" t="str">
        <f>VLOOKUP(A640,'Remote work mental helath'!$A$2:$T$1001,13,)</f>
        <v>Yes</v>
      </c>
      <c r="K640">
        <f>VLOOKUP(A640,'Remote work mental helath'!$A$2:$T$1001,17,FALSE)</f>
        <v>1</v>
      </c>
    </row>
    <row r="641" spans="1:11" x14ac:dyDescent="0.3">
      <c r="A641" t="s">
        <v>690</v>
      </c>
      <c r="B641" t="str">
        <f>VLOOKUP(A641,'Remote work mental helath'!$A$2:$T$1001,12,)</f>
        <v>Depression</v>
      </c>
      <c r="C641" t="str">
        <f>VLOOKUP(A641,'Remote work mental helath'!$A$2:$T$1001,11,)</f>
        <v>Low</v>
      </c>
      <c r="D641">
        <f>VLOOKUP('Mental Helath'!A641,'Remote work mental helath'!$A$2:$T$1001,10,)</f>
        <v>5</v>
      </c>
      <c r="E641" t="str">
        <f>VLOOKUP(A641,'Remote work mental helath'!A641:T1640,19,FALSE)</f>
        <v>Poor</v>
      </c>
      <c r="F641" t="str">
        <f>VLOOKUP(A641,'Remote work mental helath'!$A$2:$T$1001,18,)</f>
        <v>None</v>
      </c>
      <c r="G641">
        <f>VLOOKUP(A641,'Remote work mental helath'!$A$2:$T$1001,15,FALSE)</f>
        <v>2</v>
      </c>
      <c r="H641" t="str">
        <f>VLOOKUP(A641,'Remote work mental helath'!$A$2:$T$1001,14,)</f>
        <v>No Change</v>
      </c>
      <c r="I641" t="str">
        <f>VLOOKUP(A641,'Remote work mental helath'!$A$2:$T$1001,16,)</f>
        <v>Satisfied</v>
      </c>
      <c r="J641" t="str">
        <f>VLOOKUP(A641,'Remote work mental helath'!$A$2:$T$1001,13,)</f>
        <v>Yes</v>
      </c>
      <c r="K641">
        <f>VLOOKUP(A641,'Remote work mental helath'!$A$2:$T$1001,17,FALSE)</f>
        <v>2</v>
      </c>
    </row>
    <row r="642" spans="1:11" x14ac:dyDescent="0.3">
      <c r="A642" t="s">
        <v>691</v>
      </c>
      <c r="B642" t="str">
        <f>VLOOKUP(A642,'Remote work mental helath'!$A$2:$T$1001,12,)</f>
        <v>Anxiety</v>
      </c>
      <c r="C642" t="str">
        <f>VLOOKUP(A642,'Remote work mental helath'!$A$2:$T$1001,11,)</f>
        <v>High</v>
      </c>
      <c r="D642">
        <f>VLOOKUP('Mental Helath'!A642,'Remote work mental helath'!$A$2:$T$1001,10,)</f>
        <v>2</v>
      </c>
      <c r="E642" t="str">
        <f>VLOOKUP(A642,'Remote work mental helath'!A642:T1641,19,FALSE)</f>
        <v>Poor</v>
      </c>
      <c r="F642" t="str">
        <f>VLOOKUP(A642,'Remote work mental helath'!$A$2:$T$1001,18,)</f>
        <v>None</v>
      </c>
      <c r="G642">
        <f>VLOOKUP(A642,'Remote work mental helath'!$A$2:$T$1001,15,FALSE)</f>
        <v>1</v>
      </c>
      <c r="H642" t="str">
        <f>VLOOKUP(A642,'Remote work mental helath'!$A$2:$T$1001,14,)</f>
        <v>No Change</v>
      </c>
      <c r="I642" t="str">
        <f>VLOOKUP(A642,'Remote work mental helath'!$A$2:$T$1001,16,)</f>
        <v>Unsatisfied</v>
      </c>
      <c r="J642" t="str">
        <f>VLOOKUP(A642,'Remote work mental helath'!$A$2:$T$1001,13,)</f>
        <v>No</v>
      </c>
      <c r="K642">
        <f>VLOOKUP(A642,'Remote work mental helath'!$A$2:$T$1001,17,FALSE)</f>
        <v>5</v>
      </c>
    </row>
    <row r="643" spans="1:11" x14ac:dyDescent="0.3">
      <c r="A643" t="s">
        <v>692</v>
      </c>
      <c r="B643" t="str">
        <f>VLOOKUP(A643,'Remote work mental helath'!$A$2:$T$1001,12,)</f>
        <v>Burnout</v>
      </c>
      <c r="C643" t="str">
        <f>VLOOKUP(A643,'Remote work mental helath'!$A$2:$T$1001,11,)</f>
        <v>Low</v>
      </c>
      <c r="D643">
        <f>VLOOKUP('Mental Helath'!A643,'Remote work mental helath'!$A$2:$T$1001,10,)</f>
        <v>5</v>
      </c>
      <c r="E643" t="str">
        <f>VLOOKUP(A643,'Remote work mental helath'!A643:T1642,19,FALSE)</f>
        <v>Poor</v>
      </c>
      <c r="F643" t="str">
        <f>VLOOKUP(A643,'Remote work mental helath'!$A$2:$T$1001,18,)</f>
        <v>Daily</v>
      </c>
      <c r="G643">
        <f>VLOOKUP(A643,'Remote work mental helath'!$A$2:$T$1001,15,FALSE)</f>
        <v>2</v>
      </c>
      <c r="H643" t="str">
        <f>VLOOKUP(A643,'Remote work mental helath'!$A$2:$T$1001,14,)</f>
        <v>Decrease</v>
      </c>
      <c r="I643" t="str">
        <f>VLOOKUP(A643,'Remote work mental helath'!$A$2:$T$1001,16,)</f>
        <v>Satisfied</v>
      </c>
      <c r="J643" t="str">
        <f>VLOOKUP(A643,'Remote work mental helath'!$A$2:$T$1001,13,)</f>
        <v>Yes</v>
      </c>
      <c r="K643">
        <f>VLOOKUP(A643,'Remote work mental helath'!$A$2:$T$1001,17,FALSE)</f>
        <v>1</v>
      </c>
    </row>
    <row r="644" spans="1:11" x14ac:dyDescent="0.3">
      <c r="A644" t="s">
        <v>693</v>
      </c>
      <c r="B644" t="str">
        <f>VLOOKUP(A644,'Remote work mental helath'!$A$2:$T$1001,12,)</f>
        <v>Burnout</v>
      </c>
      <c r="C644" t="str">
        <f>VLOOKUP(A644,'Remote work mental helath'!$A$2:$T$1001,11,)</f>
        <v>Medium</v>
      </c>
      <c r="D644">
        <f>VLOOKUP('Mental Helath'!A644,'Remote work mental helath'!$A$2:$T$1001,10,)</f>
        <v>1</v>
      </c>
      <c r="E644" t="str">
        <f>VLOOKUP(A644,'Remote work mental helath'!A644:T1643,19,FALSE)</f>
        <v>Poor</v>
      </c>
      <c r="F644" t="str">
        <f>VLOOKUP(A644,'Remote work mental helath'!$A$2:$T$1001,18,)</f>
        <v>None</v>
      </c>
      <c r="G644">
        <f>VLOOKUP(A644,'Remote work mental helath'!$A$2:$T$1001,15,FALSE)</f>
        <v>4</v>
      </c>
      <c r="H644" t="str">
        <f>VLOOKUP(A644,'Remote work mental helath'!$A$2:$T$1001,14,)</f>
        <v>Increase</v>
      </c>
      <c r="I644" t="str">
        <f>VLOOKUP(A644,'Remote work mental helath'!$A$2:$T$1001,16,)</f>
        <v>Neutral</v>
      </c>
      <c r="J644" t="str">
        <f>VLOOKUP(A644,'Remote work mental helath'!$A$2:$T$1001,13,)</f>
        <v>Yes</v>
      </c>
      <c r="K644">
        <f>VLOOKUP(A644,'Remote work mental helath'!$A$2:$T$1001,17,FALSE)</f>
        <v>4</v>
      </c>
    </row>
    <row r="645" spans="1:11" x14ac:dyDescent="0.3">
      <c r="A645" t="s">
        <v>694</v>
      </c>
      <c r="B645" t="str">
        <f>VLOOKUP(A645,'Remote work mental helath'!$A$2:$T$1001,12,)</f>
        <v>Burnout</v>
      </c>
      <c r="C645" t="str">
        <f>VLOOKUP(A645,'Remote work mental helath'!$A$2:$T$1001,11,)</f>
        <v>Medium</v>
      </c>
      <c r="D645">
        <f>VLOOKUP('Mental Helath'!A645,'Remote work mental helath'!$A$2:$T$1001,10,)</f>
        <v>3</v>
      </c>
      <c r="E645" t="str">
        <f>VLOOKUP(A645,'Remote work mental helath'!A645:T1644,19,FALSE)</f>
        <v>Good</v>
      </c>
      <c r="F645" t="str">
        <f>VLOOKUP(A645,'Remote work mental helath'!$A$2:$T$1001,18,)</f>
        <v>None</v>
      </c>
      <c r="G645">
        <f>VLOOKUP(A645,'Remote work mental helath'!$A$2:$T$1001,15,FALSE)</f>
        <v>4</v>
      </c>
      <c r="H645" t="str">
        <f>VLOOKUP(A645,'Remote work mental helath'!$A$2:$T$1001,14,)</f>
        <v>No Change</v>
      </c>
      <c r="I645" t="str">
        <f>VLOOKUP(A645,'Remote work mental helath'!$A$2:$T$1001,16,)</f>
        <v>Satisfied</v>
      </c>
      <c r="J645" t="str">
        <f>VLOOKUP(A645,'Remote work mental helath'!$A$2:$T$1001,13,)</f>
        <v>Yes</v>
      </c>
      <c r="K645">
        <f>VLOOKUP(A645,'Remote work mental helath'!$A$2:$T$1001,17,FALSE)</f>
        <v>2</v>
      </c>
    </row>
    <row r="646" spans="1:11" x14ac:dyDescent="0.3">
      <c r="A646" t="s">
        <v>695</v>
      </c>
      <c r="B646" t="str">
        <f>VLOOKUP(A646,'Remote work mental helath'!$A$2:$T$1001,12,)</f>
        <v>None</v>
      </c>
      <c r="C646" t="str">
        <f>VLOOKUP(A646,'Remote work mental helath'!$A$2:$T$1001,11,)</f>
        <v>Medium</v>
      </c>
      <c r="D646">
        <f>VLOOKUP('Mental Helath'!A646,'Remote work mental helath'!$A$2:$T$1001,10,)</f>
        <v>3</v>
      </c>
      <c r="E646" t="str">
        <f>VLOOKUP(A646,'Remote work mental helath'!A646:T1645,19,FALSE)</f>
        <v>Average</v>
      </c>
      <c r="F646" t="str">
        <f>VLOOKUP(A646,'Remote work mental helath'!$A$2:$T$1001,18,)</f>
        <v>Weekly</v>
      </c>
      <c r="G646">
        <f>VLOOKUP(A646,'Remote work mental helath'!$A$2:$T$1001,15,FALSE)</f>
        <v>3</v>
      </c>
      <c r="H646" t="str">
        <f>VLOOKUP(A646,'Remote work mental helath'!$A$2:$T$1001,14,)</f>
        <v>Decrease</v>
      </c>
      <c r="I646" t="str">
        <f>VLOOKUP(A646,'Remote work mental helath'!$A$2:$T$1001,16,)</f>
        <v>Satisfied</v>
      </c>
      <c r="J646" t="str">
        <f>VLOOKUP(A646,'Remote work mental helath'!$A$2:$T$1001,13,)</f>
        <v>Yes</v>
      </c>
      <c r="K646">
        <f>VLOOKUP(A646,'Remote work mental helath'!$A$2:$T$1001,17,FALSE)</f>
        <v>5</v>
      </c>
    </row>
    <row r="647" spans="1:11" x14ac:dyDescent="0.3">
      <c r="A647" t="s">
        <v>696</v>
      </c>
      <c r="B647" t="str">
        <f>VLOOKUP(A647,'Remote work mental helath'!$A$2:$T$1001,12,)</f>
        <v>None</v>
      </c>
      <c r="C647" t="str">
        <f>VLOOKUP(A647,'Remote work mental helath'!$A$2:$T$1001,11,)</f>
        <v>Medium</v>
      </c>
      <c r="D647">
        <f>VLOOKUP('Mental Helath'!A647,'Remote work mental helath'!$A$2:$T$1001,10,)</f>
        <v>1</v>
      </c>
      <c r="E647" t="str">
        <f>VLOOKUP(A647,'Remote work mental helath'!A647:T1646,19,FALSE)</f>
        <v>Average</v>
      </c>
      <c r="F647" t="str">
        <f>VLOOKUP(A647,'Remote work mental helath'!$A$2:$T$1001,18,)</f>
        <v>None</v>
      </c>
      <c r="G647">
        <f>VLOOKUP(A647,'Remote work mental helath'!$A$2:$T$1001,15,FALSE)</f>
        <v>3</v>
      </c>
      <c r="H647" t="str">
        <f>VLOOKUP(A647,'Remote work mental helath'!$A$2:$T$1001,14,)</f>
        <v>No Change</v>
      </c>
      <c r="I647" t="str">
        <f>VLOOKUP(A647,'Remote work mental helath'!$A$2:$T$1001,16,)</f>
        <v>Unsatisfied</v>
      </c>
      <c r="J647" t="str">
        <f>VLOOKUP(A647,'Remote work mental helath'!$A$2:$T$1001,13,)</f>
        <v>Yes</v>
      </c>
      <c r="K647">
        <f>VLOOKUP(A647,'Remote work mental helath'!$A$2:$T$1001,17,FALSE)</f>
        <v>5</v>
      </c>
    </row>
    <row r="648" spans="1:11" x14ac:dyDescent="0.3">
      <c r="A648" t="s">
        <v>697</v>
      </c>
      <c r="B648" t="str">
        <f>VLOOKUP(A648,'Remote work mental helath'!$A$2:$T$1001,12,)</f>
        <v>Burnout</v>
      </c>
      <c r="C648" t="str">
        <f>VLOOKUP(A648,'Remote work mental helath'!$A$2:$T$1001,11,)</f>
        <v>High</v>
      </c>
      <c r="D648">
        <f>VLOOKUP('Mental Helath'!A648,'Remote work mental helath'!$A$2:$T$1001,10,)</f>
        <v>3</v>
      </c>
      <c r="E648" t="str">
        <f>VLOOKUP(A648,'Remote work mental helath'!A648:T1647,19,FALSE)</f>
        <v>Good</v>
      </c>
      <c r="F648" t="str">
        <f>VLOOKUP(A648,'Remote work mental helath'!$A$2:$T$1001,18,)</f>
        <v>None</v>
      </c>
      <c r="G648">
        <f>VLOOKUP(A648,'Remote work mental helath'!$A$2:$T$1001,15,FALSE)</f>
        <v>4</v>
      </c>
      <c r="H648" t="str">
        <f>VLOOKUP(A648,'Remote work mental helath'!$A$2:$T$1001,14,)</f>
        <v>No Change</v>
      </c>
      <c r="I648" t="str">
        <f>VLOOKUP(A648,'Remote work mental helath'!$A$2:$T$1001,16,)</f>
        <v>Satisfied</v>
      </c>
      <c r="J648" t="str">
        <f>VLOOKUP(A648,'Remote work mental helath'!$A$2:$T$1001,13,)</f>
        <v>Yes</v>
      </c>
      <c r="K648">
        <f>VLOOKUP(A648,'Remote work mental helath'!$A$2:$T$1001,17,FALSE)</f>
        <v>4</v>
      </c>
    </row>
    <row r="649" spans="1:11" x14ac:dyDescent="0.3">
      <c r="A649" t="s">
        <v>698</v>
      </c>
      <c r="B649" t="str">
        <f>VLOOKUP(A649,'Remote work mental helath'!$A$2:$T$1001,12,)</f>
        <v>Burnout</v>
      </c>
      <c r="C649" t="str">
        <f>VLOOKUP(A649,'Remote work mental helath'!$A$2:$T$1001,11,)</f>
        <v>Low</v>
      </c>
      <c r="D649">
        <f>VLOOKUP('Mental Helath'!A649,'Remote work mental helath'!$A$2:$T$1001,10,)</f>
        <v>3</v>
      </c>
      <c r="E649" t="str">
        <f>VLOOKUP(A649,'Remote work mental helath'!A649:T1648,19,FALSE)</f>
        <v>Good</v>
      </c>
      <c r="F649" t="str">
        <f>VLOOKUP(A649,'Remote work mental helath'!$A$2:$T$1001,18,)</f>
        <v>Weekly</v>
      </c>
      <c r="G649">
        <f>VLOOKUP(A649,'Remote work mental helath'!$A$2:$T$1001,15,FALSE)</f>
        <v>3</v>
      </c>
      <c r="H649" t="str">
        <f>VLOOKUP(A649,'Remote work mental helath'!$A$2:$T$1001,14,)</f>
        <v>Decrease</v>
      </c>
      <c r="I649" t="str">
        <f>VLOOKUP(A649,'Remote work mental helath'!$A$2:$T$1001,16,)</f>
        <v>Satisfied</v>
      </c>
      <c r="J649" t="str">
        <f>VLOOKUP(A649,'Remote work mental helath'!$A$2:$T$1001,13,)</f>
        <v>No</v>
      </c>
      <c r="K649">
        <f>VLOOKUP(A649,'Remote work mental helath'!$A$2:$T$1001,17,FALSE)</f>
        <v>4</v>
      </c>
    </row>
    <row r="650" spans="1:11" x14ac:dyDescent="0.3">
      <c r="A650" t="s">
        <v>699</v>
      </c>
      <c r="B650" t="str">
        <f>VLOOKUP(A650,'Remote work mental helath'!$A$2:$T$1001,12,)</f>
        <v>Depression</v>
      </c>
      <c r="C650" t="str">
        <f>VLOOKUP(A650,'Remote work mental helath'!$A$2:$T$1001,11,)</f>
        <v>Low</v>
      </c>
      <c r="D650">
        <f>VLOOKUP('Mental Helath'!A650,'Remote work mental helath'!$A$2:$T$1001,10,)</f>
        <v>3</v>
      </c>
      <c r="E650" t="str">
        <f>VLOOKUP(A650,'Remote work mental helath'!A650:T1649,19,FALSE)</f>
        <v>Good</v>
      </c>
      <c r="F650" t="str">
        <f>VLOOKUP(A650,'Remote work mental helath'!$A$2:$T$1001,18,)</f>
        <v>Weekly</v>
      </c>
      <c r="G650">
        <f>VLOOKUP(A650,'Remote work mental helath'!$A$2:$T$1001,15,FALSE)</f>
        <v>4</v>
      </c>
      <c r="H650" t="str">
        <f>VLOOKUP(A650,'Remote work mental helath'!$A$2:$T$1001,14,)</f>
        <v>Decrease</v>
      </c>
      <c r="I650" t="str">
        <f>VLOOKUP(A650,'Remote work mental helath'!$A$2:$T$1001,16,)</f>
        <v>Satisfied</v>
      </c>
      <c r="J650" t="str">
        <f>VLOOKUP(A650,'Remote work mental helath'!$A$2:$T$1001,13,)</f>
        <v>No</v>
      </c>
      <c r="K650">
        <f>VLOOKUP(A650,'Remote work mental helath'!$A$2:$T$1001,17,FALSE)</f>
        <v>5</v>
      </c>
    </row>
    <row r="651" spans="1:11" x14ac:dyDescent="0.3">
      <c r="A651" t="s">
        <v>700</v>
      </c>
      <c r="B651" t="str">
        <f>VLOOKUP(A651,'Remote work mental helath'!$A$2:$T$1001,12,)</f>
        <v>Anxiety</v>
      </c>
      <c r="C651" t="str">
        <f>VLOOKUP(A651,'Remote work mental helath'!$A$2:$T$1001,11,)</f>
        <v>Low</v>
      </c>
      <c r="D651">
        <f>VLOOKUP('Mental Helath'!A651,'Remote work mental helath'!$A$2:$T$1001,10,)</f>
        <v>5</v>
      </c>
      <c r="E651" t="str">
        <f>VLOOKUP(A651,'Remote work mental helath'!A651:T1650,19,FALSE)</f>
        <v>Good</v>
      </c>
      <c r="F651" t="str">
        <f>VLOOKUP(A651,'Remote work mental helath'!$A$2:$T$1001,18,)</f>
        <v>Weekly</v>
      </c>
      <c r="G651">
        <f>VLOOKUP(A651,'Remote work mental helath'!$A$2:$T$1001,15,FALSE)</f>
        <v>4</v>
      </c>
      <c r="H651" t="str">
        <f>VLOOKUP(A651,'Remote work mental helath'!$A$2:$T$1001,14,)</f>
        <v>Increase</v>
      </c>
      <c r="I651" t="str">
        <f>VLOOKUP(A651,'Remote work mental helath'!$A$2:$T$1001,16,)</f>
        <v>Satisfied</v>
      </c>
      <c r="J651" t="str">
        <f>VLOOKUP(A651,'Remote work mental helath'!$A$2:$T$1001,13,)</f>
        <v>No</v>
      </c>
      <c r="K651">
        <f>VLOOKUP(A651,'Remote work mental helath'!$A$2:$T$1001,17,FALSE)</f>
        <v>3</v>
      </c>
    </row>
    <row r="652" spans="1:11" x14ac:dyDescent="0.3">
      <c r="A652" t="s">
        <v>701</v>
      </c>
      <c r="B652" t="str">
        <f>VLOOKUP(A652,'Remote work mental helath'!$A$2:$T$1001,12,)</f>
        <v>Anxiety</v>
      </c>
      <c r="C652" t="str">
        <f>VLOOKUP(A652,'Remote work mental helath'!$A$2:$T$1001,11,)</f>
        <v>Low</v>
      </c>
      <c r="D652">
        <f>VLOOKUP('Mental Helath'!A652,'Remote work mental helath'!$A$2:$T$1001,10,)</f>
        <v>4</v>
      </c>
      <c r="E652" t="str">
        <f>VLOOKUP(A652,'Remote work mental helath'!A652:T1651,19,FALSE)</f>
        <v>Average</v>
      </c>
      <c r="F652" t="str">
        <f>VLOOKUP(A652,'Remote work mental helath'!$A$2:$T$1001,18,)</f>
        <v>Daily</v>
      </c>
      <c r="G652">
        <f>VLOOKUP(A652,'Remote work mental helath'!$A$2:$T$1001,15,FALSE)</f>
        <v>2</v>
      </c>
      <c r="H652" t="str">
        <f>VLOOKUP(A652,'Remote work mental helath'!$A$2:$T$1001,14,)</f>
        <v>Decrease</v>
      </c>
      <c r="I652" t="str">
        <f>VLOOKUP(A652,'Remote work mental helath'!$A$2:$T$1001,16,)</f>
        <v>Unsatisfied</v>
      </c>
      <c r="J652" t="str">
        <f>VLOOKUP(A652,'Remote work mental helath'!$A$2:$T$1001,13,)</f>
        <v>Yes</v>
      </c>
      <c r="K652">
        <f>VLOOKUP(A652,'Remote work mental helath'!$A$2:$T$1001,17,FALSE)</f>
        <v>5</v>
      </c>
    </row>
    <row r="653" spans="1:11" x14ac:dyDescent="0.3">
      <c r="A653" t="s">
        <v>702</v>
      </c>
      <c r="B653" t="str">
        <f>VLOOKUP(A653,'Remote work mental helath'!$A$2:$T$1001,12,)</f>
        <v>Burnout</v>
      </c>
      <c r="C653" t="str">
        <f>VLOOKUP(A653,'Remote work mental helath'!$A$2:$T$1001,11,)</f>
        <v>Medium</v>
      </c>
      <c r="D653">
        <f>VLOOKUP('Mental Helath'!A653,'Remote work mental helath'!$A$2:$T$1001,10,)</f>
        <v>2</v>
      </c>
      <c r="E653" t="str">
        <f>VLOOKUP(A653,'Remote work mental helath'!A653:T1652,19,FALSE)</f>
        <v>Poor</v>
      </c>
      <c r="F653" t="str">
        <f>VLOOKUP(A653,'Remote work mental helath'!$A$2:$T$1001,18,)</f>
        <v>Weekly</v>
      </c>
      <c r="G653">
        <f>VLOOKUP(A653,'Remote work mental helath'!$A$2:$T$1001,15,FALSE)</f>
        <v>4</v>
      </c>
      <c r="H653" t="str">
        <f>VLOOKUP(A653,'Remote work mental helath'!$A$2:$T$1001,14,)</f>
        <v>Decrease</v>
      </c>
      <c r="I653" t="str">
        <f>VLOOKUP(A653,'Remote work mental helath'!$A$2:$T$1001,16,)</f>
        <v>Satisfied</v>
      </c>
      <c r="J653" t="str">
        <f>VLOOKUP(A653,'Remote work mental helath'!$A$2:$T$1001,13,)</f>
        <v>Yes</v>
      </c>
      <c r="K653">
        <f>VLOOKUP(A653,'Remote work mental helath'!$A$2:$T$1001,17,FALSE)</f>
        <v>5</v>
      </c>
    </row>
    <row r="654" spans="1:11" x14ac:dyDescent="0.3">
      <c r="A654" t="s">
        <v>703</v>
      </c>
      <c r="B654" t="str">
        <f>VLOOKUP(A654,'Remote work mental helath'!$A$2:$T$1001,12,)</f>
        <v>Anxiety</v>
      </c>
      <c r="C654" t="str">
        <f>VLOOKUP(A654,'Remote work mental helath'!$A$2:$T$1001,11,)</f>
        <v>Low</v>
      </c>
      <c r="D654">
        <f>VLOOKUP('Mental Helath'!A654,'Remote work mental helath'!$A$2:$T$1001,10,)</f>
        <v>1</v>
      </c>
      <c r="E654" t="str">
        <f>VLOOKUP(A654,'Remote work mental helath'!A654:T1653,19,FALSE)</f>
        <v>Average</v>
      </c>
      <c r="F654" t="str">
        <f>VLOOKUP(A654,'Remote work mental helath'!$A$2:$T$1001,18,)</f>
        <v>Daily</v>
      </c>
      <c r="G654">
        <f>VLOOKUP(A654,'Remote work mental helath'!$A$2:$T$1001,15,FALSE)</f>
        <v>4</v>
      </c>
      <c r="H654" t="str">
        <f>VLOOKUP(A654,'Remote work mental helath'!$A$2:$T$1001,14,)</f>
        <v>No Change</v>
      </c>
      <c r="I654" t="str">
        <f>VLOOKUP(A654,'Remote work mental helath'!$A$2:$T$1001,16,)</f>
        <v>Unsatisfied</v>
      </c>
      <c r="J654" t="str">
        <f>VLOOKUP(A654,'Remote work mental helath'!$A$2:$T$1001,13,)</f>
        <v>No</v>
      </c>
      <c r="K654">
        <f>VLOOKUP(A654,'Remote work mental helath'!$A$2:$T$1001,17,FALSE)</f>
        <v>4</v>
      </c>
    </row>
    <row r="655" spans="1:11" x14ac:dyDescent="0.3">
      <c r="A655" t="s">
        <v>704</v>
      </c>
      <c r="B655" t="str">
        <f>VLOOKUP(A655,'Remote work mental helath'!$A$2:$T$1001,12,)</f>
        <v>Burnout</v>
      </c>
      <c r="C655" t="str">
        <f>VLOOKUP(A655,'Remote work mental helath'!$A$2:$T$1001,11,)</f>
        <v>High</v>
      </c>
      <c r="D655">
        <f>VLOOKUP('Mental Helath'!A655,'Remote work mental helath'!$A$2:$T$1001,10,)</f>
        <v>3</v>
      </c>
      <c r="E655" t="str">
        <f>VLOOKUP(A655,'Remote work mental helath'!A655:T1654,19,FALSE)</f>
        <v>Good</v>
      </c>
      <c r="F655" t="str">
        <f>VLOOKUP(A655,'Remote work mental helath'!$A$2:$T$1001,18,)</f>
        <v>Daily</v>
      </c>
      <c r="G655">
        <f>VLOOKUP(A655,'Remote work mental helath'!$A$2:$T$1001,15,FALSE)</f>
        <v>2</v>
      </c>
      <c r="H655" t="str">
        <f>VLOOKUP(A655,'Remote work mental helath'!$A$2:$T$1001,14,)</f>
        <v>No Change</v>
      </c>
      <c r="I655" t="str">
        <f>VLOOKUP(A655,'Remote work mental helath'!$A$2:$T$1001,16,)</f>
        <v>Neutral</v>
      </c>
      <c r="J655" t="str">
        <f>VLOOKUP(A655,'Remote work mental helath'!$A$2:$T$1001,13,)</f>
        <v>Yes</v>
      </c>
      <c r="K655">
        <f>VLOOKUP(A655,'Remote work mental helath'!$A$2:$T$1001,17,FALSE)</f>
        <v>5</v>
      </c>
    </row>
    <row r="656" spans="1:11" x14ac:dyDescent="0.3">
      <c r="A656" t="s">
        <v>705</v>
      </c>
      <c r="B656" t="str">
        <f>VLOOKUP(A656,'Remote work mental helath'!$A$2:$T$1001,12,)</f>
        <v>Anxiety</v>
      </c>
      <c r="C656" t="str">
        <f>VLOOKUP(A656,'Remote work mental helath'!$A$2:$T$1001,11,)</f>
        <v>High</v>
      </c>
      <c r="D656">
        <f>VLOOKUP('Mental Helath'!A656,'Remote work mental helath'!$A$2:$T$1001,10,)</f>
        <v>2</v>
      </c>
      <c r="E656" t="str">
        <f>VLOOKUP(A656,'Remote work mental helath'!A656:T1655,19,FALSE)</f>
        <v>Poor</v>
      </c>
      <c r="F656" t="str">
        <f>VLOOKUP(A656,'Remote work mental helath'!$A$2:$T$1001,18,)</f>
        <v>Weekly</v>
      </c>
      <c r="G656">
        <f>VLOOKUP(A656,'Remote work mental helath'!$A$2:$T$1001,15,FALSE)</f>
        <v>2</v>
      </c>
      <c r="H656" t="str">
        <f>VLOOKUP(A656,'Remote work mental helath'!$A$2:$T$1001,14,)</f>
        <v>Increase</v>
      </c>
      <c r="I656" t="str">
        <f>VLOOKUP(A656,'Remote work mental helath'!$A$2:$T$1001,16,)</f>
        <v>Satisfied</v>
      </c>
      <c r="J656" t="str">
        <f>VLOOKUP(A656,'Remote work mental helath'!$A$2:$T$1001,13,)</f>
        <v>Yes</v>
      </c>
      <c r="K656">
        <f>VLOOKUP(A656,'Remote work mental helath'!$A$2:$T$1001,17,FALSE)</f>
        <v>1</v>
      </c>
    </row>
    <row r="657" spans="1:11" x14ac:dyDescent="0.3">
      <c r="A657" t="s">
        <v>706</v>
      </c>
      <c r="B657" t="str">
        <f>VLOOKUP(A657,'Remote work mental helath'!$A$2:$T$1001,12,)</f>
        <v>None</v>
      </c>
      <c r="C657" t="str">
        <f>VLOOKUP(A657,'Remote work mental helath'!$A$2:$T$1001,11,)</f>
        <v>High</v>
      </c>
      <c r="D657">
        <f>VLOOKUP('Mental Helath'!A657,'Remote work mental helath'!$A$2:$T$1001,10,)</f>
        <v>5</v>
      </c>
      <c r="E657" t="str">
        <f>VLOOKUP(A657,'Remote work mental helath'!A657:T1656,19,FALSE)</f>
        <v>Average</v>
      </c>
      <c r="F657" t="str">
        <f>VLOOKUP(A657,'Remote work mental helath'!$A$2:$T$1001,18,)</f>
        <v>None</v>
      </c>
      <c r="G657">
        <f>VLOOKUP(A657,'Remote work mental helath'!$A$2:$T$1001,15,FALSE)</f>
        <v>5</v>
      </c>
      <c r="H657" t="str">
        <f>VLOOKUP(A657,'Remote work mental helath'!$A$2:$T$1001,14,)</f>
        <v>Decrease</v>
      </c>
      <c r="I657" t="str">
        <f>VLOOKUP(A657,'Remote work mental helath'!$A$2:$T$1001,16,)</f>
        <v>Neutral</v>
      </c>
      <c r="J657" t="str">
        <f>VLOOKUP(A657,'Remote work mental helath'!$A$2:$T$1001,13,)</f>
        <v>Yes</v>
      </c>
      <c r="K657">
        <f>VLOOKUP(A657,'Remote work mental helath'!$A$2:$T$1001,17,FALSE)</f>
        <v>4</v>
      </c>
    </row>
    <row r="658" spans="1:11" x14ac:dyDescent="0.3">
      <c r="A658" t="s">
        <v>707</v>
      </c>
      <c r="B658" t="str">
        <f>VLOOKUP(A658,'Remote work mental helath'!$A$2:$T$1001,12,)</f>
        <v>Burnout</v>
      </c>
      <c r="C658" t="str">
        <f>VLOOKUP(A658,'Remote work mental helath'!$A$2:$T$1001,11,)</f>
        <v>Medium</v>
      </c>
      <c r="D658">
        <f>VLOOKUP('Mental Helath'!A658,'Remote work mental helath'!$A$2:$T$1001,10,)</f>
        <v>1</v>
      </c>
      <c r="E658" t="str">
        <f>VLOOKUP(A658,'Remote work mental helath'!A658:T1657,19,FALSE)</f>
        <v>Good</v>
      </c>
      <c r="F658" t="str">
        <f>VLOOKUP(A658,'Remote work mental helath'!$A$2:$T$1001,18,)</f>
        <v>Daily</v>
      </c>
      <c r="G658">
        <f>VLOOKUP(A658,'Remote work mental helath'!$A$2:$T$1001,15,FALSE)</f>
        <v>3</v>
      </c>
      <c r="H658" t="str">
        <f>VLOOKUP(A658,'Remote work mental helath'!$A$2:$T$1001,14,)</f>
        <v>Decrease</v>
      </c>
      <c r="I658" t="str">
        <f>VLOOKUP(A658,'Remote work mental helath'!$A$2:$T$1001,16,)</f>
        <v>Unsatisfied</v>
      </c>
      <c r="J658" t="str">
        <f>VLOOKUP(A658,'Remote work mental helath'!$A$2:$T$1001,13,)</f>
        <v>No</v>
      </c>
      <c r="K658">
        <f>VLOOKUP(A658,'Remote work mental helath'!$A$2:$T$1001,17,FALSE)</f>
        <v>4</v>
      </c>
    </row>
    <row r="659" spans="1:11" x14ac:dyDescent="0.3">
      <c r="A659" t="s">
        <v>708</v>
      </c>
      <c r="B659" t="str">
        <f>VLOOKUP(A659,'Remote work mental helath'!$A$2:$T$1001,12,)</f>
        <v>Burnout</v>
      </c>
      <c r="C659" t="str">
        <f>VLOOKUP(A659,'Remote work mental helath'!$A$2:$T$1001,11,)</f>
        <v>Low</v>
      </c>
      <c r="D659">
        <f>VLOOKUP('Mental Helath'!A659,'Remote work mental helath'!$A$2:$T$1001,10,)</f>
        <v>1</v>
      </c>
      <c r="E659" t="str">
        <f>VLOOKUP(A659,'Remote work mental helath'!A659:T1658,19,FALSE)</f>
        <v>Poor</v>
      </c>
      <c r="F659" t="str">
        <f>VLOOKUP(A659,'Remote work mental helath'!$A$2:$T$1001,18,)</f>
        <v>None</v>
      </c>
      <c r="G659">
        <f>VLOOKUP(A659,'Remote work mental helath'!$A$2:$T$1001,15,FALSE)</f>
        <v>5</v>
      </c>
      <c r="H659" t="str">
        <f>VLOOKUP(A659,'Remote work mental helath'!$A$2:$T$1001,14,)</f>
        <v>Increase</v>
      </c>
      <c r="I659" t="str">
        <f>VLOOKUP(A659,'Remote work mental helath'!$A$2:$T$1001,16,)</f>
        <v>Neutral</v>
      </c>
      <c r="J659" t="str">
        <f>VLOOKUP(A659,'Remote work mental helath'!$A$2:$T$1001,13,)</f>
        <v>Yes</v>
      </c>
      <c r="K659">
        <f>VLOOKUP(A659,'Remote work mental helath'!$A$2:$T$1001,17,FALSE)</f>
        <v>2</v>
      </c>
    </row>
    <row r="660" spans="1:11" x14ac:dyDescent="0.3">
      <c r="A660" t="s">
        <v>709</v>
      </c>
      <c r="B660" t="str">
        <f>VLOOKUP(A660,'Remote work mental helath'!$A$2:$T$1001,12,)</f>
        <v>None</v>
      </c>
      <c r="C660" t="str">
        <f>VLOOKUP(A660,'Remote work mental helath'!$A$2:$T$1001,11,)</f>
        <v>Low</v>
      </c>
      <c r="D660">
        <f>VLOOKUP('Mental Helath'!A660,'Remote work mental helath'!$A$2:$T$1001,10,)</f>
        <v>5</v>
      </c>
      <c r="E660" t="str">
        <f>VLOOKUP(A660,'Remote work mental helath'!A660:T1659,19,FALSE)</f>
        <v>Good</v>
      </c>
      <c r="F660" t="str">
        <f>VLOOKUP(A660,'Remote work mental helath'!$A$2:$T$1001,18,)</f>
        <v>Weekly</v>
      </c>
      <c r="G660">
        <f>VLOOKUP(A660,'Remote work mental helath'!$A$2:$T$1001,15,FALSE)</f>
        <v>4</v>
      </c>
      <c r="H660" t="str">
        <f>VLOOKUP(A660,'Remote work mental helath'!$A$2:$T$1001,14,)</f>
        <v>No Change</v>
      </c>
      <c r="I660" t="str">
        <f>VLOOKUP(A660,'Remote work mental helath'!$A$2:$T$1001,16,)</f>
        <v>Satisfied</v>
      </c>
      <c r="J660" t="str">
        <f>VLOOKUP(A660,'Remote work mental helath'!$A$2:$T$1001,13,)</f>
        <v>Yes</v>
      </c>
      <c r="K660">
        <f>VLOOKUP(A660,'Remote work mental helath'!$A$2:$T$1001,17,FALSE)</f>
        <v>4</v>
      </c>
    </row>
    <row r="661" spans="1:11" x14ac:dyDescent="0.3">
      <c r="A661" t="s">
        <v>710</v>
      </c>
      <c r="B661" t="str">
        <f>VLOOKUP(A661,'Remote work mental helath'!$A$2:$T$1001,12,)</f>
        <v>Burnout</v>
      </c>
      <c r="C661" t="str">
        <f>VLOOKUP(A661,'Remote work mental helath'!$A$2:$T$1001,11,)</f>
        <v>High</v>
      </c>
      <c r="D661">
        <f>VLOOKUP('Mental Helath'!A661,'Remote work mental helath'!$A$2:$T$1001,10,)</f>
        <v>4</v>
      </c>
      <c r="E661" t="str">
        <f>VLOOKUP(A661,'Remote work mental helath'!A661:T1660,19,FALSE)</f>
        <v>Good</v>
      </c>
      <c r="F661" t="str">
        <f>VLOOKUP(A661,'Remote work mental helath'!$A$2:$T$1001,18,)</f>
        <v>Daily</v>
      </c>
      <c r="G661">
        <f>VLOOKUP(A661,'Remote work mental helath'!$A$2:$T$1001,15,FALSE)</f>
        <v>5</v>
      </c>
      <c r="H661" t="str">
        <f>VLOOKUP(A661,'Remote work mental helath'!$A$2:$T$1001,14,)</f>
        <v>Decrease</v>
      </c>
      <c r="I661" t="str">
        <f>VLOOKUP(A661,'Remote work mental helath'!$A$2:$T$1001,16,)</f>
        <v>Neutral</v>
      </c>
      <c r="J661" t="str">
        <f>VLOOKUP(A661,'Remote work mental helath'!$A$2:$T$1001,13,)</f>
        <v>Yes</v>
      </c>
      <c r="K661">
        <f>VLOOKUP(A661,'Remote work mental helath'!$A$2:$T$1001,17,FALSE)</f>
        <v>3</v>
      </c>
    </row>
    <row r="662" spans="1:11" x14ac:dyDescent="0.3">
      <c r="A662" t="s">
        <v>711</v>
      </c>
      <c r="B662" t="str">
        <f>VLOOKUP(A662,'Remote work mental helath'!$A$2:$T$1001,12,)</f>
        <v>Burnout</v>
      </c>
      <c r="C662" t="str">
        <f>VLOOKUP(A662,'Remote work mental helath'!$A$2:$T$1001,11,)</f>
        <v>High</v>
      </c>
      <c r="D662">
        <f>VLOOKUP('Mental Helath'!A662,'Remote work mental helath'!$A$2:$T$1001,10,)</f>
        <v>3</v>
      </c>
      <c r="E662" t="str">
        <f>VLOOKUP(A662,'Remote work mental helath'!A662:T1661,19,FALSE)</f>
        <v>Poor</v>
      </c>
      <c r="F662" t="str">
        <f>VLOOKUP(A662,'Remote work mental helath'!$A$2:$T$1001,18,)</f>
        <v>None</v>
      </c>
      <c r="G662">
        <f>VLOOKUP(A662,'Remote work mental helath'!$A$2:$T$1001,15,FALSE)</f>
        <v>4</v>
      </c>
      <c r="H662" t="str">
        <f>VLOOKUP(A662,'Remote work mental helath'!$A$2:$T$1001,14,)</f>
        <v>Increase</v>
      </c>
      <c r="I662" t="str">
        <f>VLOOKUP(A662,'Remote work mental helath'!$A$2:$T$1001,16,)</f>
        <v>Satisfied</v>
      </c>
      <c r="J662" t="str">
        <f>VLOOKUP(A662,'Remote work mental helath'!$A$2:$T$1001,13,)</f>
        <v>Yes</v>
      </c>
      <c r="K662">
        <f>VLOOKUP(A662,'Remote work mental helath'!$A$2:$T$1001,17,FALSE)</f>
        <v>3</v>
      </c>
    </row>
    <row r="663" spans="1:11" x14ac:dyDescent="0.3">
      <c r="A663" t="s">
        <v>712</v>
      </c>
      <c r="B663" t="str">
        <f>VLOOKUP(A663,'Remote work mental helath'!$A$2:$T$1001,12,)</f>
        <v>None</v>
      </c>
      <c r="C663" t="str">
        <f>VLOOKUP(A663,'Remote work mental helath'!$A$2:$T$1001,11,)</f>
        <v>Low</v>
      </c>
      <c r="D663">
        <f>VLOOKUP('Mental Helath'!A663,'Remote work mental helath'!$A$2:$T$1001,10,)</f>
        <v>1</v>
      </c>
      <c r="E663" t="str">
        <f>VLOOKUP(A663,'Remote work mental helath'!A663:T1662,19,FALSE)</f>
        <v>Average</v>
      </c>
      <c r="F663" t="str">
        <f>VLOOKUP(A663,'Remote work mental helath'!$A$2:$T$1001,18,)</f>
        <v>None</v>
      </c>
      <c r="G663">
        <f>VLOOKUP(A663,'Remote work mental helath'!$A$2:$T$1001,15,FALSE)</f>
        <v>2</v>
      </c>
      <c r="H663" t="str">
        <f>VLOOKUP(A663,'Remote work mental helath'!$A$2:$T$1001,14,)</f>
        <v>Decrease</v>
      </c>
      <c r="I663" t="str">
        <f>VLOOKUP(A663,'Remote work mental helath'!$A$2:$T$1001,16,)</f>
        <v>Satisfied</v>
      </c>
      <c r="J663" t="str">
        <f>VLOOKUP(A663,'Remote work mental helath'!$A$2:$T$1001,13,)</f>
        <v>Yes</v>
      </c>
      <c r="K663">
        <f>VLOOKUP(A663,'Remote work mental helath'!$A$2:$T$1001,17,FALSE)</f>
        <v>1</v>
      </c>
    </row>
    <row r="664" spans="1:11" x14ac:dyDescent="0.3">
      <c r="A664" t="s">
        <v>713</v>
      </c>
      <c r="B664" t="str">
        <f>VLOOKUP(A664,'Remote work mental helath'!$A$2:$T$1001,12,)</f>
        <v>Burnout</v>
      </c>
      <c r="C664" t="str">
        <f>VLOOKUP(A664,'Remote work mental helath'!$A$2:$T$1001,11,)</f>
        <v>Low</v>
      </c>
      <c r="D664">
        <f>VLOOKUP('Mental Helath'!A664,'Remote work mental helath'!$A$2:$T$1001,10,)</f>
        <v>5</v>
      </c>
      <c r="E664" t="str">
        <f>VLOOKUP(A664,'Remote work mental helath'!A664:T1663,19,FALSE)</f>
        <v>Good</v>
      </c>
      <c r="F664" t="str">
        <f>VLOOKUP(A664,'Remote work mental helath'!$A$2:$T$1001,18,)</f>
        <v>Daily</v>
      </c>
      <c r="G664">
        <f>VLOOKUP(A664,'Remote work mental helath'!$A$2:$T$1001,15,FALSE)</f>
        <v>4</v>
      </c>
      <c r="H664" t="str">
        <f>VLOOKUP(A664,'Remote work mental helath'!$A$2:$T$1001,14,)</f>
        <v>Increase</v>
      </c>
      <c r="I664" t="str">
        <f>VLOOKUP(A664,'Remote work mental helath'!$A$2:$T$1001,16,)</f>
        <v>Satisfied</v>
      </c>
      <c r="J664" t="str">
        <f>VLOOKUP(A664,'Remote work mental helath'!$A$2:$T$1001,13,)</f>
        <v>No</v>
      </c>
      <c r="K664">
        <f>VLOOKUP(A664,'Remote work mental helath'!$A$2:$T$1001,17,FALSE)</f>
        <v>5</v>
      </c>
    </row>
    <row r="665" spans="1:11" x14ac:dyDescent="0.3">
      <c r="A665" t="s">
        <v>714</v>
      </c>
      <c r="B665" t="str">
        <f>VLOOKUP(A665,'Remote work mental helath'!$A$2:$T$1001,12,)</f>
        <v>Burnout</v>
      </c>
      <c r="C665" t="str">
        <f>VLOOKUP(A665,'Remote work mental helath'!$A$2:$T$1001,11,)</f>
        <v>High</v>
      </c>
      <c r="D665">
        <f>VLOOKUP('Mental Helath'!A665,'Remote work mental helath'!$A$2:$T$1001,10,)</f>
        <v>1</v>
      </c>
      <c r="E665" t="str">
        <f>VLOOKUP(A665,'Remote work mental helath'!A665:T1664,19,FALSE)</f>
        <v>Good</v>
      </c>
      <c r="F665" t="str">
        <f>VLOOKUP(A665,'Remote work mental helath'!$A$2:$T$1001,18,)</f>
        <v>Daily</v>
      </c>
      <c r="G665">
        <f>VLOOKUP(A665,'Remote work mental helath'!$A$2:$T$1001,15,FALSE)</f>
        <v>1</v>
      </c>
      <c r="H665" t="str">
        <f>VLOOKUP(A665,'Remote work mental helath'!$A$2:$T$1001,14,)</f>
        <v>No Change</v>
      </c>
      <c r="I665" t="str">
        <f>VLOOKUP(A665,'Remote work mental helath'!$A$2:$T$1001,16,)</f>
        <v>Unsatisfied</v>
      </c>
      <c r="J665" t="str">
        <f>VLOOKUP(A665,'Remote work mental helath'!$A$2:$T$1001,13,)</f>
        <v>No</v>
      </c>
      <c r="K665">
        <f>VLOOKUP(A665,'Remote work mental helath'!$A$2:$T$1001,17,FALSE)</f>
        <v>5</v>
      </c>
    </row>
    <row r="666" spans="1:11" x14ac:dyDescent="0.3">
      <c r="A666" t="s">
        <v>715</v>
      </c>
      <c r="B666" t="str">
        <f>VLOOKUP(A666,'Remote work mental helath'!$A$2:$T$1001,12,)</f>
        <v>Anxiety</v>
      </c>
      <c r="C666" t="str">
        <f>VLOOKUP(A666,'Remote work mental helath'!$A$2:$T$1001,11,)</f>
        <v>High</v>
      </c>
      <c r="D666">
        <f>VLOOKUP('Mental Helath'!A666,'Remote work mental helath'!$A$2:$T$1001,10,)</f>
        <v>1</v>
      </c>
      <c r="E666" t="str">
        <f>VLOOKUP(A666,'Remote work mental helath'!A666:T1665,19,FALSE)</f>
        <v>Poor</v>
      </c>
      <c r="F666" t="str">
        <f>VLOOKUP(A666,'Remote work mental helath'!$A$2:$T$1001,18,)</f>
        <v>Daily</v>
      </c>
      <c r="G666">
        <f>VLOOKUP(A666,'Remote work mental helath'!$A$2:$T$1001,15,FALSE)</f>
        <v>2</v>
      </c>
      <c r="H666" t="str">
        <f>VLOOKUP(A666,'Remote work mental helath'!$A$2:$T$1001,14,)</f>
        <v>Decrease</v>
      </c>
      <c r="I666" t="str">
        <f>VLOOKUP(A666,'Remote work mental helath'!$A$2:$T$1001,16,)</f>
        <v>Unsatisfied</v>
      </c>
      <c r="J666" t="str">
        <f>VLOOKUP(A666,'Remote work mental helath'!$A$2:$T$1001,13,)</f>
        <v>Yes</v>
      </c>
      <c r="K666">
        <f>VLOOKUP(A666,'Remote work mental helath'!$A$2:$T$1001,17,FALSE)</f>
        <v>3</v>
      </c>
    </row>
    <row r="667" spans="1:11" x14ac:dyDescent="0.3">
      <c r="A667" t="s">
        <v>716</v>
      </c>
      <c r="B667" t="str">
        <f>VLOOKUP(A667,'Remote work mental helath'!$A$2:$T$1001,12,)</f>
        <v>Depression</v>
      </c>
      <c r="C667" t="str">
        <f>VLOOKUP(A667,'Remote work mental helath'!$A$2:$T$1001,11,)</f>
        <v>Low</v>
      </c>
      <c r="D667">
        <f>VLOOKUP('Mental Helath'!A667,'Remote work mental helath'!$A$2:$T$1001,10,)</f>
        <v>5</v>
      </c>
      <c r="E667" t="str">
        <f>VLOOKUP(A667,'Remote work mental helath'!A667:T1666,19,FALSE)</f>
        <v>Poor</v>
      </c>
      <c r="F667" t="str">
        <f>VLOOKUP(A667,'Remote work mental helath'!$A$2:$T$1001,18,)</f>
        <v>Weekly</v>
      </c>
      <c r="G667">
        <f>VLOOKUP(A667,'Remote work mental helath'!$A$2:$T$1001,15,FALSE)</f>
        <v>4</v>
      </c>
      <c r="H667" t="str">
        <f>VLOOKUP(A667,'Remote work mental helath'!$A$2:$T$1001,14,)</f>
        <v>No Change</v>
      </c>
      <c r="I667" t="str">
        <f>VLOOKUP(A667,'Remote work mental helath'!$A$2:$T$1001,16,)</f>
        <v>Neutral</v>
      </c>
      <c r="J667" t="str">
        <f>VLOOKUP(A667,'Remote work mental helath'!$A$2:$T$1001,13,)</f>
        <v>No</v>
      </c>
      <c r="K667">
        <f>VLOOKUP(A667,'Remote work mental helath'!$A$2:$T$1001,17,FALSE)</f>
        <v>1</v>
      </c>
    </row>
    <row r="668" spans="1:11" x14ac:dyDescent="0.3">
      <c r="A668" t="s">
        <v>717</v>
      </c>
      <c r="B668" t="str">
        <f>VLOOKUP(A668,'Remote work mental helath'!$A$2:$T$1001,12,)</f>
        <v>Anxiety</v>
      </c>
      <c r="C668" t="str">
        <f>VLOOKUP(A668,'Remote work mental helath'!$A$2:$T$1001,11,)</f>
        <v>High</v>
      </c>
      <c r="D668">
        <f>VLOOKUP('Mental Helath'!A668,'Remote work mental helath'!$A$2:$T$1001,10,)</f>
        <v>5</v>
      </c>
      <c r="E668" t="str">
        <f>VLOOKUP(A668,'Remote work mental helath'!A668:T1667,19,FALSE)</f>
        <v>Good</v>
      </c>
      <c r="F668" t="str">
        <f>VLOOKUP(A668,'Remote work mental helath'!$A$2:$T$1001,18,)</f>
        <v>Weekly</v>
      </c>
      <c r="G668">
        <f>VLOOKUP(A668,'Remote work mental helath'!$A$2:$T$1001,15,FALSE)</f>
        <v>4</v>
      </c>
      <c r="H668" t="str">
        <f>VLOOKUP(A668,'Remote work mental helath'!$A$2:$T$1001,14,)</f>
        <v>Increase</v>
      </c>
      <c r="I668" t="str">
        <f>VLOOKUP(A668,'Remote work mental helath'!$A$2:$T$1001,16,)</f>
        <v>Neutral</v>
      </c>
      <c r="J668" t="str">
        <f>VLOOKUP(A668,'Remote work mental helath'!$A$2:$T$1001,13,)</f>
        <v>Yes</v>
      </c>
      <c r="K668">
        <f>VLOOKUP(A668,'Remote work mental helath'!$A$2:$T$1001,17,FALSE)</f>
        <v>2</v>
      </c>
    </row>
    <row r="669" spans="1:11" x14ac:dyDescent="0.3">
      <c r="A669" t="s">
        <v>718</v>
      </c>
      <c r="B669" t="str">
        <f>VLOOKUP(A669,'Remote work mental helath'!$A$2:$T$1001,12,)</f>
        <v>Burnout</v>
      </c>
      <c r="C669" t="str">
        <f>VLOOKUP(A669,'Remote work mental helath'!$A$2:$T$1001,11,)</f>
        <v>Medium</v>
      </c>
      <c r="D669">
        <f>VLOOKUP('Mental Helath'!A669,'Remote work mental helath'!$A$2:$T$1001,10,)</f>
        <v>4</v>
      </c>
      <c r="E669" t="str">
        <f>VLOOKUP(A669,'Remote work mental helath'!A669:T1668,19,FALSE)</f>
        <v>Good</v>
      </c>
      <c r="F669" t="str">
        <f>VLOOKUP(A669,'Remote work mental helath'!$A$2:$T$1001,18,)</f>
        <v>Weekly</v>
      </c>
      <c r="G669">
        <f>VLOOKUP(A669,'Remote work mental helath'!$A$2:$T$1001,15,FALSE)</f>
        <v>5</v>
      </c>
      <c r="H669" t="str">
        <f>VLOOKUP(A669,'Remote work mental helath'!$A$2:$T$1001,14,)</f>
        <v>No Change</v>
      </c>
      <c r="I669" t="str">
        <f>VLOOKUP(A669,'Remote work mental helath'!$A$2:$T$1001,16,)</f>
        <v>Neutral</v>
      </c>
      <c r="J669" t="str">
        <f>VLOOKUP(A669,'Remote work mental helath'!$A$2:$T$1001,13,)</f>
        <v>No</v>
      </c>
      <c r="K669">
        <f>VLOOKUP(A669,'Remote work mental helath'!$A$2:$T$1001,17,FALSE)</f>
        <v>3</v>
      </c>
    </row>
    <row r="670" spans="1:11" x14ac:dyDescent="0.3">
      <c r="A670" t="s">
        <v>719</v>
      </c>
      <c r="B670" t="str">
        <f>VLOOKUP(A670,'Remote work mental helath'!$A$2:$T$1001,12,)</f>
        <v>None</v>
      </c>
      <c r="C670" t="str">
        <f>VLOOKUP(A670,'Remote work mental helath'!$A$2:$T$1001,11,)</f>
        <v>Medium</v>
      </c>
      <c r="D670">
        <f>VLOOKUP('Mental Helath'!A670,'Remote work mental helath'!$A$2:$T$1001,10,)</f>
        <v>5</v>
      </c>
      <c r="E670" t="str">
        <f>VLOOKUP(A670,'Remote work mental helath'!A670:T1669,19,FALSE)</f>
        <v>Good</v>
      </c>
      <c r="F670" t="str">
        <f>VLOOKUP(A670,'Remote work mental helath'!$A$2:$T$1001,18,)</f>
        <v>Weekly</v>
      </c>
      <c r="G670">
        <f>VLOOKUP(A670,'Remote work mental helath'!$A$2:$T$1001,15,FALSE)</f>
        <v>4</v>
      </c>
      <c r="H670" t="str">
        <f>VLOOKUP(A670,'Remote work mental helath'!$A$2:$T$1001,14,)</f>
        <v>No Change</v>
      </c>
      <c r="I670" t="str">
        <f>VLOOKUP(A670,'Remote work mental helath'!$A$2:$T$1001,16,)</f>
        <v>Unsatisfied</v>
      </c>
      <c r="J670" t="str">
        <f>VLOOKUP(A670,'Remote work mental helath'!$A$2:$T$1001,13,)</f>
        <v>Yes</v>
      </c>
      <c r="K670">
        <f>VLOOKUP(A670,'Remote work mental helath'!$A$2:$T$1001,17,FALSE)</f>
        <v>4</v>
      </c>
    </row>
    <row r="671" spans="1:11" x14ac:dyDescent="0.3">
      <c r="A671" t="s">
        <v>720</v>
      </c>
      <c r="B671" t="str">
        <f>VLOOKUP(A671,'Remote work mental helath'!$A$2:$T$1001,12,)</f>
        <v>None</v>
      </c>
      <c r="C671" t="str">
        <f>VLOOKUP(A671,'Remote work mental helath'!$A$2:$T$1001,11,)</f>
        <v>Low</v>
      </c>
      <c r="D671">
        <f>VLOOKUP('Mental Helath'!A671,'Remote work mental helath'!$A$2:$T$1001,10,)</f>
        <v>2</v>
      </c>
      <c r="E671" t="str">
        <f>VLOOKUP(A671,'Remote work mental helath'!A671:T1670,19,FALSE)</f>
        <v>Good</v>
      </c>
      <c r="F671" t="str">
        <f>VLOOKUP(A671,'Remote work mental helath'!$A$2:$T$1001,18,)</f>
        <v>Daily</v>
      </c>
      <c r="G671">
        <f>VLOOKUP(A671,'Remote work mental helath'!$A$2:$T$1001,15,FALSE)</f>
        <v>2</v>
      </c>
      <c r="H671" t="str">
        <f>VLOOKUP(A671,'Remote work mental helath'!$A$2:$T$1001,14,)</f>
        <v>No Change</v>
      </c>
      <c r="I671" t="str">
        <f>VLOOKUP(A671,'Remote work mental helath'!$A$2:$T$1001,16,)</f>
        <v>Neutral</v>
      </c>
      <c r="J671" t="str">
        <f>VLOOKUP(A671,'Remote work mental helath'!$A$2:$T$1001,13,)</f>
        <v>No</v>
      </c>
      <c r="K671">
        <f>VLOOKUP(A671,'Remote work mental helath'!$A$2:$T$1001,17,FALSE)</f>
        <v>2</v>
      </c>
    </row>
    <row r="672" spans="1:11" x14ac:dyDescent="0.3">
      <c r="A672" t="s">
        <v>721</v>
      </c>
      <c r="B672" t="str">
        <f>VLOOKUP(A672,'Remote work mental helath'!$A$2:$T$1001,12,)</f>
        <v>Depression</v>
      </c>
      <c r="C672" t="str">
        <f>VLOOKUP(A672,'Remote work mental helath'!$A$2:$T$1001,11,)</f>
        <v>Medium</v>
      </c>
      <c r="D672">
        <f>VLOOKUP('Mental Helath'!A672,'Remote work mental helath'!$A$2:$T$1001,10,)</f>
        <v>5</v>
      </c>
      <c r="E672" t="str">
        <f>VLOOKUP(A672,'Remote work mental helath'!A672:T1671,19,FALSE)</f>
        <v>Good</v>
      </c>
      <c r="F672" t="str">
        <f>VLOOKUP(A672,'Remote work mental helath'!$A$2:$T$1001,18,)</f>
        <v>Weekly</v>
      </c>
      <c r="G672">
        <f>VLOOKUP(A672,'Remote work mental helath'!$A$2:$T$1001,15,FALSE)</f>
        <v>1</v>
      </c>
      <c r="H672" t="str">
        <f>VLOOKUP(A672,'Remote work mental helath'!$A$2:$T$1001,14,)</f>
        <v>Decrease</v>
      </c>
      <c r="I672" t="str">
        <f>VLOOKUP(A672,'Remote work mental helath'!$A$2:$T$1001,16,)</f>
        <v>Unsatisfied</v>
      </c>
      <c r="J672" t="str">
        <f>VLOOKUP(A672,'Remote work mental helath'!$A$2:$T$1001,13,)</f>
        <v>Yes</v>
      </c>
      <c r="K672">
        <f>VLOOKUP(A672,'Remote work mental helath'!$A$2:$T$1001,17,FALSE)</f>
        <v>4</v>
      </c>
    </row>
    <row r="673" spans="1:11" x14ac:dyDescent="0.3">
      <c r="A673" t="s">
        <v>722</v>
      </c>
      <c r="B673" t="str">
        <f>VLOOKUP(A673,'Remote work mental helath'!$A$2:$T$1001,12,)</f>
        <v>Burnout</v>
      </c>
      <c r="C673" t="str">
        <f>VLOOKUP(A673,'Remote work mental helath'!$A$2:$T$1001,11,)</f>
        <v>High</v>
      </c>
      <c r="D673">
        <f>VLOOKUP('Mental Helath'!A673,'Remote work mental helath'!$A$2:$T$1001,10,)</f>
        <v>4</v>
      </c>
      <c r="E673" t="str">
        <f>VLOOKUP(A673,'Remote work mental helath'!A673:T1672,19,FALSE)</f>
        <v>Poor</v>
      </c>
      <c r="F673" t="str">
        <f>VLOOKUP(A673,'Remote work mental helath'!$A$2:$T$1001,18,)</f>
        <v>Weekly</v>
      </c>
      <c r="G673">
        <f>VLOOKUP(A673,'Remote work mental helath'!$A$2:$T$1001,15,FALSE)</f>
        <v>4</v>
      </c>
      <c r="H673" t="str">
        <f>VLOOKUP(A673,'Remote work mental helath'!$A$2:$T$1001,14,)</f>
        <v>Increase</v>
      </c>
      <c r="I673" t="str">
        <f>VLOOKUP(A673,'Remote work mental helath'!$A$2:$T$1001,16,)</f>
        <v>Satisfied</v>
      </c>
      <c r="J673" t="str">
        <f>VLOOKUP(A673,'Remote work mental helath'!$A$2:$T$1001,13,)</f>
        <v>Yes</v>
      </c>
      <c r="K673">
        <f>VLOOKUP(A673,'Remote work mental helath'!$A$2:$T$1001,17,FALSE)</f>
        <v>2</v>
      </c>
    </row>
    <row r="674" spans="1:11" x14ac:dyDescent="0.3">
      <c r="A674" t="s">
        <v>723</v>
      </c>
      <c r="B674" t="str">
        <f>VLOOKUP(A674,'Remote work mental helath'!$A$2:$T$1001,12,)</f>
        <v>Depression</v>
      </c>
      <c r="C674" t="str">
        <f>VLOOKUP(A674,'Remote work mental helath'!$A$2:$T$1001,11,)</f>
        <v>Medium</v>
      </c>
      <c r="D674">
        <f>VLOOKUP('Mental Helath'!A674,'Remote work mental helath'!$A$2:$T$1001,10,)</f>
        <v>3</v>
      </c>
      <c r="E674" t="str">
        <f>VLOOKUP(A674,'Remote work mental helath'!A674:T1673,19,FALSE)</f>
        <v>Poor</v>
      </c>
      <c r="F674" t="str">
        <f>VLOOKUP(A674,'Remote work mental helath'!$A$2:$T$1001,18,)</f>
        <v>None</v>
      </c>
      <c r="G674">
        <f>VLOOKUP(A674,'Remote work mental helath'!$A$2:$T$1001,15,FALSE)</f>
        <v>2</v>
      </c>
      <c r="H674" t="str">
        <f>VLOOKUP(A674,'Remote work mental helath'!$A$2:$T$1001,14,)</f>
        <v>Increase</v>
      </c>
      <c r="I674" t="str">
        <f>VLOOKUP(A674,'Remote work mental helath'!$A$2:$T$1001,16,)</f>
        <v>Unsatisfied</v>
      </c>
      <c r="J674" t="str">
        <f>VLOOKUP(A674,'Remote work mental helath'!$A$2:$T$1001,13,)</f>
        <v>Yes</v>
      </c>
      <c r="K674">
        <f>VLOOKUP(A674,'Remote work mental helath'!$A$2:$T$1001,17,FALSE)</f>
        <v>1</v>
      </c>
    </row>
    <row r="675" spans="1:11" x14ac:dyDescent="0.3">
      <c r="A675" t="s">
        <v>724</v>
      </c>
      <c r="B675" t="str">
        <f>VLOOKUP(A675,'Remote work mental helath'!$A$2:$T$1001,12,)</f>
        <v>None</v>
      </c>
      <c r="C675" t="str">
        <f>VLOOKUP(A675,'Remote work mental helath'!$A$2:$T$1001,11,)</f>
        <v>Low</v>
      </c>
      <c r="D675">
        <f>VLOOKUP('Mental Helath'!A675,'Remote work mental helath'!$A$2:$T$1001,10,)</f>
        <v>2</v>
      </c>
      <c r="E675" t="str">
        <f>VLOOKUP(A675,'Remote work mental helath'!A675:T1674,19,FALSE)</f>
        <v>Poor</v>
      </c>
      <c r="F675" t="str">
        <f>VLOOKUP(A675,'Remote work mental helath'!$A$2:$T$1001,18,)</f>
        <v>Weekly</v>
      </c>
      <c r="G675">
        <f>VLOOKUP(A675,'Remote work mental helath'!$A$2:$T$1001,15,FALSE)</f>
        <v>4</v>
      </c>
      <c r="H675" t="str">
        <f>VLOOKUP(A675,'Remote work mental helath'!$A$2:$T$1001,14,)</f>
        <v>Decrease</v>
      </c>
      <c r="I675" t="str">
        <f>VLOOKUP(A675,'Remote work mental helath'!$A$2:$T$1001,16,)</f>
        <v>Neutral</v>
      </c>
      <c r="J675" t="str">
        <f>VLOOKUP(A675,'Remote work mental helath'!$A$2:$T$1001,13,)</f>
        <v>No</v>
      </c>
      <c r="K675">
        <f>VLOOKUP(A675,'Remote work mental helath'!$A$2:$T$1001,17,FALSE)</f>
        <v>2</v>
      </c>
    </row>
    <row r="676" spans="1:11" x14ac:dyDescent="0.3">
      <c r="A676" t="s">
        <v>725</v>
      </c>
      <c r="B676" t="str">
        <f>VLOOKUP(A676,'Remote work mental helath'!$A$2:$T$1001,12,)</f>
        <v>Depression</v>
      </c>
      <c r="C676" t="str">
        <f>VLOOKUP(A676,'Remote work mental helath'!$A$2:$T$1001,11,)</f>
        <v>High</v>
      </c>
      <c r="D676">
        <f>VLOOKUP('Mental Helath'!A676,'Remote work mental helath'!$A$2:$T$1001,10,)</f>
        <v>4</v>
      </c>
      <c r="E676" t="str">
        <f>VLOOKUP(A676,'Remote work mental helath'!A676:T1675,19,FALSE)</f>
        <v>Poor</v>
      </c>
      <c r="F676" t="str">
        <f>VLOOKUP(A676,'Remote work mental helath'!$A$2:$T$1001,18,)</f>
        <v>Daily</v>
      </c>
      <c r="G676">
        <f>VLOOKUP(A676,'Remote work mental helath'!$A$2:$T$1001,15,FALSE)</f>
        <v>3</v>
      </c>
      <c r="H676" t="str">
        <f>VLOOKUP(A676,'Remote work mental helath'!$A$2:$T$1001,14,)</f>
        <v>Increase</v>
      </c>
      <c r="I676" t="str">
        <f>VLOOKUP(A676,'Remote work mental helath'!$A$2:$T$1001,16,)</f>
        <v>Satisfied</v>
      </c>
      <c r="J676" t="str">
        <f>VLOOKUP(A676,'Remote work mental helath'!$A$2:$T$1001,13,)</f>
        <v>No</v>
      </c>
      <c r="K676">
        <f>VLOOKUP(A676,'Remote work mental helath'!$A$2:$T$1001,17,FALSE)</f>
        <v>2</v>
      </c>
    </row>
    <row r="677" spans="1:11" x14ac:dyDescent="0.3">
      <c r="A677" t="s">
        <v>726</v>
      </c>
      <c r="B677" t="str">
        <f>VLOOKUP(A677,'Remote work mental helath'!$A$2:$T$1001,12,)</f>
        <v>Anxiety</v>
      </c>
      <c r="C677" t="str">
        <f>VLOOKUP(A677,'Remote work mental helath'!$A$2:$T$1001,11,)</f>
        <v>Medium</v>
      </c>
      <c r="D677">
        <f>VLOOKUP('Mental Helath'!A677,'Remote work mental helath'!$A$2:$T$1001,10,)</f>
        <v>2</v>
      </c>
      <c r="E677" t="str">
        <f>VLOOKUP(A677,'Remote work mental helath'!A677:T1676,19,FALSE)</f>
        <v>Average</v>
      </c>
      <c r="F677" t="str">
        <f>VLOOKUP(A677,'Remote work mental helath'!$A$2:$T$1001,18,)</f>
        <v>Daily</v>
      </c>
      <c r="G677">
        <f>VLOOKUP(A677,'Remote work mental helath'!$A$2:$T$1001,15,FALSE)</f>
        <v>4</v>
      </c>
      <c r="H677" t="str">
        <f>VLOOKUP(A677,'Remote work mental helath'!$A$2:$T$1001,14,)</f>
        <v>No Change</v>
      </c>
      <c r="I677" t="str">
        <f>VLOOKUP(A677,'Remote work mental helath'!$A$2:$T$1001,16,)</f>
        <v>Unsatisfied</v>
      </c>
      <c r="J677" t="str">
        <f>VLOOKUP(A677,'Remote work mental helath'!$A$2:$T$1001,13,)</f>
        <v>Yes</v>
      </c>
      <c r="K677">
        <f>VLOOKUP(A677,'Remote work mental helath'!$A$2:$T$1001,17,FALSE)</f>
        <v>2</v>
      </c>
    </row>
    <row r="678" spans="1:11" x14ac:dyDescent="0.3">
      <c r="A678" t="s">
        <v>727</v>
      </c>
      <c r="B678" t="str">
        <f>VLOOKUP(A678,'Remote work mental helath'!$A$2:$T$1001,12,)</f>
        <v>Depression</v>
      </c>
      <c r="C678" t="str">
        <f>VLOOKUP(A678,'Remote work mental helath'!$A$2:$T$1001,11,)</f>
        <v>High</v>
      </c>
      <c r="D678">
        <f>VLOOKUP('Mental Helath'!A678,'Remote work mental helath'!$A$2:$T$1001,10,)</f>
        <v>1</v>
      </c>
      <c r="E678" t="str">
        <f>VLOOKUP(A678,'Remote work mental helath'!A678:T1677,19,FALSE)</f>
        <v>Average</v>
      </c>
      <c r="F678" t="str">
        <f>VLOOKUP(A678,'Remote work mental helath'!$A$2:$T$1001,18,)</f>
        <v>Daily</v>
      </c>
      <c r="G678">
        <f>VLOOKUP(A678,'Remote work mental helath'!$A$2:$T$1001,15,FALSE)</f>
        <v>5</v>
      </c>
      <c r="H678" t="str">
        <f>VLOOKUP(A678,'Remote work mental helath'!$A$2:$T$1001,14,)</f>
        <v>Decrease</v>
      </c>
      <c r="I678" t="str">
        <f>VLOOKUP(A678,'Remote work mental helath'!$A$2:$T$1001,16,)</f>
        <v>Neutral</v>
      </c>
      <c r="J678" t="str">
        <f>VLOOKUP(A678,'Remote work mental helath'!$A$2:$T$1001,13,)</f>
        <v>No</v>
      </c>
      <c r="K678">
        <f>VLOOKUP(A678,'Remote work mental helath'!$A$2:$T$1001,17,FALSE)</f>
        <v>5</v>
      </c>
    </row>
    <row r="679" spans="1:11" x14ac:dyDescent="0.3">
      <c r="A679" t="s">
        <v>728</v>
      </c>
      <c r="B679" t="str">
        <f>VLOOKUP(A679,'Remote work mental helath'!$A$2:$T$1001,12,)</f>
        <v>Depression</v>
      </c>
      <c r="C679" t="str">
        <f>VLOOKUP(A679,'Remote work mental helath'!$A$2:$T$1001,11,)</f>
        <v>Medium</v>
      </c>
      <c r="D679">
        <f>VLOOKUP('Mental Helath'!A679,'Remote work mental helath'!$A$2:$T$1001,10,)</f>
        <v>2</v>
      </c>
      <c r="E679" t="str">
        <f>VLOOKUP(A679,'Remote work mental helath'!A679:T1678,19,FALSE)</f>
        <v>Poor</v>
      </c>
      <c r="F679" t="str">
        <f>VLOOKUP(A679,'Remote work mental helath'!$A$2:$T$1001,18,)</f>
        <v>Weekly</v>
      </c>
      <c r="G679">
        <f>VLOOKUP(A679,'Remote work mental helath'!$A$2:$T$1001,15,FALSE)</f>
        <v>2</v>
      </c>
      <c r="H679" t="str">
        <f>VLOOKUP(A679,'Remote work mental helath'!$A$2:$T$1001,14,)</f>
        <v>Increase</v>
      </c>
      <c r="I679" t="str">
        <f>VLOOKUP(A679,'Remote work mental helath'!$A$2:$T$1001,16,)</f>
        <v>Neutral</v>
      </c>
      <c r="J679" t="str">
        <f>VLOOKUP(A679,'Remote work mental helath'!$A$2:$T$1001,13,)</f>
        <v>Yes</v>
      </c>
      <c r="K679">
        <f>VLOOKUP(A679,'Remote work mental helath'!$A$2:$T$1001,17,FALSE)</f>
        <v>3</v>
      </c>
    </row>
    <row r="680" spans="1:11" x14ac:dyDescent="0.3">
      <c r="A680" t="s">
        <v>729</v>
      </c>
      <c r="B680" t="str">
        <f>VLOOKUP(A680,'Remote work mental helath'!$A$2:$T$1001,12,)</f>
        <v>None</v>
      </c>
      <c r="C680" t="str">
        <f>VLOOKUP(A680,'Remote work mental helath'!$A$2:$T$1001,11,)</f>
        <v>Medium</v>
      </c>
      <c r="D680">
        <f>VLOOKUP('Mental Helath'!A680,'Remote work mental helath'!$A$2:$T$1001,10,)</f>
        <v>3</v>
      </c>
      <c r="E680" t="str">
        <f>VLOOKUP(A680,'Remote work mental helath'!A680:T1679,19,FALSE)</f>
        <v>Average</v>
      </c>
      <c r="F680" t="str">
        <f>VLOOKUP(A680,'Remote work mental helath'!$A$2:$T$1001,18,)</f>
        <v>None</v>
      </c>
      <c r="G680">
        <f>VLOOKUP(A680,'Remote work mental helath'!$A$2:$T$1001,15,FALSE)</f>
        <v>2</v>
      </c>
      <c r="H680" t="str">
        <f>VLOOKUP(A680,'Remote work mental helath'!$A$2:$T$1001,14,)</f>
        <v>Increase</v>
      </c>
      <c r="I680" t="str">
        <f>VLOOKUP(A680,'Remote work mental helath'!$A$2:$T$1001,16,)</f>
        <v>Satisfied</v>
      </c>
      <c r="J680" t="str">
        <f>VLOOKUP(A680,'Remote work mental helath'!$A$2:$T$1001,13,)</f>
        <v>Yes</v>
      </c>
      <c r="K680">
        <f>VLOOKUP(A680,'Remote work mental helath'!$A$2:$T$1001,17,FALSE)</f>
        <v>3</v>
      </c>
    </row>
    <row r="681" spans="1:11" x14ac:dyDescent="0.3">
      <c r="A681" t="s">
        <v>730</v>
      </c>
      <c r="B681" t="str">
        <f>VLOOKUP(A681,'Remote work mental helath'!$A$2:$T$1001,12,)</f>
        <v>Depression</v>
      </c>
      <c r="C681" t="str">
        <f>VLOOKUP(A681,'Remote work mental helath'!$A$2:$T$1001,11,)</f>
        <v>Medium</v>
      </c>
      <c r="D681">
        <f>VLOOKUP('Mental Helath'!A681,'Remote work mental helath'!$A$2:$T$1001,10,)</f>
        <v>4</v>
      </c>
      <c r="E681" t="str">
        <f>VLOOKUP(A681,'Remote work mental helath'!A681:T1680,19,FALSE)</f>
        <v>Average</v>
      </c>
      <c r="F681" t="str">
        <f>VLOOKUP(A681,'Remote work mental helath'!$A$2:$T$1001,18,)</f>
        <v>Weekly</v>
      </c>
      <c r="G681">
        <f>VLOOKUP(A681,'Remote work mental helath'!$A$2:$T$1001,15,FALSE)</f>
        <v>5</v>
      </c>
      <c r="H681" t="str">
        <f>VLOOKUP(A681,'Remote work mental helath'!$A$2:$T$1001,14,)</f>
        <v>No Change</v>
      </c>
      <c r="I681" t="str">
        <f>VLOOKUP(A681,'Remote work mental helath'!$A$2:$T$1001,16,)</f>
        <v>Unsatisfied</v>
      </c>
      <c r="J681" t="str">
        <f>VLOOKUP(A681,'Remote work mental helath'!$A$2:$T$1001,13,)</f>
        <v>No</v>
      </c>
      <c r="K681">
        <f>VLOOKUP(A681,'Remote work mental helath'!$A$2:$T$1001,17,FALSE)</f>
        <v>1</v>
      </c>
    </row>
    <row r="682" spans="1:11" x14ac:dyDescent="0.3">
      <c r="A682" t="s">
        <v>731</v>
      </c>
      <c r="B682" t="str">
        <f>VLOOKUP(A682,'Remote work mental helath'!$A$2:$T$1001,12,)</f>
        <v>Depression</v>
      </c>
      <c r="C682" t="str">
        <f>VLOOKUP(A682,'Remote work mental helath'!$A$2:$T$1001,11,)</f>
        <v>High</v>
      </c>
      <c r="D682">
        <f>VLOOKUP('Mental Helath'!A682,'Remote work mental helath'!$A$2:$T$1001,10,)</f>
        <v>5</v>
      </c>
      <c r="E682" t="str">
        <f>VLOOKUP(A682,'Remote work mental helath'!A682:T1681,19,FALSE)</f>
        <v>Poor</v>
      </c>
      <c r="F682" t="str">
        <f>VLOOKUP(A682,'Remote work mental helath'!$A$2:$T$1001,18,)</f>
        <v>Daily</v>
      </c>
      <c r="G682">
        <f>VLOOKUP(A682,'Remote work mental helath'!$A$2:$T$1001,15,FALSE)</f>
        <v>4</v>
      </c>
      <c r="H682" t="str">
        <f>VLOOKUP(A682,'Remote work mental helath'!$A$2:$T$1001,14,)</f>
        <v>No Change</v>
      </c>
      <c r="I682" t="str">
        <f>VLOOKUP(A682,'Remote work mental helath'!$A$2:$T$1001,16,)</f>
        <v>Satisfied</v>
      </c>
      <c r="J682" t="str">
        <f>VLOOKUP(A682,'Remote work mental helath'!$A$2:$T$1001,13,)</f>
        <v>No</v>
      </c>
      <c r="K682">
        <f>VLOOKUP(A682,'Remote work mental helath'!$A$2:$T$1001,17,FALSE)</f>
        <v>3</v>
      </c>
    </row>
    <row r="683" spans="1:11" x14ac:dyDescent="0.3">
      <c r="A683" t="s">
        <v>732</v>
      </c>
      <c r="B683" t="str">
        <f>VLOOKUP(A683,'Remote work mental helath'!$A$2:$T$1001,12,)</f>
        <v>Burnout</v>
      </c>
      <c r="C683" t="str">
        <f>VLOOKUP(A683,'Remote work mental helath'!$A$2:$T$1001,11,)</f>
        <v>Medium</v>
      </c>
      <c r="D683">
        <f>VLOOKUP('Mental Helath'!A683,'Remote work mental helath'!$A$2:$T$1001,10,)</f>
        <v>4</v>
      </c>
      <c r="E683" t="str">
        <f>VLOOKUP(A683,'Remote work mental helath'!A683:T1682,19,FALSE)</f>
        <v>Average</v>
      </c>
      <c r="F683" t="str">
        <f>VLOOKUP(A683,'Remote work mental helath'!$A$2:$T$1001,18,)</f>
        <v>Daily</v>
      </c>
      <c r="G683">
        <f>VLOOKUP(A683,'Remote work mental helath'!$A$2:$T$1001,15,FALSE)</f>
        <v>3</v>
      </c>
      <c r="H683" t="str">
        <f>VLOOKUP(A683,'Remote work mental helath'!$A$2:$T$1001,14,)</f>
        <v>Increase</v>
      </c>
      <c r="I683" t="str">
        <f>VLOOKUP(A683,'Remote work mental helath'!$A$2:$T$1001,16,)</f>
        <v>Neutral</v>
      </c>
      <c r="J683" t="str">
        <f>VLOOKUP(A683,'Remote work mental helath'!$A$2:$T$1001,13,)</f>
        <v>Yes</v>
      </c>
      <c r="K683">
        <f>VLOOKUP(A683,'Remote work mental helath'!$A$2:$T$1001,17,FALSE)</f>
        <v>4</v>
      </c>
    </row>
    <row r="684" spans="1:11" x14ac:dyDescent="0.3">
      <c r="A684" t="s">
        <v>733</v>
      </c>
      <c r="B684" t="str">
        <f>VLOOKUP(A684,'Remote work mental helath'!$A$2:$T$1001,12,)</f>
        <v>Depression</v>
      </c>
      <c r="C684" t="str">
        <f>VLOOKUP(A684,'Remote work mental helath'!$A$2:$T$1001,11,)</f>
        <v>Medium</v>
      </c>
      <c r="D684">
        <f>VLOOKUP('Mental Helath'!A684,'Remote work mental helath'!$A$2:$T$1001,10,)</f>
        <v>5</v>
      </c>
      <c r="E684" t="str">
        <f>VLOOKUP(A684,'Remote work mental helath'!A684:T1683,19,FALSE)</f>
        <v>Poor</v>
      </c>
      <c r="F684" t="str">
        <f>VLOOKUP(A684,'Remote work mental helath'!$A$2:$T$1001,18,)</f>
        <v>None</v>
      </c>
      <c r="G684">
        <f>VLOOKUP(A684,'Remote work mental helath'!$A$2:$T$1001,15,FALSE)</f>
        <v>1</v>
      </c>
      <c r="H684" t="str">
        <f>VLOOKUP(A684,'Remote work mental helath'!$A$2:$T$1001,14,)</f>
        <v>No Change</v>
      </c>
      <c r="I684" t="str">
        <f>VLOOKUP(A684,'Remote work mental helath'!$A$2:$T$1001,16,)</f>
        <v>Satisfied</v>
      </c>
      <c r="J684" t="str">
        <f>VLOOKUP(A684,'Remote work mental helath'!$A$2:$T$1001,13,)</f>
        <v>Yes</v>
      </c>
      <c r="K684">
        <f>VLOOKUP(A684,'Remote work mental helath'!$A$2:$T$1001,17,FALSE)</f>
        <v>4</v>
      </c>
    </row>
    <row r="685" spans="1:11" x14ac:dyDescent="0.3">
      <c r="A685" t="s">
        <v>734</v>
      </c>
      <c r="B685" t="str">
        <f>VLOOKUP(A685,'Remote work mental helath'!$A$2:$T$1001,12,)</f>
        <v>Depression</v>
      </c>
      <c r="C685" t="str">
        <f>VLOOKUP(A685,'Remote work mental helath'!$A$2:$T$1001,11,)</f>
        <v>Medium</v>
      </c>
      <c r="D685">
        <f>VLOOKUP('Mental Helath'!A685,'Remote work mental helath'!$A$2:$T$1001,10,)</f>
        <v>4</v>
      </c>
      <c r="E685" t="str">
        <f>VLOOKUP(A685,'Remote work mental helath'!A685:T1684,19,FALSE)</f>
        <v>Average</v>
      </c>
      <c r="F685" t="str">
        <f>VLOOKUP(A685,'Remote work mental helath'!$A$2:$T$1001,18,)</f>
        <v>None</v>
      </c>
      <c r="G685">
        <f>VLOOKUP(A685,'Remote work mental helath'!$A$2:$T$1001,15,FALSE)</f>
        <v>4</v>
      </c>
      <c r="H685" t="str">
        <f>VLOOKUP(A685,'Remote work mental helath'!$A$2:$T$1001,14,)</f>
        <v>No Change</v>
      </c>
      <c r="I685" t="str">
        <f>VLOOKUP(A685,'Remote work mental helath'!$A$2:$T$1001,16,)</f>
        <v>Neutral</v>
      </c>
      <c r="J685" t="str">
        <f>VLOOKUP(A685,'Remote work mental helath'!$A$2:$T$1001,13,)</f>
        <v>No</v>
      </c>
      <c r="K685">
        <f>VLOOKUP(A685,'Remote work mental helath'!$A$2:$T$1001,17,FALSE)</f>
        <v>2</v>
      </c>
    </row>
    <row r="686" spans="1:11" x14ac:dyDescent="0.3">
      <c r="A686" t="s">
        <v>735</v>
      </c>
      <c r="B686" t="str">
        <f>VLOOKUP(A686,'Remote work mental helath'!$A$2:$T$1001,12,)</f>
        <v>None</v>
      </c>
      <c r="C686" t="str">
        <f>VLOOKUP(A686,'Remote work mental helath'!$A$2:$T$1001,11,)</f>
        <v>Medium</v>
      </c>
      <c r="D686">
        <f>VLOOKUP('Mental Helath'!A686,'Remote work mental helath'!$A$2:$T$1001,10,)</f>
        <v>1</v>
      </c>
      <c r="E686" t="str">
        <f>VLOOKUP(A686,'Remote work mental helath'!A686:T1685,19,FALSE)</f>
        <v>Good</v>
      </c>
      <c r="F686" t="str">
        <f>VLOOKUP(A686,'Remote work mental helath'!$A$2:$T$1001,18,)</f>
        <v>None</v>
      </c>
      <c r="G686">
        <f>VLOOKUP(A686,'Remote work mental helath'!$A$2:$T$1001,15,FALSE)</f>
        <v>2</v>
      </c>
      <c r="H686" t="str">
        <f>VLOOKUP(A686,'Remote work mental helath'!$A$2:$T$1001,14,)</f>
        <v>Decrease</v>
      </c>
      <c r="I686" t="str">
        <f>VLOOKUP(A686,'Remote work mental helath'!$A$2:$T$1001,16,)</f>
        <v>Satisfied</v>
      </c>
      <c r="J686" t="str">
        <f>VLOOKUP(A686,'Remote work mental helath'!$A$2:$T$1001,13,)</f>
        <v>No</v>
      </c>
      <c r="K686">
        <f>VLOOKUP(A686,'Remote work mental helath'!$A$2:$T$1001,17,FALSE)</f>
        <v>2</v>
      </c>
    </row>
    <row r="687" spans="1:11" x14ac:dyDescent="0.3">
      <c r="A687" t="s">
        <v>736</v>
      </c>
      <c r="B687" t="str">
        <f>VLOOKUP(A687,'Remote work mental helath'!$A$2:$T$1001,12,)</f>
        <v>Depression</v>
      </c>
      <c r="C687" t="str">
        <f>VLOOKUP(A687,'Remote work mental helath'!$A$2:$T$1001,11,)</f>
        <v>High</v>
      </c>
      <c r="D687">
        <f>VLOOKUP('Mental Helath'!A687,'Remote work mental helath'!$A$2:$T$1001,10,)</f>
        <v>2</v>
      </c>
      <c r="E687" t="str">
        <f>VLOOKUP(A687,'Remote work mental helath'!A687:T1686,19,FALSE)</f>
        <v>Average</v>
      </c>
      <c r="F687" t="str">
        <f>VLOOKUP(A687,'Remote work mental helath'!$A$2:$T$1001,18,)</f>
        <v>None</v>
      </c>
      <c r="G687">
        <f>VLOOKUP(A687,'Remote work mental helath'!$A$2:$T$1001,15,FALSE)</f>
        <v>2</v>
      </c>
      <c r="H687" t="str">
        <f>VLOOKUP(A687,'Remote work mental helath'!$A$2:$T$1001,14,)</f>
        <v>No Change</v>
      </c>
      <c r="I687" t="str">
        <f>VLOOKUP(A687,'Remote work mental helath'!$A$2:$T$1001,16,)</f>
        <v>Unsatisfied</v>
      </c>
      <c r="J687" t="str">
        <f>VLOOKUP(A687,'Remote work mental helath'!$A$2:$T$1001,13,)</f>
        <v>Yes</v>
      </c>
      <c r="K687">
        <f>VLOOKUP(A687,'Remote work mental helath'!$A$2:$T$1001,17,FALSE)</f>
        <v>4</v>
      </c>
    </row>
    <row r="688" spans="1:11" x14ac:dyDescent="0.3">
      <c r="A688" t="s">
        <v>737</v>
      </c>
      <c r="B688" t="str">
        <f>VLOOKUP(A688,'Remote work mental helath'!$A$2:$T$1001,12,)</f>
        <v>None</v>
      </c>
      <c r="C688" t="str">
        <f>VLOOKUP(A688,'Remote work mental helath'!$A$2:$T$1001,11,)</f>
        <v>Low</v>
      </c>
      <c r="D688">
        <f>VLOOKUP('Mental Helath'!A688,'Remote work mental helath'!$A$2:$T$1001,10,)</f>
        <v>4</v>
      </c>
      <c r="E688" t="str">
        <f>VLOOKUP(A688,'Remote work mental helath'!A688:T1687,19,FALSE)</f>
        <v>Good</v>
      </c>
      <c r="F688" t="str">
        <f>VLOOKUP(A688,'Remote work mental helath'!$A$2:$T$1001,18,)</f>
        <v>Weekly</v>
      </c>
      <c r="G688">
        <f>VLOOKUP(A688,'Remote work mental helath'!$A$2:$T$1001,15,FALSE)</f>
        <v>5</v>
      </c>
      <c r="H688" t="str">
        <f>VLOOKUP(A688,'Remote work mental helath'!$A$2:$T$1001,14,)</f>
        <v>Increase</v>
      </c>
      <c r="I688" t="str">
        <f>VLOOKUP(A688,'Remote work mental helath'!$A$2:$T$1001,16,)</f>
        <v>Unsatisfied</v>
      </c>
      <c r="J688" t="str">
        <f>VLOOKUP(A688,'Remote work mental helath'!$A$2:$T$1001,13,)</f>
        <v>No</v>
      </c>
      <c r="K688">
        <f>VLOOKUP(A688,'Remote work mental helath'!$A$2:$T$1001,17,FALSE)</f>
        <v>2</v>
      </c>
    </row>
    <row r="689" spans="1:11" x14ac:dyDescent="0.3">
      <c r="A689" t="s">
        <v>738</v>
      </c>
      <c r="B689" t="str">
        <f>VLOOKUP(A689,'Remote work mental helath'!$A$2:$T$1001,12,)</f>
        <v>Anxiety</v>
      </c>
      <c r="C689" t="str">
        <f>VLOOKUP(A689,'Remote work mental helath'!$A$2:$T$1001,11,)</f>
        <v>Low</v>
      </c>
      <c r="D689">
        <f>VLOOKUP('Mental Helath'!A689,'Remote work mental helath'!$A$2:$T$1001,10,)</f>
        <v>3</v>
      </c>
      <c r="E689" t="str">
        <f>VLOOKUP(A689,'Remote work mental helath'!A689:T1688,19,FALSE)</f>
        <v>Average</v>
      </c>
      <c r="F689" t="str">
        <f>VLOOKUP(A689,'Remote work mental helath'!$A$2:$T$1001,18,)</f>
        <v>Daily</v>
      </c>
      <c r="G689">
        <f>VLOOKUP(A689,'Remote work mental helath'!$A$2:$T$1001,15,FALSE)</f>
        <v>1</v>
      </c>
      <c r="H689" t="str">
        <f>VLOOKUP(A689,'Remote work mental helath'!$A$2:$T$1001,14,)</f>
        <v>Increase</v>
      </c>
      <c r="I689" t="str">
        <f>VLOOKUP(A689,'Remote work mental helath'!$A$2:$T$1001,16,)</f>
        <v>Satisfied</v>
      </c>
      <c r="J689" t="str">
        <f>VLOOKUP(A689,'Remote work mental helath'!$A$2:$T$1001,13,)</f>
        <v>No</v>
      </c>
      <c r="K689">
        <f>VLOOKUP(A689,'Remote work mental helath'!$A$2:$T$1001,17,FALSE)</f>
        <v>1</v>
      </c>
    </row>
    <row r="690" spans="1:11" x14ac:dyDescent="0.3">
      <c r="A690" t="s">
        <v>739</v>
      </c>
      <c r="B690" t="str">
        <f>VLOOKUP(A690,'Remote work mental helath'!$A$2:$T$1001,12,)</f>
        <v>Depression</v>
      </c>
      <c r="C690" t="str">
        <f>VLOOKUP(A690,'Remote work mental helath'!$A$2:$T$1001,11,)</f>
        <v>High</v>
      </c>
      <c r="D690">
        <f>VLOOKUP('Mental Helath'!A690,'Remote work mental helath'!$A$2:$T$1001,10,)</f>
        <v>4</v>
      </c>
      <c r="E690" t="str">
        <f>VLOOKUP(A690,'Remote work mental helath'!A690:T1689,19,FALSE)</f>
        <v>Average</v>
      </c>
      <c r="F690" t="str">
        <f>VLOOKUP(A690,'Remote work mental helath'!$A$2:$T$1001,18,)</f>
        <v>Daily</v>
      </c>
      <c r="G690">
        <f>VLOOKUP(A690,'Remote work mental helath'!$A$2:$T$1001,15,FALSE)</f>
        <v>3</v>
      </c>
      <c r="H690" t="str">
        <f>VLOOKUP(A690,'Remote work mental helath'!$A$2:$T$1001,14,)</f>
        <v>Increase</v>
      </c>
      <c r="I690" t="str">
        <f>VLOOKUP(A690,'Remote work mental helath'!$A$2:$T$1001,16,)</f>
        <v>Neutral</v>
      </c>
      <c r="J690" t="str">
        <f>VLOOKUP(A690,'Remote work mental helath'!$A$2:$T$1001,13,)</f>
        <v>Yes</v>
      </c>
      <c r="K690">
        <f>VLOOKUP(A690,'Remote work mental helath'!$A$2:$T$1001,17,FALSE)</f>
        <v>2</v>
      </c>
    </row>
    <row r="691" spans="1:11" x14ac:dyDescent="0.3">
      <c r="A691" t="s">
        <v>740</v>
      </c>
      <c r="B691" t="str">
        <f>VLOOKUP(A691,'Remote work mental helath'!$A$2:$T$1001,12,)</f>
        <v>Burnout</v>
      </c>
      <c r="C691" t="str">
        <f>VLOOKUP(A691,'Remote work mental helath'!$A$2:$T$1001,11,)</f>
        <v>Medium</v>
      </c>
      <c r="D691">
        <f>VLOOKUP('Mental Helath'!A691,'Remote work mental helath'!$A$2:$T$1001,10,)</f>
        <v>1</v>
      </c>
      <c r="E691" t="str">
        <f>VLOOKUP(A691,'Remote work mental helath'!A691:T1690,19,FALSE)</f>
        <v>Good</v>
      </c>
      <c r="F691" t="str">
        <f>VLOOKUP(A691,'Remote work mental helath'!$A$2:$T$1001,18,)</f>
        <v>Weekly</v>
      </c>
      <c r="G691">
        <f>VLOOKUP(A691,'Remote work mental helath'!$A$2:$T$1001,15,FALSE)</f>
        <v>4</v>
      </c>
      <c r="H691" t="str">
        <f>VLOOKUP(A691,'Remote work mental helath'!$A$2:$T$1001,14,)</f>
        <v>Decrease</v>
      </c>
      <c r="I691" t="str">
        <f>VLOOKUP(A691,'Remote work mental helath'!$A$2:$T$1001,16,)</f>
        <v>Satisfied</v>
      </c>
      <c r="J691" t="str">
        <f>VLOOKUP(A691,'Remote work mental helath'!$A$2:$T$1001,13,)</f>
        <v>Yes</v>
      </c>
      <c r="K691">
        <f>VLOOKUP(A691,'Remote work mental helath'!$A$2:$T$1001,17,FALSE)</f>
        <v>4</v>
      </c>
    </row>
    <row r="692" spans="1:11" x14ac:dyDescent="0.3">
      <c r="A692" t="s">
        <v>741</v>
      </c>
      <c r="B692" t="str">
        <f>VLOOKUP(A692,'Remote work mental helath'!$A$2:$T$1001,12,)</f>
        <v>Anxiety</v>
      </c>
      <c r="C692" t="str">
        <f>VLOOKUP(A692,'Remote work mental helath'!$A$2:$T$1001,11,)</f>
        <v>Medium</v>
      </c>
      <c r="D692">
        <f>VLOOKUP('Mental Helath'!A692,'Remote work mental helath'!$A$2:$T$1001,10,)</f>
        <v>3</v>
      </c>
      <c r="E692" t="str">
        <f>VLOOKUP(A692,'Remote work mental helath'!A692:T1691,19,FALSE)</f>
        <v>Good</v>
      </c>
      <c r="F692" t="str">
        <f>VLOOKUP(A692,'Remote work mental helath'!$A$2:$T$1001,18,)</f>
        <v>None</v>
      </c>
      <c r="G692">
        <f>VLOOKUP(A692,'Remote work mental helath'!$A$2:$T$1001,15,FALSE)</f>
        <v>4</v>
      </c>
      <c r="H692" t="str">
        <f>VLOOKUP(A692,'Remote work mental helath'!$A$2:$T$1001,14,)</f>
        <v>No Change</v>
      </c>
      <c r="I692" t="str">
        <f>VLOOKUP(A692,'Remote work mental helath'!$A$2:$T$1001,16,)</f>
        <v>Satisfied</v>
      </c>
      <c r="J692" t="str">
        <f>VLOOKUP(A692,'Remote work mental helath'!$A$2:$T$1001,13,)</f>
        <v>Yes</v>
      </c>
      <c r="K692">
        <f>VLOOKUP(A692,'Remote work mental helath'!$A$2:$T$1001,17,FALSE)</f>
        <v>3</v>
      </c>
    </row>
    <row r="693" spans="1:11" x14ac:dyDescent="0.3">
      <c r="A693" t="s">
        <v>742</v>
      </c>
      <c r="B693" t="str">
        <f>VLOOKUP(A693,'Remote work mental helath'!$A$2:$T$1001,12,)</f>
        <v>Depression</v>
      </c>
      <c r="C693" t="str">
        <f>VLOOKUP(A693,'Remote work mental helath'!$A$2:$T$1001,11,)</f>
        <v>Low</v>
      </c>
      <c r="D693">
        <f>VLOOKUP('Mental Helath'!A693,'Remote work mental helath'!$A$2:$T$1001,10,)</f>
        <v>3</v>
      </c>
      <c r="E693" t="str">
        <f>VLOOKUP(A693,'Remote work mental helath'!A693:T1692,19,FALSE)</f>
        <v>Poor</v>
      </c>
      <c r="F693" t="str">
        <f>VLOOKUP(A693,'Remote work mental helath'!$A$2:$T$1001,18,)</f>
        <v>Daily</v>
      </c>
      <c r="G693">
        <f>VLOOKUP(A693,'Remote work mental helath'!$A$2:$T$1001,15,FALSE)</f>
        <v>4</v>
      </c>
      <c r="H693" t="str">
        <f>VLOOKUP(A693,'Remote work mental helath'!$A$2:$T$1001,14,)</f>
        <v>Increase</v>
      </c>
      <c r="I693" t="str">
        <f>VLOOKUP(A693,'Remote work mental helath'!$A$2:$T$1001,16,)</f>
        <v>Neutral</v>
      </c>
      <c r="J693" t="str">
        <f>VLOOKUP(A693,'Remote work mental helath'!$A$2:$T$1001,13,)</f>
        <v>No</v>
      </c>
      <c r="K693">
        <f>VLOOKUP(A693,'Remote work mental helath'!$A$2:$T$1001,17,FALSE)</f>
        <v>5</v>
      </c>
    </row>
    <row r="694" spans="1:11" x14ac:dyDescent="0.3">
      <c r="A694" t="s">
        <v>743</v>
      </c>
      <c r="B694" t="str">
        <f>VLOOKUP(A694,'Remote work mental helath'!$A$2:$T$1001,12,)</f>
        <v>Burnout</v>
      </c>
      <c r="C694" t="str">
        <f>VLOOKUP(A694,'Remote work mental helath'!$A$2:$T$1001,11,)</f>
        <v>Medium</v>
      </c>
      <c r="D694">
        <f>VLOOKUP('Mental Helath'!A694,'Remote work mental helath'!$A$2:$T$1001,10,)</f>
        <v>5</v>
      </c>
      <c r="E694" t="str">
        <f>VLOOKUP(A694,'Remote work mental helath'!A694:T1693,19,FALSE)</f>
        <v>Average</v>
      </c>
      <c r="F694" t="str">
        <f>VLOOKUP(A694,'Remote work mental helath'!$A$2:$T$1001,18,)</f>
        <v>Daily</v>
      </c>
      <c r="G694">
        <f>VLOOKUP(A694,'Remote work mental helath'!$A$2:$T$1001,15,FALSE)</f>
        <v>5</v>
      </c>
      <c r="H694" t="str">
        <f>VLOOKUP(A694,'Remote work mental helath'!$A$2:$T$1001,14,)</f>
        <v>No Change</v>
      </c>
      <c r="I694" t="str">
        <f>VLOOKUP(A694,'Remote work mental helath'!$A$2:$T$1001,16,)</f>
        <v>Unsatisfied</v>
      </c>
      <c r="J694" t="str">
        <f>VLOOKUP(A694,'Remote work mental helath'!$A$2:$T$1001,13,)</f>
        <v>No</v>
      </c>
      <c r="K694">
        <f>VLOOKUP(A694,'Remote work mental helath'!$A$2:$T$1001,17,FALSE)</f>
        <v>3</v>
      </c>
    </row>
    <row r="695" spans="1:11" x14ac:dyDescent="0.3">
      <c r="A695" t="s">
        <v>744</v>
      </c>
      <c r="B695" t="str">
        <f>VLOOKUP(A695,'Remote work mental helath'!$A$2:$T$1001,12,)</f>
        <v>None</v>
      </c>
      <c r="C695" t="str">
        <f>VLOOKUP(A695,'Remote work mental helath'!$A$2:$T$1001,11,)</f>
        <v>Low</v>
      </c>
      <c r="D695">
        <f>VLOOKUP('Mental Helath'!A695,'Remote work mental helath'!$A$2:$T$1001,10,)</f>
        <v>5</v>
      </c>
      <c r="E695" t="str">
        <f>VLOOKUP(A695,'Remote work mental helath'!A695:T1694,19,FALSE)</f>
        <v>Average</v>
      </c>
      <c r="F695" t="str">
        <f>VLOOKUP(A695,'Remote work mental helath'!$A$2:$T$1001,18,)</f>
        <v>Daily</v>
      </c>
      <c r="G695">
        <f>VLOOKUP(A695,'Remote work mental helath'!$A$2:$T$1001,15,FALSE)</f>
        <v>1</v>
      </c>
      <c r="H695" t="str">
        <f>VLOOKUP(A695,'Remote work mental helath'!$A$2:$T$1001,14,)</f>
        <v>Decrease</v>
      </c>
      <c r="I695" t="str">
        <f>VLOOKUP(A695,'Remote work mental helath'!$A$2:$T$1001,16,)</f>
        <v>Unsatisfied</v>
      </c>
      <c r="J695" t="str">
        <f>VLOOKUP(A695,'Remote work mental helath'!$A$2:$T$1001,13,)</f>
        <v>Yes</v>
      </c>
      <c r="K695">
        <f>VLOOKUP(A695,'Remote work mental helath'!$A$2:$T$1001,17,FALSE)</f>
        <v>1</v>
      </c>
    </row>
    <row r="696" spans="1:11" x14ac:dyDescent="0.3">
      <c r="A696" t="s">
        <v>745</v>
      </c>
      <c r="B696" t="str">
        <f>VLOOKUP(A696,'Remote work mental helath'!$A$2:$T$1001,12,)</f>
        <v>None</v>
      </c>
      <c r="C696" t="str">
        <f>VLOOKUP(A696,'Remote work mental helath'!$A$2:$T$1001,11,)</f>
        <v>Low</v>
      </c>
      <c r="D696">
        <f>VLOOKUP('Mental Helath'!A696,'Remote work mental helath'!$A$2:$T$1001,10,)</f>
        <v>3</v>
      </c>
      <c r="E696" t="str">
        <f>VLOOKUP(A696,'Remote work mental helath'!A696:T1695,19,FALSE)</f>
        <v>Poor</v>
      </c>
      <c r="F696" t="str">
        <f>VLOOKUP(A696,'Remote work mental helath'!$A$2:$T$1001,18,)</f>
        <v>Weekly</v>
      </c>
      <c r="G696">
        <f>VLOOKUP(A696,'Remote work mental helath'!$A$2:$T$1001,15,FALSE)</f>
        <v>1</v>
      </c>
      <c r="H696" t="str">
        <f>VLOOKUP(A696,'Remote work mental helath'!$A$2:$T$1001,14,)</f>
        <v>Increase</v>
      </c>
      <c r="I696" t="str">
        <f>VLOOKUP(A696,'Remote work mental helath'!$A$2:$T$1001,16,)</f>
        <v>Unsatisfied</v>
      </c>
      <c r="J696" t="str">
        <f>VLOOKUP(A696,'Remote work mental helath'!$A$2:$T$1001,13,)</f>
        <v>Yes</v>
      </c>
      <c r="K696">
        <f>VLOOKUP(A696,'Remote work mental helath'!$A$2:$T$1001,17,FALSE)</f>
        <v>1</v>
      </c>
    </row>
    <row r="697" spans="1:11" x14ac:dyDescent="0.3">
      <c r="A697" t="s">
        <v>746</v>
      </c>
      <c r="B697" t="str">
        <f>VLOOKUP(A697,'Remote work mental helath'!$A$2:$T$1001,12,)</f>
        <v>None</v>
      </c>
      <c r="C697" t="str">
        <f>VLOOKUP(A697,'Remote work mental helath'!$A$2:$T$1001,11,)</f>
        <v>Medium</v>
      </c>
      <c r="D697">
        <f>VLOOKUP('Mental Helath'!A697,'Remote work mental helath'!$A$2:$T$1001,10,)</f>
        <v>5</v>
      </c>
      <c r="E697" t="str">
        <f>VLOOKUP(A697,'Remote work mental helath'!A697:T1696,19,FALSE)</f>
        <v>Poor</v>
      </c>
      <c r="F697" t="str">
        <f>VLOOKUP(A697,'Remote work mental helath'!$A$2:$T$1001,18,)</f>
        <v>None</v>
      </c>
      <c r="G697">
        <f>VLOOKUP(A697,'Remote work mental helath'!$A$2:$T$1001,15,FALSE)</f>
        <v>4</v>
      </c>
      <c r="H697" t="str">
        <f>VLOOKUP(A697,'Remote work mental helath'!$A$2:$T$1001,14,)</f>
        <v>Increase</v>
      </c>
      <c r="I697" t="str">
        <f>VLOOKUP(A697,'Remote work mental helath'!$A$2:$T$1001,16,)</f>
        <v>Neutral</v>
      </c>
      <c r="J697" t="str">
        <f>VLOOKUP(A697,'Remote work mental helath'!$A$2:$T$1001,13,)</f>
        <v>No</v>
      </c>
      <c r="K697">
        <f>VLOOKUP(A697,'Remote work mental helath'!$A$2:$T$1001,17,FALSE)</f>
        <v>3</v>
      </c>
    </row>
    <row r="698" spans="1:11" x14ac:dyDescent="0.3">
      <c r="A698" t="s">
        <v>747</v>
      </c>
      <c r="B698" t="str">
        <f>VLOOKUP(A698,'Remote work mental helath'!$A$2:$T$1001,12,)</f>
        <v>Depression</v>
      </c>
      <c r="C698" t="str">
        <f>VLOOKUP(A698,'Remote work mental helath'!$A$2:$T$1001,11,)</f>
        <v>Medium</v>
      </c>
      <c r="D698">
        <f>VLOOKUP('Mental Helath'!A698,'Remote work mental helath'!$A$2:$T$1001,10,)</f>
        <v>1</v>
      </c>
      <c r="E698" t="str">
        <f>VLOOKUP(A698,'Remote work mental helath'!A698:T1697,19,FALSE)</f>
        <v>Poor</v>
      </c>
      <c r="F698" t="str">
        <f>VLOOKUP(A698,'Remote work mental helath'!$A$2:$T$1001,18,)</f>
        <v>Weekly</v>
      </c>
      <c r="G698">
        <f>VLOOKUP(A698,'Remote work mental helath'!$A$2:$T$1001,15,FALSE)</f>
        <v>3</v>
      </c>
      <c r="H698" t="str">
        <f>VLOOKUP(A698,'Remote work mental helath'!$A$2:$T$1001,14,)</f>
        <v>Decrease</v>
      </c>
      <c r="I698" t="str">
        <f>VLOOKUP(A698,'Remote work mental helath'!$A$2:$T$1001,16,)</f>
        <v>Satisfied</v>
      </c>
      <c r="J698" t="str">
        <f>VLOOKUP(A698,'Remote work mental helath'!$A$2:$T$1001,13,)</f>
        <v>No</v>
      </c>
      <c r="K698">
        <f>VLOOKUP(A698,'Remote work mental helath'!$A$2:$T$1001,17,FALSE)</f>
        <v>1</v>
      </c>
    </row>
    <row r="699" spans="1:11" x14ac:dyDescent="0.3">
      <c r="A699" t="s">
        <v>748</v>
      </c>
      <c r="B699" t="str">
        <f>VLOOKUP(A699,'Remote work mental helath'!$A$2:$T$1001,12,)</f>
        <v>Burnout</v>
      </c>
      <c r="C699" t="str">
        <f>VLOOKUP(A699,'Remote work mental helath'!$A$2:$T$1001,11,)</f>
        <v>High</v>
      </c>
      <c r="D699">
        <f>VLOOKUP('Mental Helath'!A699,'Remote work mental helath'!$A$2:$T$1001,10,)</f>
        <v>1</v>
      </c>
      <c r="E699" t="str">
        <f>VLOOKUP(A699,'Remote work mental helath'!A699:T1698,19,FALSE)</f>
        <v>Poor</v>
      </c>
      <c r="F699" t="str">
        <f>VLOOKUP(A699,'Remote work mental helath'!$A$2:$T$1001,18,)</f>
        <v>Weekly</v>
      </c>
      <c r="G699">
        <f>VLOOKUP(A699,'Remote work mental helath'!$A$2:$T$1001,15,FALSE)</f>
        <v>4</v>
      </c>
      <c r="H699" t="str">
        <f>VLOOKUP(A699,'Remote work mental helath'!$A$2:$T$1001,14,)</f>
        <v>Decrease</v>
      </c>
      <c r="I699" t="str">
        <f>VLOOKUP(A699,'Remote work mental helath'!$A$2:$T$1001,16,)</f>
        <v>Neutral</v>
      </c>
      <c r="J699" t="str">
        <f>VLOOKUP(A699,'Remote work mental helath'!$A$2:$T$1001,13,)</f>
        <v>No</v>
      </c>
      <c r="K699">
        <f>VLOOKUP(A699,'Remote work mental helath'!$A$2:$T$1001,17,FALSE)</f>
        <v>2</v>
      </c>
    </row>
    <row r="700" spans="1:11" x14ac:dyDescent="0.3">
      <c r="A700" t="s">
        <v>749</v>
      </c>
      <c r="B700" t="str">
        <f>VLOOKUP(A700,'Remote work mental helath'!$A$2:$T$1001,12,)</f>
        <v>Depression</v>
      </c>
      <c r="C700" t="str">
        <f>VLOOKUP(A700,'Remote work mental helath'!$A$2:$T$1001,11,)</f>
        <v>Medium</v>
      </c>
      <c r="D700">
        <f>VLOOKUP('Mental Helath'!A700,'Remote work mental helath'!$A$2:$T$1001,10,)</f>
        <v>3</v>
      </c>
      <c r="E700" t="str">
        <f>VLOOKUP(A700,'Remote work mental helath'!A700:T1699,19,FALSE)</f>
        <v>Good</v>
      </c>
      <c r="F700" t="str">
        <f>VLOOKUP(A700,'Remote work mental helath'!$A$2:$T$1001,18,)</f>
        <v>Daily</v>
      </c>
      <c r="G700">
        <f>VLOOKUP(A700,'Remote work mental helath'!$A$2:$T$1001,15,FALSE)</f>
        <v>4</v>
      </c>
      <c r="H700" t="str">
        <f>VLOOKUP(A700,'Remote work mental helath'!$A$2:$T$1001,14,)</f>
        <v>No Change</v>
      </c>
      <c r="I700" t="str">
        <f>VLOOKUP(A700,'Remote work mental helath'!$A$2:$T$1001,16,)</f>
        <v>Unsatisfied</v>
      </c>
      <c r="J700" t="str">
        <f>VLOOKUP(A700,'Remote work mental helath'!$A$2:$T$1001,13,)</f>
        <v>No</v>
      </c>
      <c r="K700">
        <f>VLOOKUP(A700,'Remote work mental helath'!$A$2:$T$1001,17,FALSE)</f>
        <v>5</v>
      </c>
    </row>
    <row r="701" spans="1:11" x14ac:dyDescent="0.3">
      <c r="A701" t="s">
        <v>750</v>
      </c>
      <c r="B701" t="str">
        <f>VLOOKUP(A701,'Remote work mental helath'!$A$2:$T$1001,12,)</f>
        <v>Burnout</v>
      </c>
      <c r="C701" t="str">
        <f>VLOOKUP(A701,'Remote work mental helath'!$A$2:$T$1001,11,)</f>
        <v>High</v>
      </c>
      <c r="D701">
        <f>VLOOKUP('Mental Helath'!A701,'Remote work mental helath'!$A$2:$T$1001,10,)</f>
        <v>3</v>
      </c>
      <c r="E701" t="str">
        <f>VLOOKUP(A701,'Remote work mental helath'!A701:T1700,19,FALSE)</f>
        <v>Good</v>
      </c>
      <c r="F701" t="str">
        <f>VLOOKUP(A701,'Remote work mental helath'!$A$2:$T$1001,18,)</f>
        <v>Weekly</v>
      </c>
      <c r="G701">
        <f>VLOOKUP(A701,'Remote work mental helath'!$A$2:$T$1001,15,FALSE)</f>
        <v>3</v>
      </c>
      <c r="H701" t="str">
        <f>VLOOKUP(A701,'Remote work mental helath'!$A$2:$T$1001,14,)</f>
        <v>Increase</v>
      </c>
      <c r="I701" t="str">
        <f>VLOOKUP(A701,'Remote work mental helath'!$A$2:$T$1001,16,)</f>
        <v>Satisfied</v>
      </c>
      <c r="J701" t="str">
        <f>VLOOKUP(A701,'Remote work mental helath'!$A$2:$T$1001,13,)</f>
        <v>No</v>
      </c>
      <c r="K701">
        <f>VLOOKUP(A701,'Remote work mental helath'!$A$2:$T$1001,17,FALSE)</f>
        <v>5</v>
      </c>
    </row>
    <row r="702" spans="1:11" x14ac:dyDescent="0.3">
      <c r="A702" t="s">
        <v>751</v>
      </c>
      <c r="B702" t="str">
        <f>VLOOKUP(A702,'Remote work mental helath'!$A$2:$T$1001,12,)</f>
        <v>None</v>
      </c>
      <c r="C702" t="str">
        <f>VLOOKUP(A702,'Remote work mental helath'!$A$2:$T$1001,11,)</f>
        <v>Medium</v>
      </c>
      <c r="D702">
        <f>VLOOKUP('Mental Helath'!A702,'Remote work mental helath'!$A$2:$T$1001,10,)</f>
        <v>3</v>
      </c>
      <c r="E702" t="str">
        <f>VLOOKUP(A702,'Remote work mental helath'!A702:T1701,19,FALSE)</f>
        <v>Poor</v>
      </c>
      <c r="F702" t="str">
        <f>VLOOKUP(A702,'Remote work mental helath'!$A$2:$T$1001,18,)</f>
        <v>Daily</v>
      </c>
      <c r="G702">
        <f>VLOOKUP(A702,'Remote work mental helath'!$A$2:$T$1001,15,FALSE)</f>
        <v>1</v>
      </c>
      <c r="H702" t="str">
        <f>VLOOKUP(A702,'Remote work mental helath'!$A$2:$T$1001,14,)</f>
        <v>Increase</v>
      </c>
      <c r="I702" t="str">
        <f>VLOOKUP(A702,'Remote work mental helath'!$A$2:$T$1001,16,)</f>
        <v>Satisfied</v>
      </c>
      <c r="J702" t="str">
        <f>VLOOKUP(A702,'Remote work mental helath'!$A$2:$T$1001,13,)</f>
        <v>No</v>
      </c>
      <c r="K702">
        <f>VLOOKUP(A702,'Remote work mental helath'!$A$2:$T$1001,17,FALSE)</f>
        <v>3</v>
      </c>
    </row>
    <row r="703" spans="1:11" x14ac:dyDescent="0.3">
      <c r="A703" t="s">
        <v>752</v>
      </c>
      <c r="B703" t="str">
        <f>VLOOKUP(A703,'Remote work mental helath'!$A$2:$T$1001,12,)</f>
        <v>None</v>
      </c>
      <c r="C703" t="str">
        <f>VLOOKUP(A703,'Remote work mental helath'!$A$2:$T$1001,11,)</f>
        <v>High</v>
      </c>
      <c r="D703">
        <f>VLOOKUP('Mental Helath'!A703,'Remote work mental helath'!$A$2:$T$1001,10,)</f>
        <v>2</v>
      </c>
      <c r="E703" t="str">
        <f>VLOOKUP(A703,'Remote work mental helath'!A703:T1702,19,FALSE)</f>
        <v>Average</v>
      </c>
      <c r="F703" t="str">
        <f>VLOOKUP(A703,'Remote work mental helath'!$A$2:$T$1001,18,)</f>
        <v>None</v>
      </c>
      <c r="G703">
        <f>VLOOKUP(A703,'Remote work mental helath'!$A$2:$T$1001,15,FALSE)</f>
        <v>5</v>
      </c>
      <c r="H703" t="str">
        <f>VLOOKUP(A703,'Remote work mental helath'!$A$2:$T$1001,14,)</f>
        <v>No Change</v>
      </c>
      <c r="I703" t="str">
        <f>VLOOKUP(A703,'Remote work mental helath'!$A$2:$T$1001,16,)</f>
        <v>Neutral</v>
      </c>
      <c r="J703" t="str">
        <f>VLOOKUP(A703,'Remote work mental helath'!$A$2:$T$1001,13,)</f>
        <v>No</v>
      </c>
      <c r="K703">
        <f>VLOOKUP(A703,'Remote work mental helath'!$A$2:$T$1001,17,FALSE)</f>
        <v>3</v>
      </c>
    </row>
    <row r="704" spans="1:11" x14ac:dyDescent="0.3">
      <c r="A704" t="s">
        <v>753</v>
      </c>
      <c r="B704" t="str">
        <f>VLOOKUP(A704,'Remote work mental helath'!$A$2:$T$1001,12,)</f>
        <v>None</v>
      </c>
      <c r="C704" t="str">
        <f>VLOOKUP(A704,'Remote work mental helath'!$A$2:$T$1001,11,)</f>
        <v>Medium</v>
      </c>
      <c r="D704">
        <f>VLOOKUP('Mental Helath'!A704,'Remote work mental helath'!$A$2:$T$1001,10,)</f>
        <v>1</v>
      </c>
      <c r="E704" t="str">
        <f>VLOOKUP(A704,'Remote work mental helath'!A704:T1703,19,FALSE)</f>
        <v>Poor</v>
      </c>
      <c r="F704" t="str">
        <f>VLOOKUP(A704,'Remote work mental helath'!$A$2:$T$1001,18,)</f>
        <v>Weekly</v>
      </c>
      <c r="G704">
        <f>VLOOKUP(A704,'Remote work mental helath'!$A$2:$T$1001,15,FALSE)</f>
        <v>5</v>
      </c>
      <c r="H704" t="str">
        <f>VLOOKUP(A704,'Remote work mental helath'!$A$2:$T$1001,14,)</f>
        <v>Increase</v>
      </c>
      <c r="I704" t="str">
        <f>VLOOKUP(A704,'Remote work mental helath'!$A$2:$T$1001,16,)</f>
        <v>Unsatisfied</v>
      </c>
      <c r="J704" t="str">
        <f>VLOOKUP(A704,'Remote work mental helath'!$A$2:$T$1001,13,)</f>
        <v>Yes</v>
      </c>
      <c r="K704">
        <f>VLOOKUP(A704,'Remote work mental helath'!$A$2:$T$1001,17,FALSE)</f>
        <v>1</v>
      </c>
    </row>
    <row r="705" spans="1:11" x14ac:dyDescent="0.3">
      <c r="A705" t="s">
        <v>754</v>
      </c>
      <c r="B705" t="str">
        <f>VLOOKUP(A705,'Remote work mental helath'!$A$2:$T$1001,12,)</f>
        <v>Depression</v>
      </c>
      <c r="C705" t="str">
        <f>VLOOKUP(A705,'Remote work mental helath'!$A$2:$T$1001,11,)</f>
        <v>Medium</v>
      </c>
      <c r="D705">
        <f>VLOOKUP('Mental Helath'!A705,'Remote work mental helath'!$A$2:$T$1001,10,)</f>
        <v>1</v>
      </c>
      <c r="E705" t="str">
        <f>VLOOKUP(A705,'Remote work mental helath'!A705:T1704,19,FALSE)</f>
        <v>Average</v>
      </c>
      <c r="F705" t="str">
        <f>VLOOKUP(A705,'Remote work mental helath'!$A$2:$T$1001,18,)</f>
        <v>None</v>
      </c>
      <c r="G705">
        <f>VLOOKUP(A705,'Remote work mental helath'!$A$2:$T$1001,15,FALSE)</f>
        <v>5</v>
      </c>
      <c r="H705" t="str">
        <f>VLOOKUP(A705,'Remote work mental helath'!$A$2:$T$1001,14,)</f>
        <v>Increase</v>
      </c>
      <c r="I705" t="str">
        <f>VLOOKUP(A705,'Remote work mental helath'!$A$2:$T$1001,16,)</f>
        <v>Neutral</v>
      </c>
      <c r="J705" t="str">
        <f>VLOOKUP(A705,'Remote work mental helath'!$A$2:$T$1001,13,)</f>
        <v>Yes</v>
      </c>
      <c r="K705">
        <f>VLOOKUP(A705,'Remote work mental helath'!$A$2:$T$1001,17,FALSE)</f>
        <v>4</v>
      </c>
    </row>
    <row r="706" spans="1:11" x14ac:dyDescent="0.3">
      <c r="A706" t="s">
        <v>755</v>
      </c>
      <c r="B706" t="str">
        <f>VLOOKUP(A706,'Remote work mental helath'!$A$2:$T$1001,12,)</f>
        <v>None</v>
      </c>
      <c r="C706" t="str">
        <f>VLOOKUP(A706,'Remote work mental helath'!$A$2:$T$1001,11,)</f>
        <v>Low</v>
      </c>
      <c r="D706">
        <f>VLOOKUP('Mental Helath'!A706,'Remote work mental helath'!$A$2:$T$1001,10,)</f>
        <v>2</v>
      </c>
      <c r="E706" t="str">
        <f>VLOOKUP(A706,'Remote work mental helath'!A706:T1705,19,FALSE)</f>
        <v>Good</v>
      </c>
      <c r="F706" t="str">
        <f>VLOOKUP(A706,'Remote work mental helath'!$A$2:$T$1001,18,)</f>
        <v>None</v>
      </c>
      <c r="G706">
        <f>VLOOKUP(A706,'Remote work mental helath'!$A$2:$T$1001,15,FALSE)</f>
        <v>1</v>
      </c>
      <c r="H706" t="str">
        <f>VLOOKUP(A706,'Remote work mental helath'!$A$2:$T$1001,14,)</f>
        <v>Decrease</v>
      </c>
      <c r="I706" t="str">
        <f>VLOOKUP(A706,'Remote work mental helath'!$A$2:$T$1001,16,)</f>
        <v>Satisfied</v>
      </c>
      <c r="J706" t="str">
        <f>VLOOKUP(A706,'Remote work mental helath'!$A$2:$T$1001,13,)</f>
        <v>No</v>
      </c>
      <c r="K706">
        <f>VLOOKUP(A706,'Remote work mental helath'!$A$2:$T$1001,17,FALSE)</f>
        <v>3</v>
      </c>
    </row>
    <row r="707" spans="1:11" x14ac:dyDescent="0.3">
      <c r="A707" t="s">
        <v>756</v>
      </c>
      <c r="B707" t="str">
        <f>VLOOKUP(A707,'Remote work mental helath'!$A$2:$T$1001,12,)</f>
        <v>Depression</v>
      </c>
      <c r="C707" t="str">
        <f>VLOOKUP(A707,'Remote work mental helath'!$A$2:$T$1001,11,)</f>
        <v>Low</v>
      </c>
      <c r="D707">
        <f>VLOOKUP('Mental Helath'!A707,'Remote work mental helath'!$A$2:$T$1001,10,)</f>
        <v>3</v>
      </c>
      <c r="E707" t="str">
        <f>VLOOKUP(A707,'Remote work mental helath'!A707:T1706,19,FALSE)</f>
        <v>Average</v>
      </c>
      <c r="F707" t="str">
        <f>VLOOKUP(A707,'Remote work mental helath'!$A$2:$T$1001,18,)</f>
        <v>None</v>
      </c>
      <c r="G707">
        <f>VLOOKUP(A707,'Remote work mental helath'!$A$2:$T$1001,15,FALSE)</f>
        <v>1</v>
      </c>
      <c r="H707" t="str">
        <f>VLOOKUP(A707,'Remote work mental helath'!$A$2:$T$1001,14,)</f>
        <v>Increase</v>
      </c>
      <c r="I707" t="str">
        <f>VLOOKUP(A707,'Remote work mental helath'!$A$2:$T$1001,16,)</f>
        <v>Satisfied</v>
      </c>
      <c r="J707" t="str">
        <f>VLOOKUP(A707,'Remote work mental helath'!$A$2:$T$1001,13,)</f>
        <v>Yes</v>
      </c>
      <c r="K707">
        <f>VLOOKUP(A707,'Remote work mental helath'!$A$2:$T$1001,17,FALSE)</f>
        <v>2</v>
      </c>
    </row>
    <row r="708" spans="1:11" x14ac:dyDescent="0.3">
      <c r="A708" t="s">
        <v>757</v>
      </c>
      <c r="B708" t="str">
        <f>VLOOKUP(A708,'Remote work mental helath'!$A$2:$T$1001,12,)</f>
        <v>None</v>
      </c>
      <c r="C708" t="str">
        <f>VLOOKUP(A708,'Remote work mental helath'!$A$2:$T$1001,11,)</f>
        <v>Medium</v>
      </c>
      <c r="D708">
        <f>VLOOKUP('Mental Helath'!A708,'Remote work mental helath'!$A$2:$T$1001,10,)</f>
        <v>2</v>
      </c>
      <c r="E708" t="str">
        <f>VLOOKUP(A708,'Remote work mental helath'!A708:T1707,19,FALSE)</f>
        <v>Average</v>
      </c>
      <c r="F708" t="str">
        <f>VLOOKUP(A708,'Remote work mental helath'!$A$2:$T$1001,18,)</f>
        <v>None</v>
      </c>
      <c r="G708">
        <f>VLOOKUP(A708,'Remote work mental helath'!$A$2:$T$1001,15,FALSE)</f>
        <v>2</v>
      </c>
      <c r="H708" t="str">
        <f>VLOOKUP(A708,'Remote work mental helath'!$A$2:$T$1001,14,)</f>
        <v>Decrease</v>
      </c>
      <c r="I708" t="str">
        <f>VLOOKUP(A708,'Remote work mental helath'!$A$2:$T$1001,16,)</f>
        <v>Neutral</v>
      </c>
      <c r="J708" t="str">
        <f>VLOOKUP(A708,'Remote work mental helath'!$A$2:$T$1001,13,)</f>
        <v>No</v>
      </c>
      <c r="K708">
        <f>VLOOKUP(A708,'Remote work mental helath'!$A$2:$T$1001,17,FALSE)</f>
        <v>4</v>
      </c>
    </row>
    <row r="709" spans="1:11" x14ac:dyDescent="0.3">
      <c r="A709" t="s">
        <v>758</v>
      </c>
      <c r="B709" t="str">
        <f>VLOOKUP(A709,'Remote work mental helath'!$A$2:$T$1001,12,)</f>
        <v>None</v>
      </c>
      <c r="C709" t="str">
        <f>VLOOKUP(A709,'Remote work mental helath'!$A$2:$T$1001,11,)</f>
        <v>Medium</v>
      </c>
      <c r="D709">
        <f>VLOOKUP('Mental Helath'!A709,'Remote work mental helath'!$A$2:$T$1001,10,)</f>
        <v>4</v>
      </c>
      <c r="E709" t="str">
        <f>VLOOKUP(A709,'Remote work mental helath'!A709:T1708,19,FALSE)</f>
        <v>Average</v>
      </c>
      <c r="F709" t="str">
        <f>VLOOKUP(A709,'Remote work mental helath'!$A$2:$T$1001,18,)</f>
        <v>Weekly</v>
      </c>
      <c r="G709">
        <f>VLOOKUP(A709,'Remote work mental helath'!$A$2:$T$1001,15,FALSE)</f>
        <v>3</v>
      </c>
      <c r="H709" t="str">
        <f>VLOOKUP(A709,'Remote work mental helath'!$A$2:$T$1001,14,)</f>
        <v>Decrease</v>
      </c>
      <c r="I709" t="str">
        <f>VLOOKUP(A709,'Remote work mental helath'!$A$2:$T$1001,16,)</f>
        <v>Unsatisfied</v>
      </c>
      <c r="J709" t="str">
        <f>VLOOKUP(A709,'Remote work mental helath'!$A$2:$T$1001,13,)</f>
        <v>Yes</v>
      </c>
      <c r="K709">
        <f>VLOOKUP(A709,'Remote work mental helath'!$A$2:$T$1001,17,FALSE)</f>
        <v>1</v>
      </c>
    </row>
    <row r="710" spans="1:11" x14ac:dyDescent="0.3">
      <c r="A710" t="s">
        <v>759</v>
      </c>
      <c r="B710" t="str">
        <f>VLOOKUP(A710,'Remote work mental helath'!$A$2:$T$1001,12,)</f>
        <v>None</v>
      </c>
      <c r="C710" t="str">
        <f>VLOOKUP(A710,'Remote work mental helath'!$A$2:$T$1001,11,)</f>
        <v>Low</v>
      </c>
      <c r="D710">
        <f>VLOOKUP('Mental Helath'!A710,'Remote work mental helath'!$A$2:$T$1001,10,)</f>
        <v>3</v>
      </c>
      <c r="E710" t="str">
        <f>VLOOKUP(A710,'Remote work mental helath'!A710:T1709,19,FALSE)</f>
        <v>Average</v>
      </c>
      <c r="F710" t="str">
        <f>VLOOKUP(A710,'Remote work mental helath'!$A$2:$T$1001,18,)</f>
        <v>None</v>
      </c>
      <c r="G710">
        <f>VLOOKUP(A710,'Remote work mental helath'!$A$2:$T$1001,15,FALSE)</f>
        <v>5</v>
      </c>
      <c r="H710" t="str">
        <f>VLOOKUP(A710,'Remote work mental helath'!$A$2:$T$1001,14,)</f>
        <v>Decrease</v>
      </c>
      <c r="I710" t="str">
        <f>VLOOKUP(A710,'Remote work mental helath'!$A$2:$T$1001,16,)</f>
        <v>Neutral</v>
      </c>
      <c r="J710" t="str">
        <f>VLOOKUP(A710,'Remote work mental helath'!$A$2:$T$1001,13,)</f>
        <v>No</v>
      </c>
      <c r="K710">
        <f>VLOOKUP(A710,'Remote work mental helath'!$A$2:$T$1001,17,FALSE)</f>
        <v>4</v>
      </c>
    </row>
    <row r="711" spans="1:11" x14ac:dyDescent="0.3">
      <c r="A711" t="s">
        <v>760</v>
      </c>
      <c r="B711" t="str">
        <f>VLOOKUP(A711,'Remote work mental helath'!$A$2:$T$1001,12,)</f>
        <v>Burnout</v>
      </c>
      <c r="C711" t="str">
        <f>VLOOKUP(A711,'Remote work mental helath'!$A$2:$T$1001,11,)</f>
        <v>High</v>
      </c>
      <c r="D711">
        <f>VLOOKUP('Mental Helath'!A711,'Remote work mental helath'!$A$2:$T$1001,10,)</f>
        <v>4</v>
      </c>
      <c r="E711" t="str">
        <f>VLOOKUP(A711,'Remote work mental helath'!A711:T1710,19,FALSE)</f>
        <v>Good</v>
      </c>
      <c r="F711" t="str">
        <f>VLOOKUP(A711,'Remote work mental helath'!$A$2:$T$1001,18,)</f>
        <v>None</v>
      </c>
      <c r="G711">
        <f>VLOOKUP(A711,'Remote work mental helath'!$A$2:$T$1001,15,FALSE)</f>
        <v>1</v>
      </c>
      <c r="H711" t="str">
        <f>VLOOKUP(A711,'Remote work mental helath'!$A$2:$T$1001,14,)</f>
        <v>Decrease</v>
      </c>
      <c r="I711" t="str">
        <f>VLOOKUP(A711,'Remote work mental helath'!$A$2:$T$1001,16,)</f>
        <v>Satisfied</v>
      </c>
      <c r="J711" t="str">
        <f>VLOOKUP(A711,'Remote work mental helath'!$A$2:$T$1001,13,)</f>
        <v>Yes</v>
      </c>
      <c r="K711">
        <f>VLOOKUP(A711,'Remote work mental helath'!$A$2:$T$1001,17,FALSE)</f>
        <v>1</v>
      </c>
    </row>
    <row r="712" spans="1:11" x14ac:dyDescent="0.3">
      <c r="A712" t="s">
        <v>761</v>
      </c>
      <c r="B712" t="str">
        <f>VLOOKUP(A712,'Remote work mental helath'!$A$2:$T$1001,12,)</f>
        <v>None</v>
      </c>
      <c r="C712" t="str">
        <f>VLOOKUP(A712,'Remote work mental helath'!$A$2:$T$1001,11,)</f>
        <v>High</v>
      </c>
      <c r="D712">
        <f>VLOOKUP('Mental Helath'!A712,'Remote work mental helath'!$A$2:$T$1001,10,)</f>
        <v>3</v>
      </c>
      <c r="E712" t="str">
        <f>VLOOKUP(A712,'Remote work mental helath'!A712:T1711,19,FALSE)</f>
        <v>Average</v>
      </c>
      <c r="F712" t="str">
        <f>VLOOKUP(A712,'Remote work mental helath'!$A$2:$T$1001,18,)</f>
        <v>None</v>
      </c>
      <c r="G712">
        <f>VLOOKUP(A712,'Remote work mental helath'!$A$2:$T$1001,15,FALSE)</f>
        <v>2</v>
      </c>
      <c r="H712" t="str">
        <f>VLOOKUP(A712,'Remote work mental helath'!$A$2:$T$1001,14,)</f>
        <v>No Change</v>
      </c>
      <c r="I712" t="str">
        <f>VLOOKUP(A712,'Remote work mental helath'!$A$2:$T$1001,16,)</f>
        <v>Satisfied</v>
      </c>
      <c r="J712" t="str">
        <f>VLOOKUP(A712,'Remote work mental helath'!$A$2:$T$1001,13,)</f>
        <v>No</v>
      </c>
      <c r="K712">
        <f>VLOOKUP(A712,'Remote work mental helath'!$A$2:$T$1001,17,FALSE)</f>
        <v>5</v>
      </c>
    </row>
    <row r="713" spans="1:11" x14ac:dyDescent="0.3">
      <c r="A713" t="s">
        <v>762</v>
      </c>
      <c r="B713" t="str">
        <f>VLOOKUP(A713,'Remote work mental helath'!$A$2:$T$1001,12,)</f>
        <v>Burnout</v>
      </c>
      <c r="C713" t="str">
        <f>VLOOKUP(A713,'Remote work mental helath'!$A$2:$T$1001,11,)</f>
        <v>Low</v>
      </c>
      <c r="D713">
        <f>VLOOKUP('Mental Helath'!A713,'Remote work mental helath'!$A$2:$T$1001,10,)</f>
        <v>4</v>
      </c>
      <c r="E713" t="str">
        <f>VLOOKUP(A713,'Remote work mental helath'!A713:T1712,19,FALSE)</f>
        <v>Poor</v>
      </c>
      <c r="F713" t="str">
        <f>VLOOKUP(A713,'Remote work mental helath'!$A$2:$T$1001,18,)</f>
        <v>Daily</v>
      </c>
      <c r="G713">
        <f>VLOOKUP(A713,'Remote work mental helath'!$A$2:$T$1001,15,FALSE)</f>
        <v>1</v>
      </c>
      <c r="H713" t="str">
        <f>VLOOKUP(A713,'Remote work mental helath'!$A$2:$T$1001,14,)</f>
        <v>Increase</v>
      </c>
      <c r="I713" t="str">
        <f>VLOOKUP(A713,'Remote work mental helath'!$A$2:$T$1001,16,)</f>
        <v>Neutral</v>
      </c>
      <c r="J713" t="str">
        <f>VLOOKUP(A713,'Remote work mental helath'!$A$2:$T$1001,13,)</f>
        <v>Yes</v>
      </c>
      <c r="K713">
        <f>VLOOKUP(A713,'Remote work mental helath'!$A$2:$T$1001,17,FALSE)</f>
        <v>4</v>
      </c>
    </row>
    <row r="714" spans="1:11" x14ac:dyDescent="0.3">
      <c r="A714" t="s">
        <v>763</v>
      </c>
      <c r="B714" t="str">
        <f>VLOOKUP(A714,'Remote work mental helath'!$A$2:$T$1001,12,)</f>
        <v>Burnout</v>
      </c>
      <c r="C714" t="str">
        <f>VLOOKUP(A714,'Remote work mental helath'!$A$2:$T$1001,11,)</f>
        <v>High</v>
      </c>
      <c r="D714">
        <f>VLOOKUP('Mental Helath'!A714,'Remote work mental helath'!$A$2:$T$1001,10,)</f>
        <v>3</v>
      </c>
      <c r="E714" t="str">
        <f>VLOOKUP(A714,'Remote work mental helath'!A714:T1713,19,FALSE)</f>
        <v>Poor</v>
      </c>
      <c r="F714" t="str">
        <f>VLOOKUP(A714,'Remote work mental helath'!$A$2:$T$1001,18,)</f>
        <v>Weekly</v>
      </c>
      <c r="G714">
        <f>VLOOKUP(A714,'Remote work mental helath'!$A$2:$T$1001,15,FALSE)</f>
        <v>5</v>
      </c>
      <c r="H714" t="str">
        <f>VLOOKUP(A714,'Remote work mental helath'!$A$2:$T$1001,14,)</f>
        <v>No Change</v>
      </c>
      <c r="I714" t="str">
        <f>VLOOKUP(A714,'Remote work mental helath'!$A$2:$T$1001,16,)</f>
        <v>Neutral</v>
      </c>
      <c r="J714" t="str">
        <f>VLOOKUP(A714,'Remote work mental helath'!$A$2:$T$1001,13,)</f>
        <v>No</v>
      </c>
      <c r="K714">
        <f>VLOOKUP(A714,'Remote work mental helath'!$A$2:$T$1001,17,FALSE)</f>
        <v>3</v>
      </c>
    </row>
    <row r="715" spans="1:11" x14ac:dyDescent="0.3">
      <c r="A715" t="s">
        <v>764</v>
      </c>
      <c r="B715" t="str">
        <f>VLOOKUP(A715,'Remote work mental helath'!$A$2:$T$1001,12,)</f>
        <v>Burnout</v>
      </c>
      <c r="C715" t="str">
        <f>VLOOKUP(A715,'Remote work mental helath'!$A$2:$T$1001,11,)</f>
        <v>High</v>
      </c>
      <c r="D715">
        <f>VLOOKUP('Mental Helath'!A715,'Remote work mental helath'!$A$2:$T$1001,10,)</f>
        <v>1</v>
      </c>
      <c r="E715" t="str">
        <f>VLOOKUP(A715,'Remote work mental helath'!A715:T1714,19,FALSE)</f>
        <v>Poor</v>
      </c>
      <c r="F715" t="str">
        <f>VLOOKUP(A715,'Remote work mental helath'!$A$2:$T$1001,18,)</f>
        <v>Daily</v>
      </c>
      <c r="G715">
        <f>VLOOKUP(A715,'Remote work mental helath'!$A$2:$T$1001,15,FALSE)</f>
        <v>2</v>
      </c>
      <c r="H715" t="str">
        <f>VLOOKUP(A715,'Remote work mental helath'!$A$2:$T$1001,14,)</f>
        <v>No Change</v>
      </c>
      <c r="I715" t="str">
        <f>VLOOKUP(A715,'Remote work mental helath'!$A$2:$T$1001,16,)</f>
        <v>Neutral</v>
      </c>
      <c r="J715" t="str">
        <f>VLOOKUP(A715,'Remote work mental helath'!$A$2:$T$1001,13,)</f>
        <v>No</v>
      </c>
      <c r="K715">
        <f>VLOOKUP(A715,'Remote work mental helath'!$A$2:$T$1001,17,FALSE)</f>
        <v>5</v>
      </c>
    </row>
    <row r="716" spans="1:11" x14ac:dyDescent="0.3">
      <c r="A716" t="s">
        <v>765</v>
      </c>
      <c r="B716" t="str">
        <f>VLOOKUP(A716,'Remote work mental helath'!$A$2:$T$1001,12,)</f>
        <v>Burnout</v>
      </c>
      <c r="C716" t="str">
        <f>VLOOKUP(A716,'Remote work mental helath'!$A$2:$T$1001,11,)</f>
        <v>Medium</v>
      </c>
      <c r="D716">
        <f>VLOOKUP('Mental Helath'!A716,'Remote work mental helath'!$A$2:$T$1001,10,)</f>
        <v>5</v>
      </c>
      <c r="E716" t="str">
        <f>VLOOKUP(A716,'Remote work mental helath'!A716:T1715,19,FALSE)</f>
        <v>Average</v>
      </c>
      <c r="F716" t="str">
        <f>VLOOKUP(A716,'Remote work mental helath'!$A$2:$T$1001,18,)</f>
        <v>None</v>
      </c>
      <c r="G716">
        <f>VLOOKUP(A716,'Remote work mental helath'!$A$2:$T$1001,15,FALSE)</f>
        <v>1</v>
      </c>
      <c r="H716" t="str">
        <f>VLOOKUP(A716,'Remote work mental helath'!$A$2:$T$1001,14,)</f>
        <v>No Change</v>
      </c>
      <c r="I716" t="str">
        <f>VLOOKUP(A716,'Remote work mental helath'!$A$2:$T$1001,16,)</f>
        <v>Satisfied</v>
      </c>
      <c r="J716" t="str">
        <f>VLOOKUP(A716,'Remote work mental helath'!$A$2:$T$1001,13,)</f>
        <v>Yes</v>
      </c>
      <c r="K716">
        <f>VLOOKUP(A716,'Remote work mental helath'!$A$2:$T$1001,17,FALSE)</f>
        <v>5</v>
      </c>
    </row>
    <row r="717" spans="1:11" x14ac:dyDescent="0.3">
      <c r="A717" t="s">
        <v>766</v>
      </c>
      <c r="B717" t="str">
        <f>VLOOKUP(A717,'Remote work mental helath'!$A$2:$T$1001,12,)</f>
        <v>Anxiety</v>
      </c>
      <c r="C717" t="str">
        <f>VLOOKUP(A717,'Remote work mental helath'!$A$2:$T$1001,11,)</f>
        <v>High</v>
      </c>
      <c r="D717">
        <f>VLOOKUP('Mental Helath'!A717,'Remote work mental helath'!$A$2:$T$1001,10,)</f>
        <v>4</v>
      </c>
      <c r="E717" t="str">
        <f>VLOOKUP(A717,'Remote work mental helath'!A717:T1716,19,FALSE)</f>
        <v>Good</v>
      </c>
      <c r="F717" t="str">
        <f>VLOOKUP(A717,'Remote work mental helath'!$A$2:$T$1001,18,)</f>
        <v>Daily</v>
      </c>
      <c r="G717">
        <f>VLOOKUP(A717,'Remote work mental helath'!$A$2:$T$1001,15,FALSE)</f>
        <v>2</v>
      </c>
      <c r="H717" t="str">
        <f>VLOOKUP(A717,'Remote work mental helath'!$A$2:$T$1001,14,)</f>
        <v>No Change</v>
      </c>
      <c r="I717" t="str">
        <f>VLOOKUP(A717,'Remote work mental helath'!$A$2:$T$1001,16,)</f>
        <v>Unsatisfied</v>
      </c>
      <c r="J717" t="str">
        <f>VLOOKUP(A717,'Remote work mental helath'!$A$2:$T$1001,13,)</f>
        <v>Yes</v>
      </c>
      <c r="K717">
        <f>VLOOKUP(A717,'Remote work mental helath'!$A$2:$T$1001,17,FALSE)</f>
        <v>5</v>
      </c>
    </row>
    <row r="718" spans="1:11" x14ac:dyDescent="0.3">
      <c r="A718" t="s">
        <v>767</v>
      </c>
      <c r="B718" t="str">
        <f>VLOOKUP(A718,'Remote work mental helath'!$A$2:$T$1001,12,)</f>
        <v>Burnout</v>
      </c>
      <c r="C718" t="str">
        <f>VLOOKUP(A718,'Remote work mental helath'!$A$2:$T$1001,11,)</f>
        <v>High</v>
      </c>
      <c r="D718">
        <f>VLOOKUP('Mental Helath'!A718,'Remote work mental helath'!$A$2:$T$1001,10,)</f>
        <v>1</v>
      </c>
      <c r="E718" t="str">
        <f>VLOOKUP(A718,'Remote work mental helath'!A718:T1717,19,FALSE)</f>
        <v>Average</v>
      </c>
      <c r="F718" t="str">
        <f>VLOOKUP(A718,'Remote work mental helath'!$A$2:$T$1001,18,)</f>
        <v>None</v>
      </c>
      <c r="G718">
        <f>VLOOKUP(A718,'Remote work mental helath'!$A$2:$T$1001,15,FALSE)</f>
        <v>2</v>
      </c>
      <c r="H718" t="str">
        <f>VLOOKUP(A718,'Remote work mental helath'!$A$2:$T$1001,14,)</f>
        <v>Increase</v>
      </c>
      <c r="I718" t="str">
        <f>VLOOKUP(A718,'Remote work mental helath'!$A$2:$T$1001,16,)</f>
        <v>Unsatisfied</v>
      </c>
      <c r="J718" t="str">
        <f>VLOOKUP(A718,'Remote work mental helath'!$A$2:$T$1001,13,)</f>
        <v>No</v>
      </c>
      <c r="K718">
        <f>VLOOKUP(A718,'Remote work mental helath'!$A$2:$T$1001,17,FALSE)</f>
        <v>3</v>
      </c>
    </row>
    <row r="719" spans="1:11" x14ac:dyDescent="0.3">
      <c r="A719" t="s">
        <v>768</v>
      </c>
      <c r="B719" t="str">
        <f>VLOOKUP(A719,'Remote work mental helath'!$A$2:$T$1001,12,)</f>
        <v>Depression</v>
      </c>
      <c r="C719" t="str">
        <f>VLOOKUP(A719,'Remote work mental helath'!$A$2:$T$1001,11,)</f>
        <v>Medium</v>
      </c>
      <c r="D719">
        <f>VLOOKUP('Mental Helath'!A719,'Remote work mental helath'!$A$2:$T$1001,10,)</f>
        <v>3</v>
      </c>
      <c r="E719" t="str">
        <f>VLOOKUP(A719,'Remote work mental helath'!A719:T1718,19,FALSE)</f>
        <v>Average</v>
      </c>
      <c r="F719" t="str">
        <f>VLOOKUP(A719,'Remote work mental helath'!$A$2:$T$1001,18,)</f>
        <v>Weekly</v>
      </c>
      <c r="G719">
        <f>VLOOKUP(A719,'Remote work mental helath'!$A$2:$T$1001,15,FALSE)</f>
        <v>2</v>
      </c>
      <c r="H719" t="str">
        <f>VLOOKUP(A719,'Remote work mental helath'!$A$2:$T$1001,14,)</f>
        <v>Decrease</v>
      </c>
      <c r="I719" t="str">
        <f>VLOOKUP(A719,'Remote work mental helath'!$A$2:$T$1001,16,)</f>
        <v>Neutral</v>
      </c>
      <c r="J719" t="str">
        <f>VLOOKUP(A719,'Remote work mental helath'!$A$2:$T$1001,13,)</f>
        <v>No</v>
      </c>
      <c r="K719">
        <f>VLOOKUP(A719,'Remote work mental helath'!$A$2:$T$1001,17,FALSE)</f>
        <v>1</v>
      </c>
    </row>
    <row r="720" spans="1:11" x14ac:dyDescent="0.3">
      <c r="A720" t="s">
        <v>769</v>
      </c>
      <c r="B720" t="str">
        <f>VLOOKUP(A720,'Remote work mental helath'!$A$2:$T$1001,12,)</f>
        <v>Depression</v>
      </c>
      <c r="C720" t="str">
        <f>VLOOKUP(A720,'Remote work mental helath'!$A$2:$T$1001,11,)</f>
        <v>High</v>
      </c>
      <c r="D720">
        <f>VLOOKUP('Mental Helath'!A720,'Remote work mental helath'!$A$2:$T$1001,10,)</f>
        <v>2</v>
      </c>
      <c r="E720" t="str">
        <f>VLOOKUP(A720,'Remote work mental helath'!A720:T1719,19,FALSE)</f>
        <v>Poor</v>
      </c>
      <c r="F720" t="str">
        <f>VLOOKUP(A720,'Remote work mental helath'!$A$2:$T$1001,18,)</f>
        <v>None</v>
      </c>
      <c r="G720">
        <f>VLOOKUP(A720,'Remote work mental helath'!$A$2:$T$1001,15,FALSE)</f>
        <v>3</v>
      </c>
      <c r="H720" t="str">
        <f>VLOOKUP(A720,'Remote work mental helath'!$A$2:$T$1001,14,)</f>
        <v>Decrease</v>
      </c>
      <c r="I720" t="str">
        <f>VLOOKUP(A720,'Remote work mental helath'!$A$2:$T$1001,16,)</f>
        <v>Satisfied</v>
      </c>
      <c r="J720" t="str">
        <f>VLOOKUP(A720,'Remote work mental helath'!$A$2:$T$1001,13,)</f>
        <v>Yes</v>
      </c>
      <c r="K720">
        <f>VLOOKUP(A720,'Remote work mental helath'!$A$2:$T$1001,17,FALSE)</f>
        <v>3</v>
      </c>
    </row>
    <row r="721" spans="1:11" x14ac:dyDescent="0.3">
      <c r="A721" t="s">
        <v>770</v>
      </c>
      <c r="B721" t="str">
        <f>VLOOKUP(A721,'Remote work mental helath'!$A$2:$T$1001,12,)</f>
        <v>Burnout</v>
      </c>
      <c r="C721" t="str">
        <f>VLOOKUP(A721,'Remote work mental helath'!$A$2:$T$1001,11,)</f>
        <v>Low</v>
      </c>
      <c r="D721">
        <f>VLOOKUP('Mental Helath'!A721,'Remote work mental helath'!$A$2:$T$1001,10,)</f>
        <v>5</v>
      </c>
      <c r="E721" t="str">
        <f>VLOOKUP(A721,'Remote work mental helath'!A721:T1720,19,FALSE)</f>
        <v>Average</v>
      </c>
      <c r="F721" t="str">
        <f>VLOOKUP(A721,'Remote work mental helath'!$A$2:$T$1001,18,)</f>
        <v>None</v>
      </c>
      <c r="G721">
        <f>VLOOKUP(A721,'Remote work mental helath'!$A$2:$T$1001,15,FALSE)</f>
        <v>1</v>
      </c>
      <c r="H721" t="str">
        <f>VLOOKUP(A721,'Remote work mental helath'!$A$2:$T$1001,14,)</f>
        <v>Decrease</v>
      </c>
      <c r="I721" t="str">
        <f>VLOOKUP(A721,'Remote work mental helath'!$A$2:$T$1001,16,)</f>
        <v>Satisfied</v>
      </c>
      <c r="J721" t="str">
        <f>VLOOKUP(A721,'Remote work mental helath'!$A$2:$T$1001,13,)</f>
        <v>Yes</v>
      </c>
      <c r="K721">
        <f>VLOOKUP(A721,'Remote work mental helath'!$A$2:$T$1001,17,FALSE)</f>
        <v>1</v>
      </c>
    </row>
    <row r="722" spans="1:11" x14ac:dyDescent="0.3">
      <c r="A722" t="s">
        <v>771</v>
      </c>
      <c r="B722" t="str">
        <f>VLOOKUP(A722,'Remote work mental helath'!$A$2:$T$1001,12,)</f>
        <v>Burnout</v>
      </c>
      <c r="C722" t="str">
        <f>VLOOKUP(A722,'Remote work mental helath'!$A$2:$T$1001,11,)</f>
        <v>Medium</v>
      </c>
      <c r="D722">
        <f>VLOOKUP('Mental Helath'!A722,'Remote work mental helath'!$A$2:$T$1001,10,)</f>
        <v>2</v>
      </c>
      <c r="E722" t="str">
        <f>VLOOKUP(A722,'Remote work mental helath'!A722:T1721,19,FALSE)</f>
        <v>Good</v>
      </c>
      <c r="F722" t="str">
        <f>VLOOKUP(A722,'Remote work mental helath'!$A$2:$T$1001,18,)</f>
        <v>Weekly</v>
      </c>
      <c r="G722">
        <f>VLOOKUP(A722,'Remote work mental helath'!$A$2:$T$1001,15,FALSE)</f>
        <v>3</v>
      </c>
      <c r="H722" t="str">
        <f>VLOOKUP(A722,'Remote work mental helath'!$A$2:$T$1001,14,)</f>
        <v>No Change</v>
      </c>
      <c r="I722" t="str">
        <f>VLOOKUP(A722,'Remote work mental helath'!$A$2:$T$1001,16,)</f>
        <v>Unsatisfied</v>
      </c>
      <c r="J722" t="str">
        <f>VLOOKUP(A722,'Remote work mental helath'!$A$2:$T$1001,13,)</f>
        <v>Yes</v>
      </c>
      <c r="K722">
        <f>VLOOKUP(A722,'Remote work mental helath'!$A$2:$T$1001,17,FALSE)</f>
        <v>4</v>
      </c>
    </row>
    <row r="723" spans="1:11" x14ac:dyDescent="0.3">
      <c r="A723" t="s">
        <v>772</v>
      </c>
      <c r="B723" t="str">
        <f>VLOOKUP(A723,'Remote work mental helath'!$A$2:$T$1001,12,)</f>
        <v>Depression</v>
      </c>
      <c r="C723" t="str">
        <f>VLOOKUP(A723,'Remote work mental helath'!$A$2:$T$1001,11,)</f>
        <v>Low</v>
      </c>
      <c r="D723">
        <f>VLOOKUP('Mental Helath'!A723,'Remote work mental helath'!$A$2:$T$1001,10,)</f>
        <v>5</v>
      </c>
      <c r="E723" t="str">
        <f>VLOOKUP(A723,'Remote work mental helath'!A723:T1722,19,FALSE)</f>
        <v>Average</v>
      </c>
      <c r="F723" t="str">
        <f>VLOOKUP(A723,'Remote work mental helath'!$A$2:$T$1001,18,)</f>
        <v>None</v>
      </c>
      <c r="G723">
        <f>VLOOKUP(A723,'Remote work mental helath'!$A$2:$T$1001,15,FALSE)</f>
        <v>5</v>
      </c>
      <c r="H723" t="str">
        <f>VLOOKUP(A723,'Remote work mental helath'!$A$2:$T$1001,14,)</f>
        <v>No Change</v>
      </c>
      <c r="I723" t="str">
        <f>VLOOKUP(A723,'Remote work mental helath'!$A$2:$T$1001,16,)</f>
        <v>Neutral</v>
      </c>
      <c r="J723" t="str">
        <f>VLOOKUP(A723,'Remote work mental helath'!$A$2:$T$1001,13,)</f>
        <v>No</v>
      </c>
      <c r="K723">
        <f>VLOOKUP(A723,'Remote work mental helath'!$A$2:$T$1001,17,FALSE)</f>
        <v>1</v>
      </c>
    </row>
    <row r="724" spans="1:11" x14ac:dyDescent="0.3">
      <c r="A724" t="s">
        <v>773</v>
      </c>
      <c r="B724" t="str">
        <f>VLOOKUP(A724,'Remote work mental helath'!$A$2:$T$1001,12,)</f>
        <v>Depression</v>
      </c>
      <c r="C724" t="str">
        <f>VLOOKUP(A724,'Remote work mental helath'!$A$2:$T$1001,11,)</f>
        <v>Medium</v>
      </c>
      <c r="D724">
        <f>VLOOKUP('Mental Helath'!A724,'Remote work mental helath'!$A$2:$T$1001,10,)</f>
        <v>4</v>
      </c>
      <c r="E724" t="str">
        <f>VLOOKUP(A724,'Remote work mental helath'!A724:T1723,19,FALSE)</f>
        <v>Good</v>
      </c>
      <c r="F724" t="str">
        <f>VLOOKUP(A724,'Remote work mental helath'!$A$2:$T$1001,18,)</f>
        <v>None</v>
      </c>
      <c r="G724">
        <f>VLOOKUP(A724,'Remote work mental helath'!$A$2:$T$1001,15,FALSE)</f>
        <v>5</v>
      </c>
      <c r="H724" t="str">
        <f>VLOOKUP(A724,'Remote work mental helath'!$A$2:$T$1001,14,)</f>
        <v>No Change</v>
      </c>
      <c r="I724" t="str">
        <f>VLOOKUP(A724,'Remote work mental helath'!$A$2:$T$1001,16,)</f>
        <v>Neutral</v>
      </c>
      <c r="J724" t="str">
        <f>VLOOKUP(A724,'Remote work mental helath'!$A$2:$T$1001,13,)</f>
        <v>Yes</v>
      </c>
      <c r="K724">
        <f>VLOOKUP(A724,'Remote work mental helath'!$A$2:$T$1001,17,FALSE)</f>
        <v>5</v>
      </c>
    </row>
    <row r="725" spans="1:11" x14ac:dyDescent="0.3">
      <c r="A725" t="s">
        <v>774</v>
      </c>
      <c r="B725" t="str">
        <f>VLOOKUP(A725,'Remote work mental helath'!$A$2:$T$1001,12,)</f>
        <v>Depression</v>
      </c>
      <c r="C725" t="str">
        <f>VLOOKUP(A725,'Remote work mental helath'!$A$2:$T$1001,11,)</f>
        <v>Low</v>
      </c>
      <c r="D725">
        <f>VLOOKUP('Mental Helath'!A725,'Remote work mental helath'!$A$2:$T$1001,10,)</f>
        <v>2</v>
      </c>
      <c r="E725" t="str">
        <f>VLOOKUP(A725,'Remote work mental helath'!A725:T1724,19,FALSE)</f>
        <v>Good</v>
      </c>
      <c r="F725" t="str">
        <f>VLOOKUP(A725,'Remote work mental helath'!$A$2:$T$1001,18,)</f>
        <v>Daily</v>
      </c>
      <c r="G725">
        <f>VLOOKUP(A725,'Remote work mental helath'!$A$2:$T$1001,15,FALSE)</f>
        <v>1</v>
      </c>
      <c r="H725" t="str">
        <f>VLOOKUP(A725,'Remote work mental helath'!$A$2:$T$1001,14,)</f>
        <v>Increase</v>
      </c>
      <c r="I725" t="str">
        <f>VLOOKUP(A725,'Remote work mental helath'!$A$2:$T$1001,16,)</f>
        <v>Unsatisfied</v>
      </c>
      <c r="J725" t="str">
        <f>VLOOKUP(A725,'Remote work mental helath'!$A$2:$T$1001,13,)</f>
        <v>Yes</v>
      </c>
      <c r="K725">
        <f>VLOOKUP(A725,'Remote work mental helath'!$A$2:$T$1001,17,FALSE)</f>
        <v>4</v>
      </c>
    </row>
    <row r="726" spans="1:11" x14ac:dyDescent="0.3">
      <c r="A726" t="s">
        <v>775</v>
      </c>
      <c r="B726" t="str">
        <f>VLOOKUP(A726,'Remote work mental helath'!$A$2:$T$1001,12,)</f>
        <v>Depression</v>
      </c>
      <c r="C726" t="str">
        <f>VLOOKUP(A726,'Remote work mental helath'!$A$2:$T$1001,11,)</f>
        <v>High</v>
      </c>
      <c r="D726">
        <f>VLOOKUP('Mental Helath'!A726,'Remote work mental helath'!$A$2:$T$1001,10,)</f>
        <v>2</v>
      </c>
      <c r="E726" t="str">
        <f>VLOOKUP(A726,'Remote work mental helath'!A726:T1725,19,FALSE)</f>
        <v>Good</v>
      </c>
      <c r="F726" t="str">
        <f>VLOOKUP(A726,'Remote work mental helath'!$A$2:$T$1001,18,)</f>
        <v>None</v>
      </c>
      <c r="G726">
        <f>VLOOKUP(A726,'Remote work mental helath'!$A$2:$T$1001,15,FALSE)</f>
        <v>5</v>
      </c>
      <c r="H726" t="str">
        <f>VLOOKUP(A726,'Remote work mental helath'!$A$2:$T$1001,14,)</f>
        <v>Decrease</v>
      </c>
      <c r="I726" t="str">
        <f>VLOOKUP(A726,'Remote work mental helath'!$A$2:$T$1001,16,)</f>
        <v>Satisfied</v>
      </c>
      <c r="J726" t="str">
        <f>VLOOKUP(A726,'Remote work mental helath'!$A$2:$T$1001,13,)</f>
        <v>Yes</v>
      </c>
      <c r="K726">
        <f>VLOOKUP(A726,'Remote work mental helath'!$A$2:$T$1001,17,FALSE)</f>
        <v>5</v>
      </c>
    </row>
    <row r="727" spans="1:11" x14ac:dyDescent="0.3">
      <c r="A727" t="s">
        <v>776</v>
      </c>
      <c r="B727" t="str">
        <f>VLOOKUP(A727,'Remote work mental helath'!$A$2:$T$1001,12,)</f>
        <v>Burnout</v>
      </c>
      <c r="C727" t="str">
        <f>VLOOKUP(A727,'Remote work mental helath'!$A$2:$T$1001,11,)</f>
        <v>Medium</v>
      </c>
      <c r="D727">
        <f>VLOOKUP('Mental Helath'!A727,'Remote work mental helath'!$A$2:$T$1001,10,)</f>
        <v>4</v>
      </c>
      <c r="E727" t="str">
        <f>VLOOKUP(A727,'Remote work mental helath'!A727:T1726,19,FALSE)</f>
        <v>Poor</v>
      </c>
      <c r="F727" t="str">
        <f>VLOOKUP(A727,'Remote work mental helath'!$A$2:$T$1001,18,)</f>
        <v>Weekly</v>
      </c>
      <c r="G727">
        <f>VLOOKUP(A727,'Remote work mental helath'!$A$2:$T$1001,15,FALSE)</f>
        <v>3</v>
      </c>
      <c r="H727" t="str">
        <f>VLOOKUP(A727,'Remote work mental helath'!$A$2:$T$1001,14,)</f>
        <v>No Change</v>
      </c>
      <c r="I727" t="str">
        <f>VLOOKUP(A727,'Remote work mental helath'!$A$2:$T$1001,16,)</f>
        <v>Unsatisfied</v>
      </c>
      <c r="J727" t="str">
        <f>VLOOKUP(A727,'Remote work mental helath'!$A$2:$T$1001,13,)</f>
        <v>No</v>
      </c>
      <c r="K727">
        <f>VLOOKUP(A727,'Remote work mental helath'!$A$2:$T$1001,17,FALSE)</f>
        <v>3</v>
      </c>
    </row>
    <row r="728" spans="1:11" x14ac:dyDescent="0.3">
      <c r="A728" t="s">
        <v>777</v>
      </c>
      <c r="B728" t="str">
        <f>VLOOKUP(A728,'Remote work mental helath'!$A$2:$T$1001,12,)</f>
        <v>Burnout</v>
      </c>
      <c r="C728" t="str">
        <f>VLOOKUP(A728,'Remote work mental helath'!$A$2:$T$1001,11,)</f>
        <v>Medium</v>
      </c>
      <c r="D728">
        <f>VLOOKUP('Mental Helath'!A728,'Remote work mental helath'!$A$2:$T$1001,10,)</f>
        <v>1</v>
      </c>
      <c r="E728" t="str">
        <f>VLOOKUP(A728,'Remote work mental helath'!A728:T1727,19,FALSE)</f>
        <v>Average</v>
      </c>
      <c r="F728" t="str">
        <f>VLOOKUP(A728,'Remote work mental helath'!$A$2:$T$1001,18,)</f>
        <v>Weekly</v>
      </c>
      <c r="G728">
        <f>VLOOKUP(A728,'Remote work mental helath'!$A$2:$T$1001,15,FALSE)</f>
        <v>5</v>
      </c>
      <c r="H728" t="str">
        <f>VLOOKUP(A728,'Remote work mental helath'!$A$2:$T$1001,14,)</f>
        <v>Increase</v>
      </c>
      <c r="I728" t="str">
        <f>VLOOKUP(A728,'Remote work mental helath'!$A$2:$T$1001,16,)</f>
        <v>Unsatisfied</v>
      </c>
      <c r="J728" t="str">
        <f>VLOOKUP(A728,'Remote work mental helath'!$A$2:$T$1001,13,)</f>
        <v>No</v>
      </c>
      <c r="K728">
        <f>VLOOKUP(A728,'Remote work mental helath'!$A$2:$T$1001,17,FALSE)</f>
        <v>3</v>
      </c>
    </row>
    <row r="729" spans="1:11" x14ac:dyDescent="0.3">
      <c r="A729" t="s">
        <v>778</v>
      </c>
      <c r="B729" t="str">
        <f>VLOOKUP(A729,'Remote work mental helath'!$A$2:$T$1001,12,)</f>
        <v>None</v>
      </c>
      <c r="C729" t="str">
        <f>VLOOKUP(A729,'Remote work mental helath'!$A$2:$T$1001,11,)</f>
        <v>Low</v>
      </c>
      <c r="D729">
        <f>VLOOKUP('Mental Helath'!A729,'Remote work mental helath'!$A$2:$T$1001,10,)</f>
        <v>3</v>
      </c>
      <c r="E729" t="str">
        <f>VLOOKUP(A729,'Remote work mental helath'!A729:T1728,19,FALSE)</f>
        <v>Good</v>
      </c>
      <c r="F729" t="str">
        <f>VLOOKUP(A729,'Remote work mental helath'!$A$2:$T$1001,18,)</f>
        <v>Daily</v>
      </c>
      <c r="G729">
        <f>VLOOKUP(A729,'Remote work mental helath'!$A$2:$T$1001,15,FALSE)</f>
        <v>5</v>
      </c>
      <c r="H729" t="str">
        <f>VLOOKUP(A729,'Remote work mental helath'!$A$2:$T$1001,14,)</f>
        <v>Increase</v>
      </c>
      <c r="I729" t="str">
        <f>VLOOKUP(A729,'Remote work mental helath'!$A$2:$T$1001,16,)</f>
        <v>Unsatisfied</v>
      </c>
      <c r="J729" t="str">
        <f>VLOOKUP(A729,'Remote work mental helath'!$A$2:$T$1001,13,)</f>
        <v>No</v>
      </c>
      <c r="K729">
        <f>VLOOKUP(A729,'Remote work mental helath'!$A$2:$T$1001,17,FALSE)</f>
        <v>1</v>
      </c>
    </row>
    <row r="730" spans="1:11" x14ac:dyDescent="0.3">
      <c r="A730" t="s">
        <v>779</v>
      </c>
      <c r="B730" t="str">
        <f>VLOOKUP(A730,'Remote work mental helath'!$A$2:$T$1001,12,)</f>
        <v>None</v>
      </c>
      <c r="C730" t="str">
        <f>VLOOKUP(A730,'Remote work mental helath'!$A$2:$T$1001,11,)</f>
        <v>Medium</v>
      </c>
      <c r="D730">
        <f>VLOOKUP('Mental Helath'!A730,'Remote work mental helath'!$A$2:$T$1001,10,)</f>
        <v>2</v>
      </c>
      <c r="E730" t="str">
        <f>VLOOKUP(A730,'Remote work mental helath'!A730:T1729,19,FALSE)</f>
        <v>Average</v>
      </c>
      <c r="F730" t="str">
        <f>VLOOKUP(A730,'Remote work mental helath'!$A$2:$T$1001,18,)</f>
        <v>Daily</v>
      </c>
      <c r="G730">
        <f>VLOOKUP(A730,'Remote work mental helath'!$A$2:$T$1001,15,FALSE)</f>
        <v>1</v>
      </c>
      <c r="H730" t="str">
        <f>VLOOKUP(A730,'Remote work mental helath'!$A$2:$T$1001,14,)</f>
        <v>Increase</v>
      </c>
      <c r="I730" t="str">
        <f>VLOOKUP(A730,'Remote work mental helath'!$A$2:$T$1001,16,)</f>
        <v>Neutral</v>
      </c>
      <c r="J730" t="str">
        <f>VLOOKUP(A730,'Remote work mental helath'!$A$2:$T$1001,13,)</f>
        <v>Yes</v>
      </c>
      <c r="K730">
        <f>VLOOKUP(A730,'Remote work mental helath'!$A$2:$T$1001,17,FALSE)</f>
        <v>5</v>
      </c>
    </row>
    <row r="731" spans="1:11" x14ac:dyDescent="0.3">
      <c r="A731" t="s">
        <v>780</v>
      </c>
      <c r="B731" t="str">
        <f>VLOOKUP(A731,'Remote work mental helath'!$A$2:$T$1001,12,)</f>
        <v>None</v>
      </c>
      <c r="C731" t="str">
        <f>VLOOKUP(A731,'Remote work mental helath'!$A$2:$T$1001,11,)</f>
        <v>Medium</v>
      </c>
      <c r="D731">
        <f>VLOOKUP('Mental Helath'!A731,'Remote work mental helath'!$A$2:$T$1001,10,)</f>
        <v>1</v>
      </c>
      <c r="E731" t="str">
        <f>VLOOKUP(A731,'Remote work mental helath'!A731:T1730,19,FALSE)</f>
        <v>Average</v>
      </c>
      <c r="F731" t="str">
        <f>VLOOKUP(A731,'Remote work mental helath'!$A$2:$T$1001,18,)</f>
        <v>Weekly</v>
      </c>
      <c r="G731">
        <f>VLOOKUP(A731,'Remote work mental helath'!$A$2:$T$1001,15,FALSE)</f>
        <v>3</v>
      </c>
      <c r="H731" t="str">
        <f>VLOOKUP(A731,'Remote work mental helath'!$A$2:$T$1001,14,)</f>
        <v>Decrease</v>
      </c>
      <c r="I731" t="str">
        <f>VLOOKUP(A731,'Remote work mental helath'!$A$2:$T$1001,16,)</f>
        <v>Satisfied</v>
      </c>
      <c r="J731" t="str">
        <f>VLOOKUP(A731,'Remote work mental helath'!$A$2:$T$1001,13,)</f>
        <v>Yes</v>
      </c>
      <c r="K731">
        <f>VLOOKUP(A731,'Remote work mental helath'!$A$2:$T$1001,17,FALSE)</f>
        <v>2</v>
      </c>
    </row>
    <row r="732" spans="1:11" x14ac:dyDescent="0.3">
      <c r="A732" t="s">
        <v>781</v>
      </c>
      <c r="B732" t="str">
        <f>VLOOKUP(A732,'Remote work mental helath'!$A$2:$T$1001,12,)</f>
        <v>Burnout</v>
      </c>
      <c r="C732" t="str">
        <f>VLOOKUP(A732,'Remote work mental helath'!$A$2:$T$1001,11,)</f>
        <v>High</v>
      </c>
      <c r="D732">
        <f>VLOOKUP('Mental Helath'!A732,'Remote work mental helath'!$A$2:$T$1001,10,)</f>
        <v>4</v>
      </c>
      <c r="E732" t="str">
        <f>VLOOKUP(A732,'Remote work mental helath'!A732:T1731,19,FALSE)</f>
        <v>Good</v>
      </c>
      <c r="F732" t="str">
        <f>VLOOKUP(A732,'Remote work mental helath'!$A$2:$T$1001,18,)</f>
        <v>Daily</v>
      </c>
      <c r="G732">
        <f>VLOOKUP(A732,'Remote work mental helath'!$A$2:$T$1001,15,FALSE)</f>
        <v>1</v>
      </c>
      <c r="H732" t="str">
        <f>VLOOKUP(A732,'Remote work mental helath'!$A$2:$T$1001,14,)</f>
        <v>No Change</v>
      </c>
      <c r="I732" t="str">
        <f>VLOOKUP(A732,'Remote work mental helath'!$A$2:$T$1001,16,)</f>
        <v>Unsatisfied</v>
      </c>
      <c r="J732" t="str">
        <f>VLOOKUP(A732,'Remote work mental helath'!$A$2:$T$1001,13,)</f>
        <v>Yes</v>
      </c>
      <c r="K732">
        <f>VLOOKUP(A732,'Remote work mental helath'!$A$2:$T$1001,17,FALSE)</f>
        <v>2</v>
      </c>
    </row>
    <row r="733" spans="1:11" x14ac:dyDescent="0.3">
      <c r="A733" t="s">
        <v>782</v>
      </c>
      <c r="B733" t="str">
        <f>VLOOKUP(A733,'Remote work mental helath'!$A$2:$T$1001,12,)</f>
        <v>Anxiety</v>
      </c>
      <c r="C733" t="str">
        <f>VLOOKUP(A733,'Remote work mental helath'!$A$2:$T$1001,11,)</f>
        <v>High</v>
      </c>
      <c r="D733">
        <f>VLOOKUP('Mental Helath'!A733,'Remote work mental helath'!$A$2:$T$1001,10,)</f>
        <v>2</v>
      </c>
      <c r="E733" t="str">
        <f>VLOOKUP(A733,'Remote work mental helath'!A733:T1732,19,FALSE)</f>
        <v>Average</v>
      </c>
      <c r="F733" t="str">
        <f>VLOOKUP(A733,'Remote work mental helath'!$A$2:$T$1001,18,)</f>
        <v>Weekly</v>
      </c>
      <c r="G733">
        <f>VLOOKUP(A733,'Remote work mental helath'!$A$2:$T$1001,15,FALSE)</f>
        <v>2</v>
      </c>
      <c r="H733" t="str">
        <f>VLOOKUP(A733,'Remote work mental helath'!$A$2:$T$1001,14,)</f>
        <v>No Change</v>
      </c>
      <c r="I733" t="str">
        <f>VLOOKUP(A733,'Remote work mental helath'!$A$2:$T$1001,16,)</f>
        <v>Neutral</v>
      </c>
      <c r="J733" t="str">
        <f>VLOOKUP(A733,'Remote work mental helath'!$A$2:$T$1001,13,)</f>
        <v>Yes</v>
      </c>
      <c r="K733">
        <f>VLOOKUP(A733,'Remote work mental helath'!$A$2:$T$1001,17,FALSE)</f>
        <v>4</v>
      </c>
    </row>
    <row r="734" spans="1:11" x14ac:dyDescent="0.3">
      <c r="A734" t="s">
        <v>783</v>
      </c>
      <c r="B734" t="str">
        <f>VLOOKUP(A734,'Remote work mental helath'!$A$2:$T$1001,12,)</f>
        <v>Depression</v>
      </c>
      <c r="C734" t="str">
        <f>VLOOKUP(A734,'Remote work mental helath'!$A$2:$T$1001,11,)</f>
        <v>Medium</v>
      </c>
      <c r="D734">
        <f>VLOOKUP('Mental Helath'!A734,'Remote work mental helath'!$A$2:$T$1001,10,)</f>
        <v>3</v>
      </c>
      <c r="E734" t="str">
        <f>VLOOKUP(A734,'Remote work mental helath'!A734:T1733,19,FALSE)</f>
        <v>Good</v>
      </c>
      <c r="F734" t="str">
        <f>VLOOKUP(A734,'Remote work mental helath'!$A$2:$T$1001,18,)</f>
        <v>None</v>
      </c>
      <c r="G734">
        <f>VLOOKUP(A734,'Remote work mental helath'!$A$2:$T$1001,15,FALSE)</f>
        <v>2</v>
      </c>
      <c r="H734" t="str">
        <f>VLOOKUP(A734,'Remote work mental helath'!$A$2:$T$1001,14,)</f>
        <v>Decrease</v>
      </c>
      <c r="I734" t="str">
        <f>VLOOKUP(A734,'Remote work mental helath'!$A$2:$T$1001,16,)</f>
        <v>Unsatisfied</v>
      </c>
      <c r="J734" t="str">
        <f>VLOOKUP(A734,'Remote work mental helath'!$A$2:$T$1001,13,)</f>
        <v>Yes</v>
      </c>
      <c r="K734">
        <f>VLOOKUP(A734,'Remote work mental helath'!$A$2:$T$1001,17,FALSE)</f>
        <v>3</v>
      </c>
    </row>
    <row r="735" spans="1:11" x14ac:dyDescent="0.3">
      <c r="A735" t="s">
        <v>784</v>
      </c>
      <c r="B735" t="str">
        <f>VLOOKUP(A735,'Remote work mental helath'!$A$2:$T$1001,12,)</f>
        <v>None</v>
      </c>
      <c r="C735" t="str">
        <f>VLOOKUP(A735,'Remote work mental helath'!$A$2:$T$1001,11,)</f>
        <v>High</v>
      </c>
      <c r="D735">
        <f>VLOOKUP('Mental Helath'!A735,'Remote work mental helath'!$A$2:$T$1001,10,)</f>
        <v>5</v>
      </c>
      <c r="E735" t="str">
        <f>VLOOKUP(A735,'Remote work mental helath'!A735:T1734,19,FALSE)</f>
        <v>Poor</v>
      </c>
      <c r="F735" t="str">
        <f>VLOOKUP(A735,'Remote work mental helath'!$A$2:$T$1001,18,)</f>
        <v>None</v>
      </c>
      <c r="G735">
        <f>VLOOKUP(A735,'Remote work mental helath'!$A$2:$T$1001,15,FALSE)</f>
        <v>3</v>
      </c>
      <c r="H735" t="str">
        <f>VLOOKUP(A735,'Remote work mental helath'!$A$2:$T$1001,14,)</f>
        <v>Decrease</v>
      </c>
      <c r="I735" t="str">
        <f>VLOOKUP(A735,'Remote work mental helath'!$A$2:$T$1001,16,)</f>
        <v>Satisfied</v>
      </c>
      <c r="J735" t="str">
        <f>VLOOKUP(A735,'Remote work mental helath'!$A$2:$T$1001,13,)</f>
        <v>Yes</v>
      </c>
      <c r="K735">
        <f>VLOOKUP(A735,'Remote work mental helath'!$A$2:$T$1001,17,FALSE)</f>
        <v>4</v>
      </c>
    </row>
    <row r="736" spans="1:11" x14ac:dyDescent="0.3">
      <c r="A736" t="s">
        <v>785</v>
      </c>
      <c r="B736" t="str">
        <f>VLOOKUP(A736,'Remote work mental helath'!$A$2:$T$1001,12,)</f>
        <v>Depression</v>
      </c>
      <c r="C736" t="str">
        <f>VLOOKUP(A736,'Remote work mental helath'!$A$2:$T$1001,11,)</f>
        <v>Medium</v>
      </c>
      <c r="D736">
        <f>VLOOKUP('Mental Helath'!A736,'Remote work mental helath'!$A$2:$T$1001,10,)</f>
        <v>3</v>
      </c>
      <c r="E736" t="str">
        <f>VLOOKUP(A736,'Remote work mental helath'!A736:T1735,19,FALSE)</f>
        <v>Average</v>
      </c>
      <c r="F736" t="str">
        <f>VLOOKUP(A736,'Remote work mental helath'!$A$2:$T$1001,18,)</f>
        <v>Weekly</v>
      </c>
      <c r="G736">
        <f>VLOOKUP(A736,'Remote work mental helath'!$A$2:$T$1001,15,FALSE)</f>
        <v>1</v>
      </c>
      <c r="H736" t="str">
        <f>VLOOKUP(A736,'Remote work mental helath'!$A$2:$T$1001,14,)</f>
        <v>Decrease</v>
      </c>
      <c r="I736" t="str">
        <f>VLOOKUP(A736,'Remote work mental helath'!$A$2:$T$1001,16,)</f>
        <v>Satisfied</v>
      </c>
      <c r="J736" t="str">
        <f>VLOOKUP(A736,'Remote work mental helath'!$A$2:$T$1001,13,)</f>
        <v>No</v>
      </c>
      <c r="K736">
        <f>VLOOKUP(A736,'Remote work mental helath'!$A$2:$T$1001,17,FALSE)</f>
        <v>1</v>
      </c>
    </row>
    <row r="737" spans="1:11" x14ac:dyDescent="0.3">
      <c r="A737" t="s">
        <v>786</v>
      </c>
      <c r="B737" t="str">
        <f>VLOOKUP(A737,'Remote work mental helath'!$A$2:$T$1001,12,)</f>
        <v>Depression</v>
      </c>
      <c r="C737" t="str">
        <f>VLOOKUP(A737,'Remote work mental helath'!$A$2:$T$1001,11,)</f>
        <v>Low</v>
      </c>
      <c r="D737">
        <f>VLOOKUP('Mental Helath'!A737,'Remote work mental helath'!$A$2:$T$1001,10,)</f>
        <v>5</v>
      </c>
      <c r="E737" t="str">
        <f>VLOOKUP(A737,'Remote work mental helath'!A737:T1736,19,FALSE)</f>
        <v>Average</v>
      </c>
      <c r="F737" t="str">
        <f>VLOOKUP(A737,'Remote work mental helath'!$A$2:$T$1001,18,)</f>
        <v>Weekly</v>
      </c>
      <c r="G737">
        <f>VLOOKUP(A737,'Remote work mental helath'!$A$2:$T$1001,15,FALSE)</f>
        <v>2</v>
      </c>
      <c r="H737" t="str">
        <f>VLOOKUP(A737,'Remote work mental helath'!$A$2:$T$1001,14,)</f>
        <v>Decrease</v>
      </c>
      <c r="I737" t="str">
        <f>VLOOKUP(A737,'Remote work mental helath'!$A$2:$T$1001,16,)</f>
        <v>Satisfied</v>
      </c>
      <c r="J737" t="str">
        <f>VLOOKUP(A737,'Remote work mental helath'!$A$2:$T$1001,13,)</f>
        <v>Yes</v>
      </c>
      <c r="K737">
        <f>VLOOKUP(A737,'Remote work mental helath'!$A$2:$T$1001,17,FALSE)</f>
        <v>2</v>
      </c>
    </row>
    <row r="738" spans="1:11" x14ac:dyDescent="0.3">
      <c r="A738" t="s">
        <v>787</v>
      </c>
      <c r="B738" t="str">
        <f>VLOOKUP(A738,'Remote work mental helath'!$A$2:$T$1001,12,)</f>
        <v>Anxiety</v>
      </c>
      <c r="C738" t="str">
        <f>VLOOKUP(A738,'Remote work mental helath'!$A$2:$T$1001,11,)</f>
        <v>Medium</v>
      </c>
      <c r="D738">
        <f>VLOOKUP('Mental Helath'!A738,'Remote work mental helath'!$A$2:$T$1001,10,)</f>
        <v>4</v>
      </c>
      <c r="E738" t="str">
        <f>VLOOKUP(A738,'Remote work mental helath'!A738:T1737,19,FALSE)</f>
        <v>Good</v>
      </c>
      <c r="F738" t="str">
        <f>VLOOKUP(A738,'Remote work mental helath'!$A$2:$T$1001,18,)</f>
        <v>Daily</v>
      </c>
      <c r="G738">
        <f>VLOOKUP(A738,'Remote work mental helath'!$A$2:$T$1001,15,FALSE)</f>
        <v>5</v>
      </c>
      <c r="H738" t="str">
        <f>VLOOKUP(A738,'Remote work mental helath'!$A$2:$T$1001,14,)</f>
        <v>No Change</v>
      </c>
      <c r="I738" t="str">
        <f>VLOOKUP(A738,'Remote work mental helath'!$A$2:$T$1001,16,)</f>
        <v>Satisfied</v>
      </c>
      <c r="J738" t="str">
        <f>VLOOKUP(A738,'Remote work mental helath'!$A$2:$T$1001,13,)</f>
        <v>No</v>
      </c>
      <c r="K738">
        <f>VLOOKUP(A738,'Remote work mental helath'!$A$2:$T$1001,17,FALSE)</f>
        <v>4</v>
      </c>
    </row>
    <row r="739" spans="1:11" x14ac:dyDescent="0.3">
      <c r="A739" t="s">
        <v>788</v>
      </c>
      <c r="B739" t="str">
        <f>VLOOKUP(A739,'Remote work mental helath'!$A$2:$T$1001,12,)</f>
        <v>None</v>
      </c>
      <c r="C739" t="str">
        <f>VLOOKUP(A739,'Remote work mental helath'!$A$2:$T$1001,11,)</f>
        <v>High</v>
      </c>
      <c r="D739">
        <f>VLOOKUP('Mental Helath'!A739,'Remote work mental helath'!$A$2:$T$1001,10,)</f>
        <v>4</v>
      </c>
      <c r="E739" t="str">
        <f>VLOOKUP(A739,'Remote work mental helath'!A739:T1738,19,FALSE)</f>
        <v>Poor</v>
      </c>
      <c r="F739" t="str">
        <f>VLOOKUP(A739,'Remote work mental helath'!$A$2:$T$1001,18,)</f>
        <v>Daily</v>
      </c>
      <c r="G739">
        <f>VLOOKUP(A739,'Remote work mental helath'!$A$2:$T$1001,15,FALSE)</f>
        <v>1</v>
      </c>
      <c r="H739" t="str">
        <f>VLOOKUP(A739,'Remote work mental helath'!$A$2:$T$1001,14,)</f>
        <v>Increase</v>
      </c>
      <c r="I739" t="str">
        <f>VLOOKUP(A739,'Remote work mental helath'!$A$2:$T$1001,16,)</f>
        <v>Unsatisfied</v>
      </c>
      <c r="J739" t="str">
        <f>VLOOKUP(A739,'Remote work mental helath'!$A$2:$T$1001,13,)</f>
        <v>No</v>
      </c>
      <c r="K739">
        <f>VLOOKUP(A739,'Remote work mental helath'!$A$2:$T$1001,17,FALSE)</f>
        <v>5</v>
      </c>
    </row>
    <row r="740" spans="1:11" x14ac:dyDescent="0.3">
      <c r="A740" t="s">
        <v>789</v>
      </c>
      <c r="B740" t="str">
        <f>VLOOKUP(A740,'Remote work mental helath'!$A$2:$T$1001,12,)</f>
        <v>None</v>
      </c>
      <c r="C740" t="str">
        <f>VLOOKUP(A740,'Remote work mental helath'!$A$2:$T$1001,11,)</f>
        <v>Low</v>
      </c>
      <c r="D740">
        <f>VLOOKUP('Mental Helath'!A740,'Remote work mental helath'!$A$2:$T$1001,10,)</f>
        <v>5</v>
      </c>
      <c r="E740" t="str">
        <f>VLOOKUP(A740,'Remote work mental helath'!A740:T1739,19,FALSE)</f>
        <v>Poor</v>
      </c>
      <c r="F740" t="str">
        <f>VLOOKUP(A740,'Remote work mental helath'!$A$2:$T$1001,18,)</f>
        <v>Weekly</v>
      </c>
      <c r="G740">
        <f>VLOOKUP(A740,'Remote work mental helath'!$A$2:$T$1001,15,FALSE)</f>
        <v>2</v>
      </c>
      <c r="H740" t="str">
        <f>VLOOKUP(A740,'Remote work mental helath'!$A$2:$T$1001,14,)</f>
        <v>Decrease</v>
      </c>
      <c r="I740" t="str">
        <f>VLOOKUP(A740,'Remote work mental helath'!$A$2:$T$1001,16,)</f>
        <v>Satisfied</v>
      </c>
      <c r="J740" t="str">
        <f>VLOOKUP(A740,'Remote work mental helath'!$A$2:$T$1001,13,)</f>
        <v>Yes</v>
      </c>
      <c r="K740">
        <f>VLOOKUP(A740,'Remote work mental helath'!$A$2:$T$1001,17,FALSE)</f>
        <v>2</v>
      </c>
    </row>
    <row r="741" spans="1:11" x14ac:dyDescent="0.3">
      <c r="A741" t="s">
        <v>790</v>
      </c>
      <c r="B741" t="str">
        <f>VLOOKUP(A741,'Remote work mental helath'!$A$2:$T$1001,12,)</f>
        <v>Burnout</v>
      </c>
      <c r="C741" t="str">
        <f>VLOOKUP(A741,'Remote work mental helath'!$A$2:$T$1001,11,)</f>
        <v>Medium</v>
      </c>
      <c r="D741">
        <f>VLOOKUP('Mental Helath'!A741,'Remote work mental helath'!$A$2:$T$1001,10,)</f>
        <v>3</v>
      </c>
      <c r="E741" t="str">
        <f>VLOOKUP(A741,'Remote work mental helath'!A741:T1740,19,FALSE)</f>
        <v>Average</v>
      </c>
      <c r="F741" t="str">
        <f>VLOOKUP(A741,'Remote work mental helath'!$A$2:$T$1001,18,)</f>
        <v>None</v>
      </c>
      <c r="G741">
        <f>VLOOKUP(A741,'Remote work mental helath'!$A$2:$T$1001,15,FALSE)</f>
        <v>2</v>
      </c>
      <c r="H741" t="str">
        <f>VLOOKUP(A741,'Remote work mental helath'!$A$2:$T$1001,14,)</f>
        <v>Decrease</v>
      </c>
      <c r="I741" t="str">
        <f>VLOOKUP(A741,'Remote work mental helath'!$A$2:$T$1001,16,)</f>
        <v>Satisfied</v>
      </c>
      <c r="J741" t="str">
        <f>VLOOKUP(A741,'Remote work mental helath'!$A$2:$T$1001,13,)</f>
        <v>No</v>
      </c>
      <c r="K741">
        <f>VLOOKUP(A741,'Remote work mental helath'!$A$2:$T$1001,17,FALSE)</f>
        <v>3</v>
      </c>
    </row>
    <row r="742" spans="1:11" x14ac:dyDescent="0.3">
      <c r="A742" t="s">
        <v>791</v>
      </c>
      <c r="B742" t="str">
        <f>VLOOKUP(A742,'Remote work mental helath'!$A$2:$T$1001,12,)</f>
        <v>Depression</v>
      </c>
      <c r="C742" t="str">
        <f>VLOOKUP(A742,'Remote work mental helath'!$A$2:$T$1001,11,)</f>
        <v>Medium</v>
      </c>
      <c r="D742">
        <f>VLOOKUP('Mental Helath'!A742,'Remote work mental helath'!$A$2:$T$1001,10,)</f>
        <v>1</v>
      </c>
      <c r="E742" t="str">
        <f>VLOOKUP(A742,'Remote work mental helath'!A742:T1741,19,FALSE)</f>
        <v>Average</v>
      </c>
      <c r="F742" t="str">
        <f>VLOOKUP(A742,'Remote work mental helath'!$A$2:$T$1001,18,)</f>
        <v>Daily</v>
      </c>
      <c r="G742">
        <f>VLOOKUP(A742,'Remote work mental helath'!$A$2:$T$1001,15,FALSE)</f>
        <v>2</v>
      </c>
      <c r="H742" t="str">
        <f>VLOOKUP(A742,'Remote work mental helath'!$A$2:$T$1001,14,)</f>
        <v>Increase</v>
      </c>
      <c r="I742" t="str">
        <f>VLOOKUP(A742,'Remote work mental helath'!$A$2:$T$1001,16,)</f>
        <v>Satisfied</v>
      </c>
      <c r="J742" t="str">
        <f>VLOOKUP(A742,'Remote work mental helath'!$A$2:$T$1001,13,)</f>
        <v>No</v>
      </c>
      <c r="K742">
        <f>VLOOKUP(A742,'Remote work mental helath'!$A$2:$T$1001,17,FALSE)</f>
        <v>3</v>
      </c>
    </row>
    <row r="743" spans="1:11" x14ac:dyDescent="0.3">
      <c r="A743" t="s">
        <v>792</v>
      </c>
      <c r="B743" t="str">
        <f>VLOOKUP(A743,'Remote work mental helath'!$A$2:$T$1001,12,)</f>
        <v>None</v>
      </c>
      <c r="C743" t="str">
        <f>VLOOKUP(A743,'Remote work mental helath'!$A$2:$T$1001,11,)</f>
        <v>High</v>
      </c>
      <c r="D743">
        <f>VLOOKUP('Mental Helath'!A743,'Remote work mental helath'!$A$2:$T$1001,10,)</f>
        <v>3</v>
      </c>
      <c r="E743" t="str">
        <f>VLOOKUP(A743,'Remote work mental helath'!A743:T1742,19,FALSE)</f>
        <v>Good</v>
      </c>
      <c r="F743" t="str">
        <f>VLOOKUP(A743,'Remote work mental helath'!$A$2:$T$1001,18,)</f>
        <v>None</v>
      </c>
      <c r="G743">
        <f>VLOOKUP(A743,'Remote work mental helath'!$A$2:$T$1001,15,FALSE)</f>
        <v>4</v>
      </c>
      <c r="H743" t="str">
        <f>VLOOKUP(A743,'Remote work mental helath'!$A$2:$T$1001,14,)</f>
        <v>Decrease</v>
      </c>
      <c r="I743" t="str">
        <f>VLOOKUP(A743,'Remote work mental helath'!$A$2:$T$1001,16,)</f>
        <v>Satisfied</v>
      </c>
      <c r="J743" t="str">
        <f>VLOOKUP(A743,'Remote work mental helath'!$A$2:$T$1001,13,)</f>
        <v>No</v>
      </c>
      <c r="K743">
        <f>VLOOKUP(A743,'Remote work mental helath'!$A$2:$T$1001,17,FALSE)</f>
        <v>2</v>
      </c>
    </row>
    <row r="744" spans="1:11" x14ac:dyDescent="0.3">
      <c r="A744" t="s">
        <v>793</v>
      </c>
      <c r="B744" t="str">
        <f>VLOOKUP(A744,'Remote work mental helath'!$A$2:$T$1001,12,)</f>
        <v>Depression</v>
      </c>
      <c r="C744" t="str">
        <f>VLOOKUP(A744,'Remote work mental helath'!$A$2:$T$1001,11,)</f>
        <v>Medium</v>
      </c>
      <c r="D744">
        <f>VLOOKUP('Mental Helath'!A744,'Remote work mental helath'!$A$2:$T$1001,10,)</f>
        <v>5</v>
      </c>
      <c r="E744" t="str">
        <f>VLOOKUP(A744,'Remote work mental helath'!A744:T1743,19,FALSE)</f>
        <v>Average</v>
      </c>
      <c r="F744" t="str">
        <f>VLOOKUP(A744,'Remote work mental helath'!$A$2:$T$1001,18,)</f>
        <v>None</v>
      </c>
      <c r="G744">
        <f>VLOOKUP(A744,'Remote work mental helath'!$A$2:$T$1001,15,FALSE)</f>
        <v>1</v>
      </c>
      <c r="H744" t="str">
        <f>VLOOKUP(A744,'Remote work mental helath'!$A$2:$T$1001,14,)</f>
        <v>Decrease</v>
      </c>
      <c r="I744" t="str">
        <f>VLOOKUP(A744,'Remote work mental helath'!$A$2:$T$1001,16,)</f>
        <v>Unsatisfied</v>
      </c>
      <c r="J744" t="str">
        <f>VLOOKUP(A744,'Remote work mental helath'!$A$2:$T$1001,13,)</f>
        <v>Yes</v>
      </c>
      <c r="K744">
        <f>VLOOKUP(A744,'Remote work mental helath'!$A$2:$T$1001,17,FALSE)</f>
        <v>4</v>
      </c>
    </row>
    <row r="745" spans="1:11" x14ac:dyDescent="0.3">
      <c r="A745" t="s">
        <v>794</v>
      </c>
      <c r="B745" t="str">
        <f>VLOOKUP(A745,'Remote work mental helath'!$A$2:$T$1001,12,)</f>
        <v>Burnout</v>
      </c>
      <c r="C745" t="str">
        <f>VLOOKUP(A745,'Remote work mental helath'!$A$2:$T$1001,11,)</f>
        <v>High</v>
      </c>
      <c r="D745">
        <f>VLOOKUP('Mental Helath'!A745,'Remote work mental helath'!$A$2:$T$1001,10,)</f>
        <v>2</v>
      </c>
      <c r="E745" t="str">
        <f>VLOOKUP(A745,'Remote work mental helath'!A745:T1744,19,FALSE)</f>
        <v>Poor</v>
      </c>
      <c r="F745" t="str">
        <f>VLOOKUP(A745,'Remote work mental helath'!$A$2:$T$1001,18,)</f>
        <v>None</v>
      </c>
      <c r="G745">
        <f>VLOOKUP(A745,'Remote work mental helath'!$A$2:$T$1001,15,FALSE)</f>
        <v>4</v>
      </c>
      <c r="H745" t="str">
        <f>VLOOKUP(A745,'Remote work mental helath'!$A$2:$T$1001,14,)</f>
        <v>No Change</v>
      </c>
      <c r="I745" t="str">
        <f>VLOOKUP(A745,'Remote work mental helath'!$A$2:$T$1001,16,)</f>
        <v>Satisfied</v>
      </c>
      <c r="J745" t="str">
        <f>VLOOKUP(A745,'Remote work mental helath'!$A$2:$T$1001,13,)</f>
        <v>Yes</v>
      </c>
      <c r="K745">
        <f>VLOOKUP(A745,'Remote work mental helath'!$A$2:$T$1001,17,FALSE)</f>
        <v>2</v>
      </c>
    </row>
    <row r="746" spans="1:11" x14ac:dyDescent="0.3">
      <c r="A746" t="s">
        <v>795</v>
      </c>
      <c r="B746" t="str">
        <f>VLOOKUP(A746,'Remote work mental helath'!$A$2:$T$1001,12,)</f>
        <v>Depression</v>
      </c>
      <c r="C746" t="str">
        <f>VLOOKUP(A746,'Remote work mental helath'!$A$2:$T$1001,11,)</f>
        <v>Medium</v>
      </c>
      <c r="D746">
        <f>VLOOKUP('Mental Helath'!A746,'Remote work mental helath'!$A$2:$T$1001,10,)</f>
        <v>1</v>
      </c>
      <c r="E746" t="str">
        <f>VLOOKUP(A746,'Remote work mental helath'!A746:T1745,19,FALSE)</f>
        <v>Poor</v>
      </c>
      <c r="F746" t="str">
        <f>VLOOKUP(A746,'Remote work mental helath'!$A$2:$T$1001,18,)</f>
        <v>Weekly</v>
      </c>
      <c r="G746">
        <f>VLOOKUP(A746,'Remote work mental helath'!$A$2:$T$1001,15,FALSE)</f>
        <v>5</v>
      </c>
      <c r="H746" t="str">
        <f>VLOOKUP(A746,'Remote work mental helath'!$A$2:$T$1001,14,)</f>
        <v>Increase</v>
      </c>
      <c r="I746" t="str">
        <f>VLOOKUP(A746,'Remote work mental helath'!$A$2:$T$1001,16,)</f>
        <v>Satisfied</v>
      </c>
      <c r="J746" t="str">
        <f>VLOOKUP(A746,'Remote work mental helath'!$A$2:$T$1001,13,)</f>
        <v>No</v>
      </c>
      <c r="K746">
        <f>VLOOKUP(A746,'Remote work mental helath'!$A$2:$T$1001,17,FALSE)</f>
        <v>2</v>
      </c>
    </row>
    <row r="747" spans="1:11" x14ac:dyDescent="0.3">
      <c r="A747" t="s">
        <v>796</v>
      </c>
      <c r="B747" t="str">
        <f>VLOOKUP(A747,'Remote work mental helath'!$A$2:$T$1001,12,)</f>
        <v>Burnout</v>
      </c>
      <c r="C747" t="str">
        <f>VLOOKUP(A747,'Remote work mental helath'!$A$2:$T$1001,11,)</f>
        <v>Medium</v>
      </c>
      <c r="D747">
        <f>VLOOKUP('Mental Helath'!A747,'Remote work mental helath'!$A$2:$T$1001,10,)</f>
        <v>4</v>
      </c>
      <c r="E747" t="str">
        <f>VLOOKUP(A747,'Remote work mental helath'!A747:T1746,19,FALSE)</f>
        <v>Good</v>
      </c>
      <c r="F747" t="str">
        <f>VLOOKUP(A747,'Remote work mental helath'!$A$2:$T$1001,18,)</f>
        <v>Weekly</v>
      </c>
      <c r="G747">
        <f>VLOOKUP(A747,'Remote work mental helath'!$A$2:$T$1001,15,FALSE)</f>
        <v>1</v>
      </c>
      <c r="H747" t="str">
        <f>VLOOKUP(A747,'Remote work mental helath'!$A$2:$T$1001,14,)</f>
        <v>Increase</v>
      </c>
      <c r="I747" t="str">
        <f>VLOOKUP(A747,'Remote work mental helath'!$A$2:$T$1001,16,)</f>
        <v>Satisfied</v>
      </c>
      <c r="J747" t="str">
        <f>VLOOKUP(A747,'Remote work mental helath'!$A$2:$T$1001,13,)</f>
        <v>No</v>
      </c>
      <c r="K747">
        <f>VLOOKUP(A747,'Remote work mental helath'!$A$2:$T$1001,17,FALSE)</f>
        <v>2</v>
      </c>
    </row>
    <row r="748" spans="1:11" x14ac:dyDescent="0.3">
      <c r="A748" t="s">
        <v>797</v>
      </c>
      <c r="B748" t="str">
        <f>VLOOKUP(A748,'Remote work mental helath'!$A$2:$T$1001,12,)</f>
        <v>None</v>
      </c>
      <c r="C748" t="str">
        <f>VLOOKUP(A748,'Remote work mental helath'!$A$2:$T$1001,11,)</f>
        <v>Medium</v>
      </c>
      <c r="D748">
        <f>VLOOKUP('Mental Helath'!A748,'Remote work mental helath'!$A$2:$T$1001,10,)</f>
        <v>1</v>
      </c>
      <c r="E748" t="str">
        <f>VLOOKUP(A748,'Remote work mental helath'!A748:T1747,19,FALSE)</f>
        <v>Average</v>
      </c>
      <c r="F748" t="str">
        <f>VLOOKUP(A748,'Remote work mental helath'!$A$2:$T$1001,18,)</f>
        <v>Daily</v>
      </c>
      <c r="G748">
        <f>VLOOKUP(A748,'Remote work mental helath'!$A$2:$T$1001,15,FALSE)</f>
        <v>2</v>
      </c>
      <c r="H748" t="str">
        <f>VLOOKUP(A748,'Remote work mental helath'!$A$2:$T$1001,14,)</f>
        <v>Decrease</v>
      </c>
      <c r="I748" t="str">
        <f>VLOOKUP(A748,'Remote work mental helath'!$A$2:$T$1001,16,)</f>
        <v>Unsatisfied</v>
      </c>
      <c r="J748" t="str">
        <f>VLOOKUP(A748,'Remote work mental helath'!$A$2:$T$1001,13,)</f>
        <v>No</v>
      </c>
      <c r="K748">
        <f>VLOOKUP(A748,'Remote work mental helath'!$A$2:$T$1001,17,FALSE)</f>
        <v>5</v>
      </c>
    </row>
    <row r="749" spans="1:11" x14ac:dyDescent="0.3">
      <c r="A749" t="s">
        <v>798</v>
      </c>
      <c r="B749" t="str">
        <f>VLOOKUP(A749,'Remote work mental helath'!$A$2:$T$1001,12,)</f>
        <v>Depression</v>
      </c>
      <c r="C749" t="str">
        <f>VLOOKUP(A749,'Remote work mental helath'!$A$2:$T$1001,11,)</f>
        <v>High</v>
      </c>
      <c r="D749">
        <f>VLOOKUP('Mental Helath'!A749,'Remote work mental helath'!$A$2:$T$1001,10,)</f>
        <v>2</v>
      </c>
      <c r="E749" t="str">
        <f>VLOOKUP(A749,'Remote work mental helath'!A749:T1748,19,FALSE)</f>
        <v>Good</v>
      </c>
      <c r="F749" t="str">
        <f>VLOOKUP(A749,'Remote work mental helath'!$A$2:$T$1001,18,)</f>
        <v>Weekly</v>
      </c>
      <c r="G749">
        <f>VLOOKUP(A749,'Remote work mental helath'!$A$2:$T$1001,15,FALSE)</f>
        <v>5</v>
      </c>
      <c r="H749" t="str">
        <f>VLOOKUP(A749,'Remote work mental helath'!$A$2:$T$1001,14,)</f>
        <v>No Change</v>
      </c>
      <c r="I749" t="str">
        <f>VLOOKUP(A749,'Remote work mental helath'!$A$2:$T$1001,16,)</f>
        <v>Satisfied</v>
      </c>
      <c r="J749" t="str">
        <f>VLOOKUP(A749,'Remote work mental helath'!$A$2:$T$1001,13,)</f>
        <v>Yes</v>
      </c>
      <c r="K749">
        <f>VLOOKUP(A749,'Remote work mental helath'!$A$2:$T$1001,17,FALSE)</f>
        <v>4</v>
      </c>
    </row>
    <row r="750" spans="1:11" x14ac:dyDescent="0.3">
      <c r="A750" t="s">
        <v>799</v>
      </c>
      <c r="B750" t="str">
        <f>VLOOKUP(A750,'Remote work mental helath'!$A$2:$T$1001,12,)</f>
        <v>Depression</v>
      </c>
      <c r="C750" t="str">
        <f>VLOOKUP(A750,'Remote work mental helath'!$A$2:$T$1001,11,)</f>
        <v>High</v>
      </c>
      <c r="D750">
        <f>VLOOKUP('Mental Helath'!A750,'Remote work mental helath'!$A$2:$T$1001,10,)</f>
        <v>1</v>
      </c>
      <c r="E750" t="str">
        <f>VLOOKUP(A750,'Remote work mental helath'!A750:T1749,19,FALSE)</f>
        <v>Poor</v>
      </c>
      <c r="F750" t="str">
        <f>VLOOKUP(A750,'Remote work mental helath'!$A$2:$T$1001,18,)</f>
        <v>Daily</v>
      </c>
      <c r="G750">
        <f>VLOOKUP(A750,'Remote work mental helath'!$A$2:$T$1001,15,FALSE)</f>
        <v>5</v>
      </c>
      <c r="H750" t="str">
        <f>VLOOKUP(A750,'Remote work mental helath'!$A$2:$T$1001,14,)</f>
        <v>Decrease</v>
      </c>
      <c r="I750" t="str">
        <f>VLOOKUP(A750,'Remote work mental helath'!$A$2:$T$1001,16,)</f>
        <v>Satisfied</v>
      </c>
      <c r="J750" t="str">
        <f>VLOOKUP(A750,'Remote work mental helath'!$A$2:$T$1001,13,)</f>
        <v>Yes</v>
      </c>
      <c r="K750">
        <f>VLOOKUP(A750,'Remote work mental helath'!$A$2:$T$1001,17,FALSE)</f>
        <v>1</v>
      </c>
    </row>
    <row r="751" spans="1:11" x14ac:dyDescent="0.3">
      <c r="A751" t="s">
        <v>800</v>
      </c>
      <c r="B751" t="str">
        <f>VLOOKUP(A751,'Remote work mental helath'!$A$2:$T$1001,12,)</f>
        <v>Burnout</v>
      </c>
      <c r="C751" t="str">
        <f>VLOOKUP(A751,'Remote work mental helath'!$A$2:$T$1001,11,)</f>
        <v>Low</v>
      </c>
      <c r="D751">
        <f>VLOOKUP('Mental Helath'!A751,'Remote work mental helath'!$A$2:$T$1001,10,)</f>
        <v>4</v>
      </c>
      <c r="E751" t="str">
        <f>VLOOKUP(A751,'Remote work mental helath'!A751:T1750,19,FALSE)</f>
        <v>Poor</v>
      </c>
      <c r="F751" t="str">
        <f>VLOOKUP(A751,'Remote work mental helath'!$A$2:$T$1001,18,)</f>
        <v>None</v>
      </c>
      <c r="G751">
        <f>VLOOKUP(A751,'Remote work mental helath'!$A$2:$T$1001,15,FALSE)</f>
        <v>5</v>
      </c>
      <c r="H751" t="str">
        <f>VLOOKUP(A751,'Remote work mental helath'!$A$2:$T$1001,14,)</f>
        <v>Decrease</v>
      </c>
      <c r="I751" t="str">
        <f>VLOOKUP(A751,'Remote work mental helath'!$A$2:$T$1001,16,)</f>
        <v>Unsatisfied</v>
      </c>
      <c r="J751" t="str">
        <f>VLOOKUP(A751,'Remote work mental helath'!$A$2:$T$1001,13,)</f>
        <v>No</v>
      </c>
      <c r="K751">
        <f>VLOOKUP(A751,'Remote work mental helath'!$A$2:$T$1001,17,FALSE)</f>
        <v>5</v>
      </c>
    </row>
    <row r="752" spans="1:11" x14ac:dyDescent="0.3">
      <c r="A752" t="s">
        <v>801</v>
      </c>
      <c r="B752" t="str">
        <f>VLOOKUP(A752,'Remote work mental helath'!$A$2:$T$1001,12,)</f>
        <v>Anxiety</v>
      </c>
      <c r="C752" t="str">
        <f>VLOOKUP(A752,'Remote work mental helath'!$A$2:$T$1001,11,)</f>
        <v>Medium</v>
      </c>
      <c r="D752">
        <f>VLOOKUP('Mental Helath'!A752,'Remote work mental helath'!$A$2:$T$1001,10,)</f>
        <v>3</v>
      </c>
      <c r="E752" t="str">
        <f>VLOOKUP(A752,'Remote work mental helath'!A752:T1751,19,FALSE)</f>
        <v>Good</v>
      </c>
      <c r="F752" t="str">
        <f>VLOOKUP(A752,'Remote work mental helath'!$A$2:$T$1001,18,)</f>
        <v>Daily</v>
      </c>
      <c r="G752">
        <f>VLOOKUP(A752,'Remote work mental helath'!$A$2:$T$1001,15,FALSE)</f>
        <v>4</v>
      </c>
      <c r="H752" t="str">
        <f>VLOOKUP(A752,'Remote work mental helath'!$A$2:$T$1001,14,)</f>
        <v>Increase</v>
      </c>
      <c r="I752" t="str">
        <f>VLOOKUP(A752,'Remote work mental helath'!$A$2:$T$1001,16,)</f>
        <v>Neutral</v>
      </c>
      <c r="J752" t="str">
        <f>VLOOKUP(A752,'Remote work mental helath'!$A$2:$T$1001,13,)</f>
        <v>Yes</v>
      </c>
      <c r="K752">
        <f>VLOOKUP(A752,'Remote work mental helath'!$A$2:$T$1001,17,FALSE)</f>
        <v>5</v>
      </c>
    </row>
    <row r="753" spans="1:11" x14ac:dyDescent="0.3">
      <c r="A753" t="s">
        <v>802</v>
      </c>
      <c r="B753" t="str">
        <f>VLOOKUP(A753,'Remote work mental helath'!$A$2:$T$1001,12,)</f>
        <v>None</v>
      </c>
      <c r="C753" t="str">
        <f>VLOOKUP(A753,'Remote work mental helath'!$A$2:$T$1001,11,)</f>
        <v>Medium</v>
      </c>
      <c r="D753">
        <f>VLOOKUP('Mental Helath'!A753,'Remote work mental helath'!$A$2:$T$1001,10,)</f>
        <v>5</v>
      </c>
      <c r="E753" t="str">
        <f>VLOOKUP(A753,'Remote work mental helath'!A753:T1752,19,FALSE)</f>
        <v>Poor</v>
      </c>
      <c r="F753" t="str">
        <f>VLOOKUP(A753,'Remote work mental helath'!$A$2:$T$1001,18,)</f>
        <v>None</v>
      </c>
      <c r="G753">
        <f>VLOOKUP(A753,'Remote work mental helath'!$A$2:$T$1001,15,FALSE)</f>
        <v>4</v>
      </c>
      <c r="H753" t="str">
        <f>VLOOKUP(A753,'Remote work mental helath'!$A$2:$T$1001,14,)</f>
        <v>Increase</v>
      </c>
      <c r="I753" t="str">
        <f>VLOOKUP(A753,'Remote work mental helath'!$A$2:$T$1001,16,)</f>
        <v>Unsatisfied</v>
      </c>
      <c r="J753" t="str">
        <f>VLOOKUP(A753,'Remote work mental helath'!$A$2:$T$1001,13,)</f>
        <v>No</v>
      </c>
      <c r="K753">
        <f>VLOOKUP(A753,'Remote work mental helath'!$A$2:$T$1001,17,FALSE)</f>
        <v>2</v>
      </c>
    </row>
    <row r="754" spans="1:11" x14ac:dyDescent="0.3">
      <c r="A754" t="s">
        <v>803</v>
      </c>
      <c r="B754" t="str">
        <f>VLOOKUP(A754,'Remote work mental helath'!$A$2:$T$1001,12,)</f>
        <v>Burnout</v>
      </c>
      <c r="C754" t="str">
        <f>VLOOKUP(A754,'Remote work mental helath'!$A$2:$T$1001,11,)</f>
        <v>Medium</v>
      </c>
      <c r="D754">
        <f>VLOOKUP('Mental Helath'!A754,'Remote work mental helath'!$A$2:$T$1001,10,)</f>
        <v>5</v>
      </c>
      <c r="E754" t="str">
        <f>VLOOKUP(A754,'Remote work mental helath'!A754:T1753,19,FALSE)</f>
        <v>Average</v>
      </c>
      <c r="F754" t="str">
        <f>VLOOKUP(A754,'Remote work mental helath'!$A$2:$T$1001,18,)</f>
        <v>Daily</v>
      </c>
      <c r="G754">
        <f>VLOOKUP(A754,'Remote work mental helath'!$A$2:$T$1001,15,FALSE)</f>
        <v>3</v>
      </c>
      <c r="H754" t="str">
        <f>VLOOKUP(A754,'Remote work mental helath'!$A$2:$T$1001,14,)</f>
        <v>No Change</v>
      </c>
      <c r="I754" t="str">
        <f>VLOOKUP(A754,'Remote work mental helath'!$A$2:$T$1001,16,)</f>
        <v>Satisfied</v>
      </c>
      <c r="J754" t="str">
        <f>VLOOKUP(A754,'Remote work mental helath'!$A$2:$T$1001,13,)</f>
        <v>No</v>
      </c>
      <c r="K754">
        <f>VLOOKUP(A754,'Remote work mental helath'!$A$2:$T$1001,17,FALSE)</f>
        <v>1</v>
      </c>
    </row>
    <row r="755" spans="1:11" x14ac:dyDescent="0.3">
      <c r="A755" t="s">
        <v>804</v>
      </c>
      <c r="B755" t="str">
        <f>VLOOKUP(A755,'Remote work mental helath'!$A$2:$T$1001,12,)</f>
        <v>None</v>
      </c>
      <c r="C755" t="str">
        <f>VLOOKUP(A755,'Remote work mental helath'!$A$2:$T$1001,11,)</f>
        <v>High</v>
      </c>
      <c r="D755">
        <f>VLOOKUP('Mental Helath'!A755,'Remote work mental helath'!$A$2:$T$1001,10,)</f>
        <v>2</v>
      </c>
      <c r="E755" t="str">
        <f>VLOOKUP(A755,'Remote work mental helath'!A755:T1754,19,FALSE)</f>
        <v>Average</v>
      </c>
      <c r="F755" t="str">
        <f>VLOOKUP(A755,'Remote work mental helath'!$A$2:$T$1001,18,)</f>
        <v>None</v>
      </c>
      <c r="G755">
        <f>VLOOKUP(A755,'Remote work mental helath'!$A$2:$T$1001,15,FALSE)</f>
        <v>3</v>
      </c>
      <c r="H755" t="str">
        <f>VLOOKUP(A755,'Remote work mental helath'!$A$2:$T$1001,14,)</f>
        <v>Decrease</v>
      </c>
      <c r="I755" t="str">
        <f>VLOOKUP(A755,'Remote work mental helath'!$A$2:$T$1001,16,)</f>
        <v>Satisfied</v>
      </c>
      <c r="J755" t="str">
        <f>VLOOKUP(A755,'Remote work mental helath'!$A$2:$T$1001,13,)</f>
        <v>No</v>
      </c>
      <c r="K755">
        <f>VLOOKUP(A755,'Remote work mental helath'!$A$2:$T$1001,17,FALSE)</f>
        <v>4</v>
      </c>
    </row>
    <row r="756" spans="1:11" x14ac:dyDescent="0.3">
      <c r="A756" t="s">
        <v>805</v>
      </c>
      <c r="B756" t="str">
        <f>VLOOKUP(A756,'Remote work mental helath'!$A$2:$T$1001,12,)</f>
        <v>Anxiety</v>
      </c>
      <c r="C756" t="str">
        <f>VLOOKUP(A756,'Remote work mental helath'!$A$2:$T$1001,11,)</f>
        <v>Low</v>
      </c>
      <c r="D756">
        <f>VLOOKUP('Mental Helath'!A756,'Remote work mental helath'!$A$2:$T$1001,10,)</f>
        <v>1</v>
      </c>
      <c r="E756" t="str">
        <f>VLOOKUP(A756,'Remote work mental helath'!A756:T1755,19,FALSE)</f>
        <v>Average</v>
      </c>
      <c r="F756" t="str">
        <f>VLOOKUP(A756,'Remote work mental helath'!$A$2:$T$1001,18,)</f>
        <v>Daily</v>
      </c>
      <c r="G756">
        <f>VLOOKUP(A756,'Remote work mental helath'!$A$2:$T$1001,15,FALSE)</f>
        <v>3</v>
      </c>
      <c r="H756" t="str">
        <f>VLOOKUP(A756,'Remote work mental helath'!$A$2:$T$1001,14,)</f>
        <v>Decrease</v>
      </c>
      <c r="I756" t="str">
        <f>VLOOKUP(A756,'Remote work mental helath'!$A$2:$T$1001,16,)</f>
        <v>Unsatisfied</v>
      </c>
      <c r="J756" t="str">
        <f>VLOOKUP(A756,'Remote work mental helath'!$A$2:$T$1001,13,)</f>
        <v>Yes</v>
      </c>
      <c r="K756">
        <f>VLOOKUP(A756,'Remote work mental helath'!$A$2:$T$1001,17,FALSE)</f>
        <v>4</v>
      </c>
    </row>
    <row r="757" spans="1:11" x14ac:dyDescent="0.3">
      <c r="A757" t="s">
        <v>806</v>
      </c>
      <c r="B757" t="str">
        <f>VLOOKUP(A757,'Remote work mental helath'!$A$2:$T$1001,12,)</f>
        <v>Burnout</v>
      </c>
      <c r="C757" t="str">
        <f>VLOOKUP(A757,'Remote work mental helath'!$A$2:$T$1001,11,)</f>
        <v>Medium</v>
      </c>
      <c r="D757">
        <f>VLOOKUP('Mental Helath'!A757,'Remote work mental helath'!$A$2:$T$1001,10,)</f>
        <v>1</v>
      </c>
      <c r="E757" t="str">
        <f>VLOOKUP(A757,'Remote work mental helath'!A757:T1756,19,FALSE)</f>
        <v>Poor</v>
      </c>
      <c r="F757" t="str">
        <f>VLOOKUP(A757,'Remote work mental helath'!$A$2:$T$1001,18,)</f>
        <v>Weekly</v>
      </c>
      <c r="G757">
        <f>VLOOKUP(A757,'Remote work mental helath'!$A$2:$T$1001,15,FALSE)</f>
        <v>3</v>
      </c>
      <c r="H757" t="str">
        <f>VLOOKUP(A757,'Remote work mental helath'!$A$2:$T$1001,14,)</f>
        <v>Increase</v>
      </c>
      <c r="I757" t="str">
        <f>VLOOKUP(A757,'Remote work mental helath'!$A$2:$T$1001,16,)</f>
        <v>Satisfied</v>
      </c>
      <c r="J757" t="str">
        <f>VLOOKUP(A757,'Remote work mental helath'!$A$2:$T$1001,13,)</f>
        <v>Yes</v>
      </c>
      <c r="K757">
        <f>VLOOKUP(A757,'Remote work mental helath'!$A$2:$T$1001,17,FALSE)</f>
        <v>3</v>
      </c>
    </row>
    <row r="758" spans="1:11" x14ac:dyDescent="0.3">
      <c r="A758" t="s">
        <v>807</v>
      </c>
      <c r="B758" t="str">
        <f>VLOOKUP(A758,'Remote work mental helath'!$A$2:$T$1001,12,)</f>
        <v>Depression</v>
      </c>
      <c r="C758" t="str">
        <f>VLOOKUP(A758,'Remote work mental helath'!$A$2:$T$1001,11,)</f>
        <v>Low</v>
      </c>
      <c r="D758">
        <f>VLOOKUP('Mental Helath'!A758,'Remote work mental helath'!$A$2:$T$1001,10,)</f>
        <v>2</v>
      </c>
      <c r="E758" t="str">
        <f>VLOOKUP(A758,'Remote work mental helath'!A758:T1757,19,FALSE)</f>
        <v>Poor</v>
      </c>
      <c r="F758" t="str">
        <f>VLOOKUP(A758,'Remote work mental helath'!$A$2:$T$1001,18,)</f>
        <v>Daily</v>
      </c>
      <c r="G758">
        <f>VLOOKUP(A758,'Remote work mental helath'!$A$2:$T$1001,15,FALSE)</f>
        <v>2</v>
      </c>
      <c r="H758" t="str">
        <f>VLOOKUP(A758,'Remote work mental helath'!$A$2:$T$1001,14,)</f>
        <v>No Change</v>
      </c>
      <c r="I758" t="str">
        <f>VLOOKUP(A758,'Remote work mental helath'!$A$2:$T$1001,16,)</f>
        <v>Unsatisfied</v>
      </c>
      <c r="J758" t="str">
        <f>VLOOKUP(A758,'Remote work mental helath'!$A$2:$T$1001,13,)</f>
        <v>No</v>
      </c>
      <c r="K758">
        <f>VLOOKUP(A758,'Remote work mental helath'!$A$2:$T$1001,17,FALSE)</f>
        <v>5</v>
      </c>
    </row>
    <row r="759" spans="1:11" x14ac:dyDescent="0.3">
      <c r="A759" t="s">
        <v>808</v>
      </c>
      <c r="B759" t="str">
        <f>VLOOKUP(A759,'Remote work mental helath'!$A$2:$T$1001,12,)</f>
        <v>Burnout</v>
      </c>
      <c r="C759" t="str">
        <f>VLOOKUP(A759,'Remote work mental helath'!$A$2:$T$1001,11,)</f>
        <v>Low</v>
      </c>
      <c r="D759">
        <f>VLOOKUP('Mental Helath'!A759,'Remote work mental helath'!$A$2:$T$1001,10,)</f>
        <v>3</v>
      </c>
      <c r="E759" t="str">
        <f>VLOOKUP(A759,'Remote work mental helath'!A759:T1758,19,FALSE)</f>
        <v>Good</v>
      </c>
      <c r="F759" t="str">
        <f>VLOOKUP(A759,'Remote work mental helath'!$A$2:$T$1001,18,)</f>
        <v>None</v>
      </c>
      <c r="G759">
        <f>VLOOKUP(A759,'Remote work mental helath'!$A$2:$T$1001,15,FALSE)</f>
        <v>1</v>
      </c>
      <c r="H759" t="str">
        <f>VLOOKUP(A759,'Remote work mental helath'!$A$2:$T$1001,14,)</f>
        <v>Increase</v>
      </c>
      <c r="I759" t="str">
        <f>VLOOKUP(A759,'Remote work mental helath'!$A$2:$T$1001,16,)</f>
        <v>Neutral</v>
      </c>
      <c r="J759" t="str">
        <f>VLOOKUP(A759,'Remote work mental helath'!$A$2:$T$1001,13,)</f>
        <v>No</v>
      </c>
      <c r="K759">
        <f>VLOOKUP(A759,'Remote work mental helath'!$A$2:$T$1001,17,FALSE)</f>
        <v>4</v>
      </c>
    </row>
    <row r="760" spans="1:11" x14ac:dyDescent="0.3">
      <c r="A760" t="s">
        <v>809</v>
      </c>
      <c r="B760" t="str">
        <f>VLOOKUP(A760,'Remote work mental helath'!$A$2:$T$1001,12,)</f>
        <v>None</v>
      </c>
      <c r="C760" t="str">
        <f>VLOOKUP(A760,'Remote work mental helath'!$A$2:$T$1001,11,)</f>
        <v>Medium</v>
      </c>
      <c r="D760">
        <f>VLOOKUP('Mental Helath'!A760,'Remote work mental helath'!$A$2:$T$1001,10,)</f>
        <v>5</v>
      </c>
      <c r="E760" t="str">
        <f>VLOOKUP(A760,'Remote work mental helath'!A760:T1759,19,FALSE)</f>
        <v>Good</v>
      </c>
      <c r="F760" t="str">
        <f>VLOOKUP(A760,'Remote work mental helath'!$A$2:$T$1001,18,)</f>
        <v>None</v>
      </c>
      <c r="G760">
        <f>VLOOKUP(A760,'Remote work mental helath'!$A$2:$T$1001,15,FALSE)</f>
        <v>3</v>
      </c>
      <c r="H760" t="str">
        <f>VLOOKUP(A760,'Remote work mental helath'!$A$2:$T$1001,14,)</f>
        <v>Increase</v>
      </c>
      <c r="I760" t="str">
        <f>VLOOKUP(A760,'Remote work mental helath'!$A$2:$T$1001,16,)</f>
        <v>Neutral</v>
      </c>
      <c r="J760" t="str">
        <f>VLOOKUP(A760,'Remote work mental helath'!$A$2:$T$1001,13,)</f>
        <v>No</v>
      </c>
      <c r="K760">
        <f>VLOOKUP(A760,'Remote work mental helath'!$A$2:$T$1001,17,FALSE)</f>
        <v>1</v>
      </c>
    </row>
    <row r="761" spans="1:11" x14ac:dyDescent="0.3">
      <c r="A761" t="s">
        <v>810</v>
      </c>
      <c r="B761" t="str">
        <f>VLOOKUP(A761,'Remote work mental helath'!$A$2:$T$1001,12,)</f>
        <v>Depression</v>
      </c>
      <c r="C761" t="str">
        <f>VLOOKUP(A761,'Remote work mental helath'!$A$2:$T$1001,11,)</f>
        <v>Medium</v>
      </c>
      <c r="D761">
        <f>VLOOKUP('Mental Helath'!A761,'Remote work mental helath'!$A$2:$T$1001,10,)</f>
        <v>5</v>
      </c>
      <c r="E761" t="str">
        <f>VLOOKUP(A761,'Remote work mental helath'!A761:T1760,19,FALSE)</f>
        <v>Good</v>
      </c>
      <c r="F761" t="str">
        <f>VLOOKUP(A761,'Remote work mental helath'!$A$2:$T$1001,18,)</f>
        <v>Weekly</v>
      </c>
      <c r="G761">
        <f>VLOOKUP(A761,'Remote work mental helath'!$A$2:$T$1001,15,FALSE)</f>
        <v>2</v>
      </c>
      <c r="H761" t="str">
        <f>VLOOKUP(A761,'Remote work mental helath'!$A$2:$T$1001,14,)</f>
        <v>Increase</v>
      </c>
      <c r="I761" t="str">
        <f>VLOOKUP(A761,'Remote work mental helath'!$A$2:$T$1001,16,)</f>
        <v>Neutral</v>
      </c>
      <c r="J761" t="str">
        <f>VLOOKUP(A761,'Remote work mental helath'!$A$2:$T$1001,13,)</f>
        <v>Yes</v>
      </c>
      <c r="K761">
        <f>VLOOKUP(A761,'Remote work mental helath'!$A$2:$T$1001,17,FALSE)</f>
        <v>1</v>
      </c>
    </row>
    <row r="762" spans="1:11" x14ac:dyDescent="0.3">
      <c r="A762" t="s">
        <v>811</v>
      </c>
      <c r="B762" t="str">
        <f>VLOOKUP(A762,'Remote work mental helath'!$A$2:$T$1001,12,)</f>
        <v>None</v>
      </c>
      <c r="C762" t="str">
        <f>VLOOKUP(A762,'Remote work mental helath'!$A$2:$T$1001,11,)</f>
        <v>High</v>
      </c>
      <c r="D762">
        <f>VLOOKUP('Mental Helath'!A762,'Remote work mental helath'!$A$2:$T$1001,10,)</f>
        <v>2</v>
      </c>
      <c r="E762" t="str">
        <f>VLOOKUP(A762,'Remote work mental helath'!A762:T1761,19,FALSE)</f>
        <v>Poor</v>
      </c>
      <c r="F762" t="str">
        <f>VLOOKUP(A762,'Remote work mental helath'!$A$2:$T$1001,18,)</f>
        <v>Weekly</v>
      </c>
      <c r="G762">
        <f>VLOOKUP(A762,'Remote work mental helath'!$A$2:$T$1001,15,FALSE)</f>
        <v>1</v>
      </c>
      <c r="H762" t="str">
        <f>VLOOKUP(A762,'Remote work mental helath'!$A$2:$T$1001,14,)</f>
        <v>No Change</v>
      </c>
      <c r="I762" t="str">
        <f>VLOOKUP(A762,'Remote work mental helath'!$A$2:$T$1001,16,)</f>
        <v>Neutral</v>
      </c>
      <c r="J762" t="str">
        <f>VLOOKUP(A762,'Remote work mental helath'!$A$2:$T$1001,13,)</f>
        <v>Yes</v>
      </c>
      <c r="K762">
        <f>VLOOKUP(A762,'Remote work mental helath'!$A$2:$T$1001,17,FALSE)</f>
        <v>1</v>
      </c>
    </row>
    <row r="763" spans="1:11" x14ac:dyDescent="0.3">
      <c r="A763" t="s">
        <v>812</v>
      </c>
      <c r="B763" t="str">
        <f>VLOOKUP(A763,'Remote work mental helath'!$A$2:$T$1001,12,)</f>
        <v>Depression</v>
      </c>
      <c r="C763" t="str">
        <f>VLOOKUP(A763,'Remote work mental helath'!$A$2:$T$1001,11,)</f>
        <v>High</v>
      </c>
      <c r="D763">
        <f>VLOOKUP('Mental Helath'!A763,'Remote work mental helath'!$A$2:$T$1001,10,)</f>
        <v>1</v>
      </c>
      <c r="E763" t="str">
        <f>VLOOKUP(A763,'Remote work mental helath'!A763:T1762,19,FALSE)</f>
        <v>Good</v>
      </c>
      <c r="F763" t="str">
        <f>VLOOKUP(A763,'Remote work mental helath'!$A$2:$T$1001,18,)</f>
        <v>None</v>
      </c>
      <c r="G763">
        <f>VLOOKUP(A763,'Remote work mental helath'!$A$2:$T$1001,15,FALSE)</f>
        <v>2</v>
      </c>
      <c r="H763" t="str">
        <f>VLOOKUP(A763,'Remote work mental helath'!$A$2:$T$1001,14,)</f>
        <v>Decrease</v>
      </c>
      <c r="I763" t="str">
        <f>VLOOKUP(A763,'Remote work mental helath'!$A$2:$T$1001,16,)</f>
        <v>Unsatisfied</v>
      </c>
      <c r="J763" t="str">
        <f>VLOOKUP(A763,'Remote work mental helath'!$A$2:$T$1001,13,)</f>
        <v>Yes</v>
      </c>
      <c r="K763">
        <f>VLOOKUP(A763,'Remote work mental helath'!$A$2:$T$1001,17,FALSE)</f>
        <v>1</v>
      </c>
    </row>
    <row r="764" spans="1:11" x14ac:dyDescent="0.3">
      <c r="A764" t="s">
        <v>813</v>
      </c>
      <c r="B764" t="str">
        <f>VLOOKUP(A764,'Remote work mental helath'!$A$2:$T$1001,12,)</f>
        <v>None</v>
      </c>
      <c r="C764" t="str">
        <f>VLOOKUP(A764,'Remote work mental helath'!$A$2:$T$1001,11,)</f>
        <v>Low</v>
      </c>
      <c r="D764">
        <f>VLOOKUP('Mental Helath'!A764,'Remote work mental helath'!$A$2:$T$1001,10,)</f>
        <v>3</v>
      </c>
      <c r="E764" t="str">
        <f>VLOOKUP(A764,'Remote work mental helath'!A764:T1763,19,FALSE)</f>
        <v>Average</v>
      </c>
      <c r="F764" t="str">
        <f>VLOOKUP(A764,'Remote work mental helath'!$A$2:$T$1001,18,)</f>
        <v>Weekly</v>
      </c>
      <c r="G764">
        <f>VLOOKUP(A764,'Remote work mental helath'!$A$2:$T$1001,15,FALSE)</f>
        <v>4</v>
      </c>
      <c r="H764" t="str">
        <f>VLOOKUP(A764,'Remote work mental helath'!$A$2:$T$1001,14,)</f>
        <v>Decrease</v>
      </c>
      <c r="I764" t="str">
        <f>VLOOKUP(A764,'Remote work mental helath'!$A$2:$T$1001,16,)</f>
        <v>Neutral</v>
      </c>
      <c r="J764" t="str">
        <f>VLOOKUP(A764,'Remote work mental helath'!$A$2:$T$1001,13,)</f>
        <v>Yes</v>
      </c>
      <c r="K764">
        <f>VLOOKUP(A764,'Remote work mental helath'!$A$2:$T$1001,17,FALSE)</f>
        <v>5</v>
      </c>
    </row>
    <row r="765" spans="1:11" x14ac:dyDescent="0.3">
      <c r="A765" t="s">
        <v>814</v>
      </c>
      <c r="B765" t="str">
        <f>VLOOKUP(A765,'Remote work mental helath'!$A$2:$T$1001,12,)</f>
        <v>Depression</v>
      </c>
      <c r="C765" t="str">
        <f>VLOOKUP(A765,'Remote work mental helath'!$A$2:$T$1001,11,)</f>
        <v>Medium</v>
      </c>
      <c r="D765">
        <f>VLOOKUP('Mental Helath'!A765,'Remote work mental helath'!$A$2:$T$1001,10,)</f>
        <v>1</v>
      </c>
      <c r="E765" t="str">
        <f>VLOOKUP(A765,'Remote work mental helath'!A765:T1764,19,FALSE)</f>
        <v>Poor</v>
      </c>
      <c r="F765" t="str">
        <f>VLOOKUP(A765,'Remote work mental helath'!$A$2:$T$1001,18,)</f>
        <v>Weekly</v>
      </c>
      <c r="G765">
        <f>VLOOKUP(A765,'Remote work mental helath'!$A$2:$T$1001,15,FALSE)</f>
        <v>3</v>
      </c>
      <c r="H765" t="str">
        <f>VLOOKUP(A765,'Remote work mental helath'!$A$2:$T$1001,14,)</f>
        <v>Decrease</v>
      </c>
      <c r="I765" t="str">
        <f>VLOOKUP(A765,'Remote work mental helath'!$A$2:$T$1001,16,)</f>
        <v>Neutral</v>
      </c>
      <c r="J765" t="str">
        <f>VLOOKUP(A765,'Remote work mental helath'!$A$2:$T$1001,13,)</f>
        <v>Yes</v>
      </c>
      <c r="K765">
        <f>VLOOKUP(A765,'Remote work mental helath'!$A$2:$T$1001,17,FALSE)</f>
        <v>4</v>
      </c>
    </row>
    <row r="766" spans="1:11" x14ac:dyDescent="0.3">
      <c r="A766" t="s">
        <v>815</v>
      </c>
      <c r="B766" t="str">
        <f>VLOOKUP(A766,'Remote work mental helath'!$A$2:$T$1001,12,)</f>
        <v>Anxiety</v>
      </c>
      <c r="C766" t="str">
        <f>VLOOKUP(A766,'Remote work mental helath'!$A$2:$T$1001,11,)</f>
        <v>Medium</v>
      </c>
      <c r="D766">
        <f>VLOOKUP('Mental Helath'!A766,'Remote work mental helath'!$A$2:$T$1001,10,)</f>
        <v>1</v>
      </c>
      <c r="E766" t="str">
        <f>VLOOKUP(A766,'Remote work mental helath'!A766:T1765,19,FALSE)</f>
        <v>Poor</v>
      </c>
      <c r="F766" t="str">
        <f>VLOOKUP(A766,'Remote work mental helath'!$A$2:$T$1001,18,)</f>
        <v>None</v>
      </c>
      <c r="G766">
        <f>VLOOKUP(A766,'Remote work mental helath'!$A$2:$T$1001,15,FALSE)</f>
        <v>3</v>
      </c>
      <c r="H766" t="str">
        <f>VLOOKUP(A766,'Remote work mental helath'!$A$2:$T$1001,14,)</f>
        <v>Decrease</v>
      </c>
      <c r="I766" t="str">
        <f>VLOOKUP(A766,'Remote work mental helath'!$A$2:$T$1001,16,)</f>
        <v>Neutral</v>
      </c>
      <c r="J766" t="str">
        <f>VLOOKUP(A766,'Remote work mental helath'!$A$2:$T$1001,13,)</f>
        <v>Yes</v>
      </c>
      <c r="K766">
        <f>VLOOKUP(A766,'Remote work mental helath'!$A$2:$T$1001,17,FALSE)</f>
        <v>3</v>
      </c>
    </row>
    <row r="767" spans="1:11" x14ac:dyDescent="0.3">
      <c r="A767" t="s">
        <v>816</v>
      </c>
      <c r="B767" t="str">
        <f>VLOOKUP(A767,'Remote work mental helath'!$A$2:$T$1001,12,)</f>
        <v>Anxiety</v>
      </c>
      <c r="C767" t="str">
        <f>VLOOKUP(A767,'Remote work mental helath'!$A$2:$T$1001,11,)</f>
        <v>High</v>
      </c>
      <c r="D767">
        <f>VLOOKUP('Mental Helath'!A767,'Remote work mental helath'!$A$2:$T$1001,10,)</f>
        <v>2</v>
      </c>
      <c r="E767" t="str">
        <f>VLOOKUP(A767,'Remote work mental helath'!A767:T1766,19,FALSE)</f>
        <v>Average</v>
      </c>
      <c r="F767" t="str">
        <f>VLOOKUP(A767,'Remote work mental helath'!$A$2:$T$1001,18,)</f>
        <v>None</v>
      </c>
      <c r="G767">
        <f>VLOOKUP(A767,'Remote work mental helath'!$A$2:$T$1001,15,FALSE)</f>
        <v>4</v>
      </c>
      <c r="H767" t="str">
        <f>VLOOKUP(A767,'Remote work mental helath'!$A$2:$T$1001,14,)</f>
        <v>Increase</v>
      </c>
      <c r="I767" t="str">
        <f>VLOOKUP(A767,'Remote work mental helath'!$A$2:$T$1001,16,)</f>
        <v>Neutral</v>
      </c>
      <c r="J767" t="str">
        <f>VLOOKUP(A767,'Remote work mental helath'!$A$2:$T$1001,13,)</f>
        <v>Yes</v>
      </c>
      <c r="K767">
        <f>VLOOKUP(A767,'Remote work mental helath'!$A$2:$T$1001,17,FALSE)</f>
        <v>1</v>
      </c>
    </row>
    <row r="768" spans="1:11" x14ac:dyDescent="0.3">
      <c r="A768" t="s">
        <v>817</v>
      </c>
      <c r="B768" t="str">
        <f>VLOOKUP(A768,'Remote work mental helath'!$A$2:$T$1001,12,)</f>
        <v>Anxiety</v>
      </c>
      <c r="C768" t="str">
        <f>VLOOKUP(A768,'Remote work mental helath'!$A$2:$T$1001,11,)</f>
        <v>Low</v>
      </c>
      <c r="D768">
        <f>VLOOKUP('Mental Helath'!A768,'Remote work mental helath'!$A$2:$T$1001,10,)</f>
        <v>5</v>
      </c>
      <c r="E768" t="str">
        <f>VLOOKUP(A768,'Remote work mental helath'!A768:T1767,19,FALSE)</f>
        <v>Average</v>
      </c>
      <c r="F768" t="str">
        <f>VLOOKUP(A768,'Remote work mental helath'!$A$2:$T$1001,18,)</f>
        <v>Weekly</v>
      </c>
      <c r="G768">
        <f>VLOOKUP(A768,'Remote work mental helath'!$A$2:$T$1001,15,FALSE)</f>
        <v>2</v>
      </c>
      <c r="H768" t="str">
        <f>VLOOKUP(A768,'Remote work mental helath'!$A$2:$T$1001,14,)</f>
        <v>Increase</v>
      </c>
      <c r="I768" t="str">
        <f>VLOOKUP(A768,'Remote work mental helath'!$A$2:$T$1001,16,)</f>
        <v>Satisfied</v>
      </c>
      <c r="J768" t="str">
        <f>VLOOKUP(A768,'Remote work mental helath'!$A$2:$T$1001,13,)</f>
        <v>No</v>
      </c>
      <c r="K768">
        <f>VLOOKUP(A768,'Remote work mental helath'!$A$2:$T$1001,17,FALSE)</f>
        <v>1</v>
      </c>
    </row>
    <row r="769" spans="1:11" x14ac:dyDescent="0.3">
      <c r="A769" t="s">
        <v>818</v>
      </c>
      <c r="B769" t="str">
        <f>VLOOKUP(A769,'Remote work mental helath'!$A$2:$T$1001,12,)</f>
        <v>Anxiety</v>
      </c>
      <c r="C769" t="str">
        <f>VLOOKUP(A769,'Remote work mental helath'!$A$2:$T$1001,11,)</f>
        <v>Medium</v>
      </c>
      <c r="D769">
        <f>VLOOKUP('Mental Helath'!A769,'Remote work mental helath'!$A$2:$T$1001,10,)</f>
        <v>2</v>
      </c>
      <c r="E769" t="str">
        <f>VLOOKUP(A769,'Remote work mental helath'!A769:T1768,19,FALSE)</f>
        <v>Good</v>
      </c>
      <c r="F769" t="str">
        <f>VLOOKUP(A769,'Remote work mental helath'!$A$2:$T$1001,18,)</f>
        <v>Daily</v>
      </c>
      <c r="G769">
        <f>VLOOKUP(A769,'Remote work mental helath'!$A$2:$T$1001,15,FALSE)</f>
        <v>2</v>
      </c>
      <c r="H769" t="str">
        <f>VLOOKUP(A769,'Remote work mental helath'!$A$2:$T$1001,14,)</f>
        <v>Decrease</v>
      </c>
      <c r="I769" t="str">
        <f>VLOOKUP(A769,'Remote work mental helath'!$A$2:$T$1001,16,)</f>
        <v>Neutral</v>
      </c>
      <c r="J769" t="str">
        <f>VLOOKUP(A769,'Remote work mental helath'!$A$2:$T$1001,13,)</f>
        <v>Yes</v>
      </c>
      <c r="K769">
        <f>VLOOKUP(A769,'Remote work mental helath'!$A$2:$T$1001,17,FALSE)</f>
        <v>3</v>
      </c>
    </row>
    <row r="770" spans="1:11" x14ac:dyDescent="0.3">
      <c r="A770" t="s">
        <v>819</v>
      </c>
      <c r="B770" t="str">
        <f>VLOOKUP(A770,'Remote work mental helath'!$A$2:$T$1001,12,)</f>
        <v>None</v>
      </c>
      <c r="C770" t="str">
        <f>VLOOKUP(A770,'Remote work mental helath'!$A$2:$T$1001,11,)</f>
        <v>Low</v>
      </c>
      <c r="D770">
        <f>VLOOKUP('Mental Helath'!A770,'Remote work mental helath'!$A$2:$T$1001,10,)</f>
        <v>4</v>
      </c>
      <c r="E770" t="str">
        <f>VLOOKUP(A770,'Remote work mental helath'!A770:T1769,19,FALSE)</f>
        <v>Good</v>
      </c>
      <c r="F770" t="str">
        <f>VLOOKUP(A770,'Remote work mental helath'!$A$2:$T$1001,18,)</f>
        <v>Weekly</v>
      </c>
      <c r="G770">
        <f>VLOOKUP(A770,'Remote work mental helath'!$A$2:$T$1001,15,FALSE)</f>
        <v>2</v>
      </c>
      <c r="H770" t="str">
        <f>VLOOKUP(A770,'Remote work mental helath'!$A$2:$T$1001,14,)</f>
        <v>No Change</v>
      </c>
      <c r="I770" t="str">
        <f>VLOOKUP(A770,'Remote work mental helath'!$A$2:$T$1001,16,)</f>
        <v>Satisfied</v>
      </c>
      <c r="J770" t="str">
        <f>VLOOKUP(A770,'Remote work mental helath'!$A$2:$T$1001,13,)</f>
        <v>Yes</v>
      </c>
      <c r="K770">
        <f>VLOOKUP(A770,'Remote work mental helath'!$A$2:$T$1001,17,FALSE)</f>
        <v>1</v>
      </c>
    </row>
    <row r="771" spans="1:11" x14ac:dyDescent="0.3">
      <c r="A771" t="s">
        <v>820</v>
      </c>
      <c r="B771" t="str">
        <f>VLOOKUP(A771,'Remote work mental helath'!$A$2:$T$1001,12,)</f>
        <v>Depression</v>
      </c>
      <c r="C771" t="str">
        <f>VLOOKUP(A771,'Remote work mental helath'!$A$2:$T$1001,11,)</f>
        <v>Medium</v>
      </c>
      <c r="D771">
        <f>VLOOKUP('Mental Helath'!A771,'Remote work mental helath'!$A$2:$T$1001,10,)</f>
        <v>5</v>
      </c>
      <c r="E771" t="str">
        <f>VLOOKUP(A771,'Remote work mental helath'!A771:T1770,19,FALSE)</f>
        <v>Good</v>
      </c>
      <c r="F771" t="str">
        <f>VLOOKUP(A771,'Remote work mental helath'!$A$2:$T$1001,18,)</f>
        <v>Daily</v>
      </c>
      <c r="G771">
        <f>VLOOKUP(A771,'Remote work mental helath'!$A$2:$T$1001,15,FALSE)</f>
        <v>2</v>
      </c>
      <c r="H771" t="str">
        <f>VLOOKUP(A771,'Remote work mental helath'!$A$2:$T$1001,14,)</f>
        <v>Increase</v>
      </c>
      <c r="I771" t="str">
        <f>VLOOKUP(A771,'Remote work mental helath'!$A$2:$T$1001,16,)</f>
        <v>Neutral</v>
      </c>
      <c r="J771" t="str">
        <f>VLOOKUP(A771,'Remote work mental helath'!$A$2:$T$1001,13,)</f>
        <v>No</v>
      </c>
      <c r="K771">
        <f>VLOOKUP(A771,'Remote work mental helath'!$A$2:$T$1001,17,FALSE)</f>
        <v>5</v>
      </c>
    </row>
    <row r="772" spans="1:11" x14ac:dyDescent="0.3">
      <c r="A772" t="s">
        <v>821</v>
      </c>
      <c r="B772" t="str">
        <f>VLOOKUP(A772,'Remote work mental helath'!$A$2:$T$1001,12,)</f>
        <v>None</v>
      </c>
      <c r="C772" t="str">
        <f>VLOOKUP(A772,'Remote work mental helath'!$A$2:$T$1001,11,)</f>
        <v>Low</v>
      </c>
      <c r="D772">
        <f>VLOOKUP('Mental Helath'!A772,'Remote work mental helath'!$A$2:$T$1001,10,)</f>
        <v>4</v>
      </c>
      <c r="E772" t="str">
        <f>VLOOKUP(A772,'Remote work mental helath'!A772:T1771,19,FALSE)</f>
        <v>Good</v>
      </c>
      <c r="F772" t="str">
        <f>VLOOKUP(A772,'Remote work mental helath'!$A$2:$T$1001,18,)</f>
        <v>Daily</v>
      </c>
      <c r="G772">
        <f>VLOOKUP(A772,'Remote work mental helath'!$A$2:$T$1001,15,FALSE)</f>
        <v>2</v>
      </c>
      <c r="H772" t="str">
        <f>VLOOKUP(A772,'Remote work mental helath'!$A$2:$T$1001,14,)</f>
        <v>Decrease</v>
      </c>
      <c r="I772" t="str">
        <f>VLOOKUP(A772,'Remote work mental helath'!$A$2:$T$1001,16,)</f>
        <v>Neutral</v>
      </c>
      <c r="J772" t="str">
        <f>VLOOKUP(A772,'Remote work mental helath'!$A$2:$T$1001,13,)</f>
        <v>Yes</v>
      </c>
      <c r="K772">
        <f>VLOOKUP(A772,'Remote work mental helath'!$A$2:$T$1001,17,FALSE)</f>
        <v>1</v>
      </c>
    </row>
    <row r="773" spans="1:11" x14ac:dyDescent="0.3">
      <c r="A773" t="s">
        <v>822</v>
      </c>
      <c r="B773" t="str">
        <f>VLOOKUP(A773,'Remote work mental helath'!$A$2:$T$1001,12,)</f>
        <v>Depression</v>
      </c>
      <c r="C773" t="str">
        <f>VLOOKUP(A773,'Remote work mental helath'!$A$2:$T$1001,11,)</f>
        <v>Medium</v>
      </c>
      <c r="D773">
        <f>VLOOKUP('Mental Helath'!A773,'Remote work mental helath'!$A$2:$T$1001,10,)</f>
        <v>1</v>
      </c>
      <c r="E773" t="str">
        <f>VLOOKUP(A773,'Remote work mental helath'!A773:T1772,19,FALSE)</f>
        <v>Good</v>
      </c>
      <c r="F773" t="str">
        <f>VLOOKUP(A773,'Remote work mental helath'!$A$2:$T$1001,18,)</f>
        <v>Weekly</v>
      </c>
      <c r="G773">
        <f>VLOOKUP(A773,'Remote work mental helath'!$A$2:$T$1001,15,FALSE)</f>
        <v>5</v>
      </c>
      <c r="H773" t="str">
        <f>VLOOKUP(A773,'Remote work mental helath'!$A$2:$T$1001,14,)</f>
        <v>Increase</v>
      </c>
      <c r="I773" t="str">
        <f>VLOOKUP(A773,'Remote work mental helath'!$A$2:$T$1001,16,)</f>
        <v>Satisfied</v>
      </c>
      <c r="J773" t="str">
        <f>VLOOKUP(A773,'Remote work mental helath'!$A$2:$T$1001,13,)</f>
        <v>No</v>
      </c>
      <c r="K773">
        <f>VLOOKUP(A773,'Remote work mental helath'!$A$2:$T$1001,17,FALSE)</f>
        <v>2</v>
      </c>
    </row>
    <row r="774" spans="1:11" x14ac:dyDescent="0.3">
      <c r="A774" t="s">
        <v>823</v>
      </c>
      <c r="B774" t="str">
        <f>VLOOKUP(A774,'Remote work mental helath'!$A$2:$T$1001,12,)</f>
        <v>None</v>
      </c>
      <c r="C774" t="str">
        <f>VLOOKUP(A774,'Remote work mental helath'!$A$2:$T$1001,11,)</f>
        <v>Low</v>
      </c>
      <c r="D774">
        <f>VLOOKUP('Mental Helath'!A774,'Remote work mental helath'!$A$2:$T$1001,10,)</f>
        <v>3</v>
      </c>
      <c r="E774" t="str">
        <f>VLOOKUP(A774,'Remote work mental helath'!A774:T1773,19,FALSE)</f>
        <v>Good</v>
      </c>
      <c r="F774" t="str">
        <f>VLOOKUP(A774,'Remote work mental helath'!$A$2:$T$1001,18,)</f>
        <v>Daily</v>
      </c>
      <c r="G774">
        <f>VLOOKUP(A774,'Remote work mental helath'!$A$2:$T$1001,15,FALSE)</f>
        <v>1</v>
      </c>
      <c r="H774" t="str">
        <f>VLOOKUP(A774,'Remote work mental helath'!$A$2:$T$1001,14,)</f>
        <v>Increase</v>
      </c>
      <c r="I774" t="str">
        <f>VLOOKUP(A774,'Remote work mental helath'!$A$2:$T$1001,16,)</f>
        <v>Satisfied</v>
      </c>
      <c r="J774" t="str">
        <f>VLOOKUP(A774,'Remote work mental helath'!$A$2:$T$1001,13,)</f>
        <v>No</v>
      </c>
      <c r="K774">
        <f>VLOOKUP(A774,'Remote work mental helath'!$A$2:$T$1001,17,FALSE)</f>
        <v>1</v>
      </c>
    </row>
    <row r="775" spans="1:11" x14ac:dyDescent="0.3">
      <c r="A775" t="s">
        <v>824</v>
      </c>
      <c r="B775" t="str">
        <f>VLOOKUP(A775,'Remote work mental helath'!$A$2:$T$1001,12,)</f>
        <v>Burnout</v>
      </c>
      <c r="C775" t="str">
        <f>VLOOKUP(A775,'Remote work mental helath'!$A$2:$T$1001,11,)</f>
        <v>Medium</v>
      </c>
      <c r="D775">
        <f>VLOOKUP('Mental Helath'!A775,'Remote work mental helath'!$A$2:$T$1001,10,)</f>
        <v>1</v>
      </c>
      <c r="E775" t="str">
        <f>VLOOKUP(A775,'Remote work mental helath'!A775:T1774,19,FALSE)</f>
        <v>Poor</v>
      </c>
      <c r="F775" t="str">
        <f>VLOOKUP(A775,'Remote work mental helath'!$A$2:$T$1001,18,)</f>
        <v>Daily</v>
      </c>
      <c r="G775">
        <f>VLOOKUP(A775,'Remote work mental helath'!$A$2:$T$1001,15,FALSE)</f>
        <v>1</v>
      </c>
      <c r="H775" t="str">
        <f>VLOOKUP(A775,'Remote work mental helath'!$A$2:$T$1001,14,)</f>
        <v>Decrease</v>
      </c>
      <c r="I775" t="str">
        <f>VLOOKUP(A775,'Remote work mental helath'!$A$2:$T$1001,16,)</f>
        <v>Unsatisfied</v>
      </c>
      <c r="J775" t="str">
        <f>VLOOKUP(A775,'Remote work mental helath'!$A$2:$T$1001,13,)</f>
        <v>Yes</v>
      </c>
      <c r="K775">
        <f>VLOOKUP(A775,'Remote work mental helath'!$A$2:$T$1001,17,FALSE)</f>
        <v>3</v>
      </c>
    </row>
    <row r="776" spans="1:11" x14ac:dyDescent="0.3">
      <c r="A776" t="s">
        <v>825</v>
      </c>
      <c r="B776" t="str">
        <f>VLOOKUP(A776,'Remote work mental helath'!$A$2:$T$1001,12,)</f>
        <v>Anxiety</v>
      </c>
      <c r="C776" t="str">
        <f>VLOOKUP(A776,'Remote work mental helath'!$A$2:$T$1001,11,)</f>
        <v>High</v>
      </c>
      <c r="D776">
        <f>VLOOKUP('Mental Helath'!A776,'Remote work mental helath'!$A$2:$T$1001,10,)</f>
        <v>2</v>
      </c>
      <c r="E776" t="str">
        <f>VLOOKUP(A776,'Remote work mental helath'!A776:T1775,19,FALSE)</f>
        <v>Good</v>
      </c>
      <c r="F776" t="str">
        <f>VLOOKUP(A776,'Remote work mental helath'!$A$2:$T$1001,18,)</f>
        <v>Daily</v>
      </c>
      <c r="G776">
        <f>VLOOKUP(A776,'Remote work mental helath'!$A$2:$T$1001,15,FALSE)</f>
        <v>2</v>
      </c>
      <c r="H776" t="str">
        <f>VLOOKUP(A776,'Remote work mental helath'!$A$2:$T$1001,14,)</f>
        <v>Increase</v>
      </c>
      <c r="I776" t="str">
        <f>VLOOKUP(A776,'Remote work mental helath'!$A$2:$T$1001,16,)</f>
        <v>Unsatisfied</v>
      </c>
      <c r="J776" t="str">
        <f>VLOOKUP(A776,'Remote work mental helath'!$A$2:$T$1001,13,)</f>
        <v>No</v>
      </c>
      <c r="K776">
        <f>VLOOKUP(A776,'Remote work mental helath'!$A$2:$T$1001,17,FALSE)</f>
        <v>3</v>
      </c>
    </row>
    <row r="777" spans="1:11" x14ac:dyDescent="0.3">
      <c r="A777" t="s">
        <v>826</v>
      </c>
      <c r="B777" t="str">
        <f>VLOOKUP(A777,'Remote work mental helath'!$A$2:$T$1001,12,)</f>
        <v>Depression</v>
      </c>
      <c r="C777" t="str">
        <f>VLOOKUP(A777,'Remote work mental helath'!$A$2:$T$1001,11,)</f>
        <v>Medium</v>
      </c>
      <c r="D777">
        <f>VLOOKUP('Mental Helath'!A777,'Remote work mental helath'!$A$2:$T$1001,10,)</f>
        <v>1</v>
      </c>
      <c r="E777" t="str">
        <f>VLOOKUP(A777,'Remote work mental helath'!A777:T1776,19,FALSE)</f>
        <v>Average</v>
      </c>
      <c r="F777" t="str">
        <f>VLOOKUP(A777,'Remote work mental helath'!$A$2:$T$1001,18,)</f>
        <v>Weekly</v>
      </c>
      <c r="G777">
        <f>VLOOKUP(A777,'Remote work mental helath'!$A$2:$T$1001,15,FALSE)</f>
        <v>3</v>
      </c>
      <c r="H777" t="str">
        <f>VLOOKUP(A777,'Remote work mental helath'!$A$2:$T$1001,14,)</f>
        <v>Increase</v>
      </c>
      <c r="I777" t="str">
        <f>VLOOKUP(A777,'Remote work mental helath'!$A$2:$T$1001,16,)</f>
        <v>Satisfied</v>
      </c>
      <c r="J777" t="str">
        <f>VLOOKUP(A777,'Remote work mental helath'!$A$2:$T$1001,13,)</f>
        <v>Yes</v>
      </c>
      <c r="K777">
        <f>VLOOKUP(A777,'Remote work mental helath'!$A$2:$T$1001,17,FALSE)</f>
        <v>2</v>
      </c>
    </row>
    <row r="778" spans="1:11" x14ac:dyDescent="0.3">
      <c r="A778" t="s">
        <v>827</v>
      </c>
      <c r="B778" t="str">
        <f>VLOOKUP(A778,'Remote work mental helath'!$A$2:$T$1001,12,)</f>
        <v>Anxiety</v>
      </c>
      <c r="C778" t="str">
        <f>VLOOKUP(A778,'Remote work mental helath'!$A$2:$T$1001,11,)</f>
        <v>Medium</v>
      </c>
      <c r="D778">
        <f>VLOOKUP('Mental Helath'!A778,'Remote work mental helath'!$A$2:$T$1001,10,)</f>
        <v>5</v>
      </c>
      <c r="E778" t="str">
        <f>VLOOKUP(A778,'Remote work mental helath'!A778:T1777,19,FALSE)</f>
        <v>Average</v>
      </c>
      <c r="F778" t="str">
        <f>VLOOKUP(A778,'Remote work mental helath'!$A$2:$T$1001,18,)</f>
        <v>None</v>
      </c>
      <c r="G778">
        <f>VLOOKUP(A778,'Remote work mental helath'!$A$2:$T$1001,15,FALSE)</f>
        <v>5</v>
      </c>
      <c r="H778" t="str">
        <f>VLOOKUP(A778,'Remote work mental helath'!$A$2:$T$1001,14,)</f>
        <v>Increase</v>
      </c>
      <c r="I778" t="str">
        <f>VLOOKUP(A778,'Remote work mental helath'!$A$2:$T$1001,16,)</f>
        <v>Unsatisfied</v>
      </c>
      <c r="J778" t="str">
        <f>VLOOKUP(A778,'Remote work mental helath'!$A$2:$T$1001,13,)</f>
        <v>Yes</v>
      </c>
      <c r="K778">
        <f>VLOOKUP(A778,'Remote work mental helath'!$A$2:$T$1001,17,FALSE)</f>
        <v>5</v>
      </c>
    </row>
    <row r="779" spans="1:11" x14ac:dyDescent="0.3">
      <c r="A779" t="s">
        <v>828</v>
      </c>
      <c r="B779" t="str">
        <f>VLOOKUP(A779,'Remote work mental helath'!$A$2:$T$1001,12,)</f>
        <v>None</v>
      </c>
      <c r="C779" t="str">
        <f>VLOOKUP(A779,'Remote work mental helath'!$A$2:$T$1001,11,)</f>
        <v>Medium</v>
      </c>
      <c r="D779">
        <f>VLOOKUP('Mental Helath'!A779,'Remote work mental helath'!$A$2:$T$1001,10,)</f>
        <v>2</v>
      </c>
      <c r="E779" t="str">
        <f>VLOOKUP(A779,'Remote work mental helath'!A779:T1778,19,FALSE)</f>
        <v>Poor</v>
      </c>
      <c r="F779" t="str">
        <f>VLOOKUP(A779,'Remote work mental helath'!$A$2:$T$1001,18,)</f>
        <v>Daily</v>
      </c>
      <c r="G779">
        <f>VLOOKUP(A779,'Remote work mental helath'!$A$2:$T$1001,15,FALSE)</f>
        <v>4</v>
      </c>
      <c r="H779" t="str">
        <f>VLOOKUP(A779,'Remote work mental helath'!$A$2:$T$1001,14,)</f>
        <v>Decrease</v>
      </c>
      <c r="I779" t="str">
        <f>VLOOKUP(A779,'Remote work mental helath'!$A$2:$T$1001,16,)</f>
        <v>Satisfied</v>
      </c>
      <c r="J779" t="str">
        <f>VLOOKUP(A779,'Remote work mental helath'!$A$2:$T$1001,13,)</f>
        <v>No</v>
      </c>
      <c r="K779">
        <f>VLOOKUP(A779,'Remote work mental helath'!$A$2:$T$1001,17,FALSE)</f>
        <v>4</v>
      </c>
    </row>
    <row r="780" spans="1:11" x14ac:dyDescent="0.3">
      <c r="A780" t="s">
        <v>829</v>
      </c>
      <c r="B780" t="str">
        <f>VLOOKUP(A780,'Remote work mental helath'!$A$2:$T$1001,12,)</f>
        <v>Anxiety</v>
      </c>
      <c r="C780" t="str">
        <f>VLOOKUP(A780,'Remote work mental helath'!$A$2:$T$1001,11,)</f>
        <v>Medium</v>
      </c>
      <c r="D780">
        <f>VLOOKUP('Mental Helath'!A780,'Remote work mental helath'!$A$2:$T$1001,10,)</f>
        <v>5</v>
      </c>
      <c r="E780" t="str">
        <f>VLOOKUP(A780,'Remote work mental helath'!A780:T1779,19,FALSE)</f>
        <v>Poor</v>
      </c>
      <c r="F780" t="str">
        <f>VLOOKUP(A780,'Remote work mental helath'!$A$2:$T$1001,18,)</f>
        <v>Weekly</v>
      </c>
      <c r="G780">
        <f>VLOOKUP(A780,'Remote work mental helath'!$A$2:$T$1001,15,FALSE)</f>
        <v>1</v>
      </c>
      <c r="H780" t="str">
        <f>VLOOKUP(A780,'Remote work mental helath'!$A$2:$T$1001,14,)</f>
        <v>Increase</v>
      </c>
      <c r="I780" t="str">
        <f>VLOOKUP(A780,'Remote work mental helath'!$A$2:$T$1001,16,)</f>
        <v>Neutral</v>
      </c>
      <c r="J780" t="str">
        <f>VLOOKUP(A780,'Remote work mental helath'!$A$2:$T$1001,13,)</f>
        <v>Yes</v>
      </c>
      <c r="K780">
        <f>VLOOKUP(A780,'Remote work mental helath'!$A$2:$T$1001,17,FALSE)</f>
        <v>4</v>
      </c>
    </row>
    <row r="781" spans="1:11" x14ac:dyDescent="0.3">
      <c r="A781" t="s">
        <v>830</v>
      </c>
      <c r="B781" t="str">
        <f>VLOOKUP(A781,'Remote work mental helath'!$A$2:$T$1001,12,)</f>
        <v>Burnout</v>
      </c>
      <c r="C781" t="str">
        <f>VLOOKUP(A781,'Remote work mental helath'!$A$2:$T$1001,11,)</f>
        <v>High</v>
      </c>
      <c r="D781">
        <f>VLOOKUP('Mental Helath'!A781,'Remote work mental helath'!$A$2:$T$1001,10,)</f>
        <v>3</v>
      </c>
      <c r="E781" t="str">
        <f>VLOOKUP(A781,'Remote work mental helath'!A781:T1780,19,FALSE)</f>
        <v>Poor</v>
      </c>
      <c r="F781" t="str">
        <f>VLOOKUP(A781,'Remote work mental helath'!$A$2:$T$1001,18,)</f>
        <v>Daily</v>
      </c>
      <c r="G781">
        <f>VLOOKUP(A781,'Remote work mental helath'!$A$2:$T$1001,15,FALSE)</f>
        <v>3</v>
      </c>
      <c r="H781" t="str">
        <f>VLOOKUP(A781,'Remote work mental helath'!$A$2:$T$1001,14,)</f>
        <v>Increase</v>
      </c>
      <c r="I781" t="str">
        <f>VLOOKUP(A781,'Remote work mental helath'!$A$2:$T$1001,16,)</f>
        <v>Unsatisfied</v>
      </c>
      <c r="J781" t="str">
        <f>VLOOKUP(A781,'Remote work mental helath'!$A$2:$T$1001,13,)</f>
        <v>Yes</v>
      </c>
      <c r="K781">
        <f>VLOOKUP(A781,'Remote work mental helath'!$A$2:$T$1001,17,FALSE)</f>
        <v>1</v>
      </c>
    </row>
    <row r="782" spans="1:11" x14ac:dyDescent="0.3">
      <c r="A782" t="s">
        <v>831</v>
      </c>
      <c r="B782" t="str">
        <f>VLOOKUP(A782,'Remote work mental helath'!$A$2:$T$1001,12,)</f>
        <v>Anxiety</v>
      </c>
      <c r="C782" t="str">
        <f>VLOOKUP(A782,'Remote work mental helath'!$A$2:$T$1001,11,)</f>
        <v>High</v>
      </c>
      <c r="D782">
        <f>VLOOKUP('Mental Helath'!A782,'Remote work mental helath'!$A$2:$T$1001,10,)</f>
        <v>2</v>
      </c>
      <c r="E782" t="str">
        <f>VLOOKUP(A782,'Remote work mental helath'!A782:T1781,19,FALSE)</f>
        <v>Poor</v>
      </c>
      <c r="F782" t="str">
        <f>VLOOKUP(A782,'Remote work mental helath'!$A$2:$T$1001,18,)</f>
        <v>Daily</v>
      </c>
      <c r="G782">
        <f>VLOOKUP(A782,'Remote work mental helath'!$A$2:$T$1001,15,FALSE)</f>
        <v>3</v>
      </c>
      <c r="H782" t="str">
        <f>VLOOKUP(A782,'Remote work mental helath'!$A$2:$T$1001,14,)</f>
        <v>Decrease</v>
      </c>
      <c r="I782" t="str">
        <f>VLOOKUP(A782,'Remote work mental helath'!$A$2:$T$1001,16,)</f>
        <v>Satisfied</v>
      </c>
      <c r="J782" t="str">
        <f>VLOOKUP(A782,'Remote work mental helath'!$A$2:$T$1001,13,)</f>
        <v>Yes</v>
      </c>
      <c r="K782">
        <f>VLOOKUP(A782,'Remote work mental helath'!$A$2:$T$1001,17,FALSE)</f>
        <v>5</v>
      </c>
    </row>
    <row r="783" spans="1:11" x14ac:dyDescent="0.3">
      <c r="A783" t="s">
        <v>832</v>
      </c>
      <c r="B783" t="str">
        <f>VLOOKUP(A783,'Remote work mental helath'!$A$2:$T$1001,12,)</f>
        <v>Burnout</v>
      </c>
      <c r="C783" t="str">
        <f>VLOOKUP(A783,'Remote work mental helath'!$A$2:$T$1001,11,)</f>
        <v>High</v>
      </c>
      <c r="D783">
        <f>VLOOKUP('Mental Helath'!A783,'Remote work mental helath'!$A$2:$T$1001,10,)</f>
        <v>3</v>
      </c>
      <c r="E783" t="str">
        <f>VLOOKUP(A783,'Remote work mental helath'!A783:T1782,19,FALSE)</f>
        <v>Good</v>
      </c>
      <c r="F783" t="str">
        <f>VLOOKUP(A783,'Remote work mental helath'!$A$2:$T$1001,18,)</f>
        <v>None</v>
      </c>
      <c r="G783">
        <f>VLOOKUP(A783,'Remote work mental helath'!$A$2:$T$1001,15,FALSE)</f>
        <v>1</v>
      </c>
      <c r="H783" t="str">
        <f>VLOOKUP(A783,'Remote work mental helath'!$A$2:$T$1001,14,)</f>
        <v>Increase</v>
      </c>
      <c r="I783" t="str">
        <f>VLOOKUP(A783,'Remote work mental helath'!$A$2:$T$1001,16,)</f>
        <v>Neutral</v>
      </c>
      <c r="J783" t="str">
        <f>VLOOKUP(A783,'Remote work mental helath'!$A$2:$T$1001,13,)</f>
        <v>No</v>
      </c>
      <c r="K783">
        <f>VLOOKUP(A783,'Remote work mental helath'!$A$2:$T$1001,17,FALSE)</f>
        <v>5</v>
      </c>
    </row>
    <row r="784" spans="1:11" x14ac:dyDescent="0.3">
      <c r="A784" t="s">
        <v>833</v>
      </c>
      <c r="B784" t="str">
        <f>VLOOKUP(A784,'Remote work mental helath'!$A$2:$T$1001,12,)</f>
        <v>None</v>
      </c>
      <c r="C784" t="str">
        <f>VLOOKUP(A784,'Remote work mental helath'!$A$2:$T$1001,11,)</f>
        <v>Low</v>
      </c>
      <c r="D784">
        <f>VLOOKUP('Mental Helath'!A784,'Remote work mental helath'!$A$2:$T$1001,10,)</f>
        <v>1</v>
      </c>
      <c r="E784" t="str">
        <f>VLOOKUP(A784,'Remote work mental helath'!A784:T1783,19,FALSE)</f>
        <v>Poor</v>
      </c>
      <c r="F784" t="str">
        <f>VLOOKUP(A784,'Remote work mental helath'!$A$2:$T$1001,18,)</f>
        <v>Daily</v>
      </c>
      <c r="G784">
        <f>VLOOKUP(A784,'Remote work mental helath'!$A$2:$T$1001,15,FALSE)</f>
        <v>1</v>
      </c>
      <c r="H784" t="str">
        <f>VLOOKUP(A784,'Remote work mental helath'!$A$2:$T$1001,14,)</f>
        <v>Increase</v>
      </c>
      <c r="I784" t="str">
        <f>VLOOKUP(A784,'Remote work mental helath'!$A$2:$T$1001,16,)</f>
        <v>Satisfied</v>
      </c>
      <c r="J784" t="str">
        <f>VLOOKUP(A784,'Remote work mental helath'!$A$2:$T$1001,13,)</f>
        <v>Yes</v>
      </c>
      <c r="K784">
        <f>VLOOKUP(A784,'Remote work mental helath'!$A$2:$T$1001,17,FALSE)</f>
        <v>4</v>
      </c>
    </row>
    <row r="785" spans="1:11" x14ac:dyDescent="0.3">
      <c r="A785" t="s">
        <v>834</v>
      </c>
      <c r="B785" t="str">
        <f>VLOOKUP(A785,'Remote work mental helath'!$A$2:$T$1001,12,)</f>
        <v>Anxiety</v>
      </c>
      <c r="C785" t="str">
        <f>VLOOKUP(A785,'Remote work mental helath'!$A$2:$T$1001,11,)</f>
        <v>Medium</v>
      </c>
      <c r="D785">
        <f>VLOOKUP('Mental Helath'!A785,'Remote work mental helath'!$A$2:$T$1001,10,)</f>
        <v>2</v>
      </c>
      <c r="E785" t="str">
        <f>VLOOKUP(A785,'Remote work mental helath'!A785:T1784,19,FALSE)</f>
        <v>Good</v>
      </c>
      <c r="F785" t="str">
        <f>VLOOKUP(A785,'Remote work mental helath'!$A$2:$T$1001,18,)</f>
        <v>Daily</v>
      </c>
      <c r="G785">
        <f>VLOOKUP(A785,'Remote work mental helath'!$A$2:$T$1001,15,FALSE)</f>
        <v>2</v>
      </c>
      <c r="H785" t="str">
        <f>VLOOKUP(A785,'Remote work mental helath'!$A$2:$T$1001,14,)</f>
        <v>No Change</v>
      </c>
      <c r="I785" t="str">
        <f>VLOOKUP(A785,'Remote work mental helath'!$A$2:$T$1001,16,)</f>
        <v>Unsatisfied</v>
      </c>
      <c r="J785" t="str">
        <f>VLOOKUP(A785,'Remote work mental helath'!$A$2:$T$1001,13,)</f>
        <v>No</v>
      </c>
      <c r="K785">
        <f>VLOOKUP(A785,'Remote work mental helath'!$A$2:$T$1001,17,FALSE)</f>
        <v>3</v>
      </c>
    </row>
    <row r="786" spans="1:11" x14ac:dyDescent="0.3">
      <c r="A786" t="s">
        <v>835</v>
      </c>
      <c r="B786" t="str">
        <f>VLOOKUP(A786,'Remote work mental helath'!$A$2:$T$1001,12,)</f>
        <v>None</v>
      </c>
      <c r="C786" t="str">
        <f>VLOOKUP(A786,'Remote work mental helath'!$A$2:$T$1001,11,)</f>
        <v>High</v>
      </c>
      <c r="D786">
        <f>VLOOKUP('Mental Helath'!A786,'Remote work mental helath'!$A$2:$T$1001,10,)</f>
        <v>3</v>
      </c>
      <c r="E786" t="str">
        <f>VLOOKUP(A786,'Remote work mental helath'!A786:T1785,19,FALSE)</f>
        <v>Poor</v>
      </c>
      <c r="F786" t="str">
        <f>VLOOKUP(A786,'Remote work mental helath'!$A$2:$T$1001,18,)</f>
        <v>None</v>
      </c>
      <c r="G786">
        <f>VLOOKUP(A786,'Remote work mental helath'!$A$2:$T$1001,15,FALSE)</f>
        <v>3</v>
      </c>
      <c r="H786" t="str">
        <f>VLOOKUP(A786,'Remote work mental helath'!$A$2:$T$1001,14,)</f>
        <v>Decrease</v>
      </c>
      <c r="I786" t="str">
        <f>VLOOKUP(A786,'Remote work mental helath'!$A$2:$T$1001,16,)</f>
        <v>Satisfied</v>
      </c>
      <c r="J786" t="str">
        <f>VLOOKUP(A786,'Remote work mental helath'!$A$2:$T$1001,13,)</f>
        <v>No</v>
      </c>
      <c r="K786">
        <f>VLOOKUP(A786,'Remote work mental helath'!$A$2:$T$1001,17,FALSE)</f>
        <v>3</v>
      </c>
    </row>
    <row r="787" spans="1:11" x14ac:dyDescent="0.3">
      <c r="A787" t="s">
        <v>836</v>
      </c>
      <c r="B787" t="str">
        <f>VLOOKUP(A787,'Remote work mental helath'!$A$2:$T$1001,12,)</f>
        <v>Anxiety</v>
      </c>
      <c r="C787" t="str">
        <f>VLOOKUP(A787,'Remote work mental helath'!$A$2:$T$1001,11,)</f>
        <v>Low</v>
      </c>
      <c r="D787">
        <f>VLOOKUP('Mental Helath'!A787,'Remote work mental helath'!$A$2:$T$1001,10,)</f>
        <v>3</v>
      </c>
      <c r="E787" t="str">
        <f>VLOOKUP(A787,'Remote work mental helath'!A787:T1786,19,FALSE)</f>
        <v>Good</v>
      </c>
      <c r="F787" t="str">
        <f>VLOOKUP(A787,'Remote work mental helath'!$A$2:$T$1001,18,)</f>
        <v>None</v>
      </c>
      <c r="G787">
        <f>VLOOKUP(A787,'Remote work mental helath'!$A$2:$T$1001,15,FALSE)</f>
        <v>5</v>
      </c>
      <c r="H787" t="str">
        <f>VLOOKUP(A787,'Remote work mental helath'!$A$2:$T$1001,14,)</f>
        <v>Decrease</v>
      </c>
      <c r="I787" t="str">
        <f>VLOOKUP(A787,'Remote work mental helath'!$A$2:$T$1001,16,)</f>
        <v>Neutral</v>
      </c>
      <c r="J787" t="str">
        <f>VLOOKUP(A787,'Remote work mental helath'!$A$2:$T$1001,13,)</f>
        <v>Yes</v>
      </c>
      <c r="K787">
        <f>VLOOKUP(A787,'Remote work mental helath'!$A$2:$T$1001,17,FALSE)</f>
        <v>2</v>
      </c>
    </row>
    <row r="788" spans="1:11" x14ac:dyDescent="0.3">
      <c r="A788" t="s">
        <v>837</v>
      </c>
      <c r="B788" t="str">
        <f>VLOOKUP(A788,'Remote work mental helath'!$A$2:$T$1001,12,)</f>
        <v>None</v>
      </c>
      <c r="C788" t="str">
        <f>VLOOKUP(A788,'Remote work mental helath'!$A$2:$T$1001,11,)</f>
        <v>Medium</v>
      </c>
      <c r="D788">
        <f>VLOOKUP('Mental Helath'!A788,'Remote work mental helath'!$A$2:$T$1001,10,)</f>
        <v>4</v>
      </c>
      <c r="E788" t="str">
        <f>VLOOKUP(A788,'Remote work mental helath'!A788:T1787,19,FALSE)</f>
        <v>Poor</v>
      </c>
      <c r="F788" t="str">
        <f>VLOOKUP(A788,'Remote work mental helath'!$A$2:$T$1001,18,)</f>
        <v>Weekly</v>
      </c>
      <c r="G788">
        <f>VLOOKUP(A788,'Remote work mental helath'!$A$2:$T$1001,15,FALSE)</f>
        <v>1</v>
      </c>
      <c r="H788" t="str">
        <f>VLOOKUP(A788,'Remote work mental helath'!$A$2:$T$1001,14,)</f>
        <v>Increase</v>
      </c>
      <c r="I788" t="str">
        <f>VLOOKUP(A788,'Remote work mental helath'!$A$2:$T$1001,16,)</f>
        <v>Satisfied</v>
      </c>
      <c r="J788" t="str">
        <f>VLOOKUP(A788,'Remote work mental helath'!$A$2:$T$1001,13,)</f>
        <v>No</v>
      </c>
      <c r="K788">
        <f>VLOOKUP(A788,'Remote work mental helath'!$A$2:$T$1001,17,FALSE)</f>
        <v>2</v>
      </c>
    </row>
    <row r="789" spans="1:11" x14ac:dyDescent="0.3">
      <c r="A789" t="s">
        <v>838</v>
      </c>
      <c r="B789" t="str">
        <f>VLOOKUP(A789,'Remote work mental helath'!$A$2:$T$1001,12,)</f>
        <v>None</v>
      </c>
      <c r="C789" t="str">
        <f>VLOOKUP(A789,'Remote work mental helath'!$A$2:$T$1001,11,)</f>
        <v>High</v>
      </c>
      <c r="D789">
        <f>VLOOKUP('Mental Helath'!A789,'Remote work mental helath'!$A$2:$T$1001,10,)</f>
        <v>3</v>
      </c>
      <c r="E789" t="str">
        <f>VLOOKUP(A789,'Remote work mental helath'!A789:T1788,19,FALSE)</f>
        <v>Average</v>
      </c>
      <c r="F789" t="str">
        <f>VLOOKUP(A789,'Remote work mental helath'!$A$2:$T$1001,18,)</f>
        <v>Daily</v>
      </c>
      <c r="G789">
        <f>VLOOKUP(A789,'Remote work mental helath'!$A$2:$T$1001,15,FALSE)</f>
        <v>3</v>
      </c>
      <c r="H789" t="str">
        <f>VLOOKUP(A789,'Remote work mental helath'!$A$2:$T$1001,14,)</f>
        <v>Decrease</v>
      </c>
      <c r="I789" t="str">
        <f>VLOOKUP(A789,'Remote work mental helath'!$A$2:$T$1001,16,)</f>
        <v>Neutral</v>
      </c>
      <c r="J789" t="str">
        <f>VLOOKUP(A789,'Remote work mental helath'!$A$2:$T$1001,13,)</f>
        <v>Yes</v>
      </c>
      <c r="K789">
        <f>VLOOKUP(A789,'Remote work mental helath'!$A$2:$T$1001,17,FALSE)</f>
        <v>5</v>
      </c>
    </row>
    <row r="790" spans="1:11" x14ac:dyDescent="0.3">
      <c r="A790" t="s">
        <v>839</v>
      </c>
      <c r="B790" t="str">
        <f>VLOOKUP(A790,'Remote work mental helath'!$A$2:$T$1001,12,)</f>
        <v>Depression</v>
      </c>
      <c r="C790" t="str">
        <f>VLOOKUP(A790,'Remote work mental helath'!$A$2:$T$1001,11,)</f>
        <v>Medium</v>
      </c>
      <c r="D790">
        <f>VLOOKUP('Mental Helath'!A790,'Remote work mental helath'!$A$2:$T$1001,10,)</f>
        <v>2</v>
      </c>
      <c r="E790" t="str">
        <f>VLOOKUP(A790,'Remote work mental helath'!A790:T1789,19,FALSE)</f>
        <v>Poor</v>
      </c>
      <c r="F790" t="str">
        <f>VLOOKUP(A790,'Remote work mental helath'!$A$2:$T$1001,18,)</f>
        <v>Daily</v>
      </c>
      <c r="G790">
        <f>VLOOKUP(A790,'Remote work mental helath'!$A$2:$T$1001,15,FALSE)</f>
        <v>2</v>
      </c>
      <c r="H790" t="str">
        <f>VLOOKUP(A790,'Remote work mental helath'!$A$2:$T$1001,14,)</f>
        <v>Decrease</v>
      </c>
      <c r="I790" t="str">
        <f>VLOOKUP(A790,'Remote work mental helath'!$A$2:$T$1001,16,)</f>
        <v>Satisfied</v>
      </c>
      <c r="J790" t="str">
        <f>VLOOKUP(A790,'Remote work mental helath'!$A$2:$T$1001,13,)</f>
        <v>Yes</v>
      </c>
      <c r="K790">
        <f>VLOOKUP(A790,'Remote work mental helath'!$A$2:$T$1001,17,FALSE)</f>
        <v>4</v>
      </c>
    </row>
    <row r="791" spans="1:11" x14ac:dyDescent="0.3">
      <c r="A791" t="s">
        <v>840</v>
      </c>
      <c r="B791" t="str">
        <f>VLOOKUP(A791,'Remote work mental helath'!$A$2:$T$1001,12,)</f>
        <v>Burnout</v>
      </c>
      <c r="C791" t="str">
        <f>VLOOKUP(A791,'Remote work mental helath'!$A$2:$T$1001,11,)</f>
        <v>Low</v>
      </c>
      <c r="D791">
        <f>VLOOKUP('Mental Helath'!A791,'Remote work mental helath'!$A$2:$T$1001,10,)</f>
        <v>5</v>
      </c>
      <c r="E791" t="str">
        <f>VLOOKUP(A791,'Remote work mental helath'!A791:T1790,19,FALSE)</f>
        <v>Average</v>
      </c>
      <c r="F791" t="str">
        <f>VLOOKUP(A791,'Remote work mental helath'!$A$2:$T$1001,18,)</f>
        <v>Weekly</v>
      </c>
      <c r="G791">
        <f>VLOOKUP(A791,'Remote work mental helath'!$A$2:$T$1001,15,FALSE)</f>
        <v>5</v>
      </c>
      <c r="H791" t="str">
        <f>VLOOKUP(A791,'Remote work mental helath'!$A$2:$T$1001,14,)</f>
        <v>Decrease</v>
      </c>
      <c r="I791" t="str">
        <f>VLOOKUP(A791,'Remote work mental helath'!$A$2:$T$1001,16,)</f>
        <v>Satisfied</v>
      </c>
      <c r="J791" t="str">
        <f>VLOOKUP(A791,'Remote work mental helath'!$A$2:$T$1001,13,)</f>
        <v>Yes</v>
      </c>
      <c r="K791">
        <f>VLOOKUP(A791,'Remote work mental helath'!$A$2:$T$1001,17,FALSE)</f>
        <v>2</v>
      </c>
    </row>
    <row r="792" spans="1:11" x14ac:dyDescent="0.3">
      <c r="A792" t="s">
        <v>841</v>
      </c>
      <c r="B792" t="str">
        <f>VLOOKUP(A792,'Remote work mental helath'!$A$2:$T$1001,12,)</f>
        <v>None</v>
      </c>
      <c r="C792" t="str">
        <f>VLOOKUP(A792,'Remote work mental helath'!$A$2:$T$1001,11,)</f>
        <v>Medium</v>
      </c>
      <c r="D792">
        <f>VLOOKUP('Mental Helath'!A792,'Remote work mental helath'!$A$2:$T$1001,10,)</f>
        <v>5</v>
      </c>
      <c r="E792" t="str">
        <f>VLOOKUP(A792,'Remote work mental helath'!A792:T1791,19,FALSE)</f>
        <v>Poor</v>
      </c>
      <c r="F792" t="str">
        <f>VLOOKUP(A792,'Remote work mental helath'!$A$2:$T$1001,18,)</f>
        <v>None</v>
      </c>
      <c r="G792">
        <f>VLOOKUP(A792,'Remote work mental helath'!$A$2:$T$1001,15,FALSE)</f>
        <v>2</v>
      </c>
      <c r="H792" t="str">
        <f>VLOOKUP(A792,'Remote work mental helath'!$A$2:$T$1001,14,)</f>
        <v>No Change</v>
      </c>
      <c r="I792" t="str">
        <f>VLOOKUP(A792,'Remote work mental helath'!$A$2:$T$1001,16,)</f>
        <v>Neutral</v>
      </c>
      <c r="J792" t="str">
        <f>VLOOKUP(A792,'Remote work mental helath'!$A$2:$T$1001,13,)</f>
        <v>No</v>
      </c>
      <c r="K792">
        <f>VLOOKUP(A792,'Remote work mental helath'!$A$2:$T$1001,17,FALSE)</f>
        <v>1</v>
      </c>
    </row>
    <row r="793" spans="1:11" x14ac:dyDescent="0.3">
      <c r="A793" t="s">
        <v>842</v>
      </c>
      <c r="B793" t="str">
        <f>VLOOKUP(A793,'Remote work mental helath'!$A$2:$T$1001,12,)</f>
        <v>None</v>
      </c>
      <c r="C793" t="str">
        <f>VLOOKUP(A793,'Remote work mental helath'!$A$2:$T$1001,11,)</f>
        <v>Medium</v>
      </c>
      <c r="D793">
        <f>VLOOKUP('Mental Helath'!A793,'Remote work mental helath'!$A$2:$T$1001,10,)</f>
        <v>1</v>
      </c>
      <c r="E793" t="str">
        <f>VLOOKUP(A793,'Remote work mental helath'!A793:T1792,19,FALSE)</f>
        <v>Good</v>
      </c>
      <c r="F793" t="str">
        <f>VLOOKUP(A793,'Remote work mental helath'!$A$2:$T$1001,18,)</f>
        <v>None</v>
      </c>
      <c r="G793">
        <f>VLOOKUP(A793,'Remote work mental helath'!$A$2:$T$1001,15,FALSE)</f>
        <v>2</v>
      </c>
      <c r="H793" t="str">
        <f>VLOOKUP(A793,'Remote work mental helath'!$A$2:$T$1001,14,)</f>
        <v>Increase</v>
      </c>
      <c r="I793" t="str">
        <f>VLOOKUP(A793,'Remote work mental helath'!$A$2:$T$1001,16,)</f>
        <v>Unsatisfied</v>
      </c>
      <c r="J793" t="str">
        <f>VLOOKUP(A793,'Remote work mental helath'!$A$2:$T$1001,13,)</f>
        <v>Yes</v>
      </c>
      <c r="K793">
        <f>VLOOKUP(A793,'Remote work mental helath'!$A$2:$T$1001,17,FALSE)</f>
        <v>2</v>
      </c>
    </row>
    <row r="794" spans="1:11" x14ac:dyDescent="0.3">
      <c r="A794" t="s">
        <v>843</v>
      </c>
      <c r="B794" t="str">
        <f>VLOOKUP(A794,'Remote work mental helath'!$A$2:$T$1001,12,)</f>
        <v>Depression</v>
      </c>
      <c r="C794" t="str">
        <f>VLOOKUP(A794,'Remote work mental helath'!$A$2:$T$1001,11,)</f>
        <v>High</v>
      </c>
      <c r="D794">
        <f>VLOOKUP('Mental Helath'!A794,'Remote work mental helath'!$A$2:$T$1001,10,)</f>
        <v>1</v>
      </c>
      <c r="E794" t="str">
        <f>VLOOKUP(A794,'Remote work mental helath'!A794:T1793,19,FALSE)</f>
        <v>Average</v>
      </c>
      <c r="F794" t="str">
        <f>VLOOKUP(A794,'Remote work mental helath'!$A$2:$T$1001,18,)</f>
        <v>Daily</v>
      </c>
      <c r="G794">
        <f>VLOOKUP(A794,'Remote work mental helath'!$A$2:$T$1001,15,FALSE)</f>
        <v>2</v>
      </c>
      <c r="H794" t="str">
        <f>VLOOKUP(A794,'Remote work mental helath'!$A$2:$T$1001,14,)</f>
        <v>No Change</v>
      </c>
      <c r="I794" t="str">
        <f>VLOOKUP(A794,'Remote work mental helath'!$A$2:$T$1001,16,)</f>
        <v>Satisfied</v>
      </c>
      <c r="J794" t="str">
        <f>VLOOKUP(A794,'Remote work mental helath'!$A$2:$T$1001,13,)</f>
        <v>No</v>
      </c>
      <c r="K794">
        <f>VLOOKUP(A794,'Remote work mental helath'!$A$2:$T$1001,17,FALSE)</f>
        <v>5</v>
      </c>
    </row>
    <row r="795" spans="1:11" x14ac:dyDescent="0.3">
      <c r="A795" t="s">
        <v>844</v>
      </c>
      <c r="B795" t="str">
        <f>VLOOKUP(A795,'Remote work mental helath'!$A$2:$T$1001,12,)</f>
        <v>Anxiety</v>
      </c>
      <c r="C795" t="str">
        <f>VLOOKUP(A795,'Remote work mental helath'!$A$2:$T$1001,11,)</f>
        <v>High</v>
      </c>
      <c r="D795">
        <f>VLOOKUP('Mental Helath'!A795,'Remote work mental helath'!$A$2:$T$1001,10,)</f>
        <v>2</v>
      </c>
      <c r="E795" t="str">
        <f>VLOOKUP(A795,'Remote work mental helath'!A795:T1794,19,FALSE)</f>
        <v>Average</v>
      </c>
      <c r="F795" t="str">
        <f>VLOOKUP(A795,'Remote work mental helath'!$A$2:$T$1001,18,)</f>
        <v>Daily</v>
      </c>
      <c r="G795">
        <f>VLOOKUP(A795,'Remote work mental helath'!$A$2:$T$1001,15,FALSE)</f>
        <v>3</v>
      </c>
      <c r="H795" t="str">
        <f>VLOOKUP(A795,'Remote work mental helath'!$A$2:$T$1001,14,)</f>
        <v>Decrease</v>
      </c>
      <c r="I795" t="str">
        <f>VLOOKUP(A795,'Remote work mental helath'!$A$2:$T$1001,16,)</f>
        <v>Neutral</v>
      </c>
      <c r="J795" t="str">
        <f>VLOOKUP(A795,'Remote work mental helath'!$A$2:$T$1001,13,)</f>
        <v>No</v>
      </c>
      <c r="K795">
        <f>VLOOKUP(A795,'Remote work mental helath'!$A$2:$T$1001,17,FALSE)</f>
        <v>3</v>
      </c>
    </row>
    <row r="796" spans="1:11" x14ac:dyDescent="0.3">
      <c r="A796" t="s">
        <v>845</v>
      </c>
      <c r="B796" t="str">
        <f>VLOOKUP(A796,'Remote work mental helath'!$A$2:$T$1001,12,)</f>
        <v>Depression</v>
      </c>
      <c r="C796" t="str">
        <f>VLOOKUP(A796,'Remote work mental helath'!$A$2:$T$1001,11,)</f>
        <v>Low</v>
      </c>
      <c r="D796">
        <f>VLOOKUP('Mental Helath'!A796,'Remote work mental helath'!$A$2:$T$1001,10,)</f>
        <v>5</v>
      </c>
      <c r="E796" t="str">
        <f>VLOOKUP(A796,'Remote work mental helath'!A796:T1795,19,FALSE)</f>
        <v>Poor</v>
      </c>
      <c r="F796" t="str">
        <f>VLOOKUP(A796,'Remote work mental helath'!$A$2:$T$1001,18,)</f>
        <v>Daily</v>
      </c>
      <c r="G796">
        <f>VLOOKUP(A796,'Remote work mental helath'!$A$2:$T$1001,15,FALSE)</f>
        <v>4</v>
      </c>
      <c r="H796" t="str">
        <f>VLOOKUP(A796,'Remote work mental helath'!$A$2:$T$1001,14,)</f>
        <v>No Change</v>
      </c>
      <c r="I796" t="str">
        <f>VLOOKUP(A796,'Remote work mental helath'!$A$2:$T$1001,16,)</f>
        <v>Satisfied</v>
      </c>
      <c r="J796" t="str">
        <f>VLOOKUP(A796,'Remote work mental helath'!$A$2:$T$1001,13,)</f>
        <v>Yes</v>
      </c>
      <c r="K796">
        <f>VLOOKUP(A796,'Remote work mental helath'!$A$2:$T$1001,17,FALSE)</f>
        <v>1</v>
      </c>
    </row>
    <row r="797" spans="1:11" x14ac:dyDescent="0.3">
      <c r="A797" t="s">
        <v>846</v>
      </c>
      <c r="B797" t="str">
        <f>VLOOKUP(A797,'Remote work mental helath'!$A$2:$T$1001,12,)</f>
        <v>Burnout</v>
      </c>
      <c r="C797" t="str">
        <f>VLOOKUP(A797,'Remote work mental helath'!$A$2:$T$1001,11,)</f>
        <v>Low</v>
      </c>
      <c r="D797">
        <f>VLOOKUP('Mental Helath'!A797,'Remote work mental helath'!$A$2:$T$1001,10,)</f>
        <v>4</v>
      </c>
      <c r="E797" t="str">
        <f>VLOOKUP(A797,'Remote work mental helath'!A797:T1796,19,FALSE)</f>
        <v>Average</v>
      </c>
      <c r="F797" t="str">
        <f>VLOOKUP(A797,'Remote work mental helath'!$A$2:$T$1001,18,)</f>
        <v>Daily</v>
      </c>
      <c r="G797">
        <f>VLOOKUP(A797,'Remote work mental helath'!$A$2:$T$1001,15,FALSE)</f>
        <v>4</v>
      </c>
      <c r="H797" t="str">
        <f>VLOOKUP(A797,'Remote work mental helath'!$A$2:$T$1001,14,)</f>
        <v>No Change</v>
      </c>
      <c r="I797" t="str">
        <f>VLOOKUP(A797,'Remote work mental helath'!$A$2:$T$1001,16,)</f>
        <v>Unsatisfied</v>
      </c>
      <c r="J797" t="str">
        <f>VLOOKUP(A797,'Remote work mental helath'!$A$2:$T$1001,13,)</f>
        <v>No</v>
      </c>
      <c r="K797">
        <f>VLOOKUP(A797,'Remote work mental helath'!$A$2:$T$1001,17,FALSE)</f>
        <v>1</v>
      </c>
    </row>
    <row r="798" spans="1:11" x14ac:dyDescent="0.3">
      <c r="A798" t="s">
        <v>847</v>
      </c>
      <c r="B798" t="str">
        <f>VLOOKUP(A798,'Remote work mental helath'!$A$2:$T$1001,12,)</f>
        <v>Burnout</v>
      </c>
      <c r="C798" t="str">
        <f>VLOOKUP(A798,'Remote work mental helath'!$A$2:$T$1001,11,)</f>
        <v>Low</v>
      </c>
      <c r="D798">
        <f>VLOOKUP('Mental Helath'!A798,'Remote work mental helath'!$A$2:$T$1001,10,)</f>
        <v>3</v>
      </c>
      <c r="E798" t="str">
        <f>VLOOKUP(A798,'Remote work mental helath'!A798:T1797,19,FALSE)</f>
        <v>Good</v>
      </c>
      <c r="F798" t="str">
        <f>VLOOKUP(A798,'Remote work mental helath'!$A$2:$T$1001,18,)</f>
        <v>None</v>
      </c>
      <c r="G798">
        <f>VLOOKUP(A798,'Remote work mental helath'!$A$2:$T$1001,15,FALSE)</f>
        <v>5</v>
      </c>
      <c r="H798" t="str">
        <f>VLOOKUP(A798,'Remote work mental helath'!$A$2:$T$1001,14,)</f>
        <v>No Change</v>
      </c>
      <c r="I798" t="str">
        <f>VLOOKUP(A798,'Remote work mental helath'!$A$2:$T$1001,16,)</f>
        <v>Unsatisfied</v>
      </c>
      <c r="J798" t="str">
        <f>VLOOKUP(A798,'Remote work mental helath'!$A$2:$T$1001,13,)</f>
        <v>No</v>
      </c>
      <c r="K798">
        <f>VLOOKUP(A798,'Remote work mental helath'!$A$2:$T$1001,17,FALSE)</f>
        <v>4</v>
      </c>
    </row>
    <row r="799" spans="1:11" x14ac:dyDescent="0.3">
      <c r="A799" t="s">
        <v>848</v>
      </c>
      <c r="B799" t="str">
        <f>VLOOKUP(A799,'Remote work mental helath'!$A$2:$T$1001,12,)</f>
        <v>Burnout</v>
      </c>
      <c r="C799" t="str">
        <f>VLOOKUP(A799,'Remote work mental helath'!$A$2:$T$1001,11,)</f>
        <v>Medium</v>
      </c>
      <c r="D799">
        <f>VLOOKUP('Mental Helath'!A799,'Remote work mental helath'!$A$2:$T$1001,10,)</f>
        <v>4</v>
      </c>
      <c r="E799" t="str">
        <f>VLOOKUP(A799,'Remote work mental helath'!A799:T1798,19,FALSE)</f>
        <v>Good</v>
      </c>
      <c r="F799" t="str">
        <f>VLOOKUP(A799,'Remote work mental helath'!$A$2:$T$1001,18,)</f>
        <v>None</v>
      </c>
      <c r="G799">
        <f>VLOOKUP(A799,'Remote work mental helath'!$A$2:$T$1001,15,FALSE)</f>
        <v>4</v>
      </c>
      <c r="H799" t="str">
        <f>VLOOKUP(A799,'Remote work mental helath'!$A$2:$T$1001,14,)</f>
        <v>No Change</v>
      </c>
      <c r="I799" t="str">
        <f>VLOOKUP(A799,'Remote work mental helath'!$A$2:$T$1001,16,)</f>
        <v>Unsatisfied</v>
      </c>
      <c r="J799" t="str">
        <f>VLOOKUP(A799,'Remote work mental helath'!$A$2:$T$1001,13,)</f>
        <v>Yes</v>
      </c>
      <c r="K799">
        <f>VLOOKUP(A799,'Remote work mental helath'!$A$2:$T$1001,17,FALSE)</f>
        <v>1</v>
      </c>
    </row>
    <row r="800" spans="1:11" x14ac:dyDescent="0.3">
      <c r="A800" t="s">
        <v>849</v>
      </c>
      <c r="B800" t="str">
        <f>VLOOKUP(A800,'Remote work mental helath'!$A$2:$T$1001,12,)</f>
        <v>None</v>
      </c>
      <c r="C800" t="str">
        <f>VLOOKUP(A800,'Remote work mental helath'!$A$2:$T$1001,11,)</f>
        <v>High</v>
      </c>
      <c r="D800">
        <f>VLOOKUP('Mental Helath'!A800,'Remote work mental helath'!$A$2:$T$1001,10,)</f>
        <v>4</v>
      </c>
      <c r="E800" t="str">
        <f>VLOOKUP(A800,'Remote work mental helath'!A800:T1799,19,FALSE)</f>
        <v>Good</v>
      </c>
      <c r="F800" t="str">
        <f>VLOOKUP(A800,'Remote work mental helath'!$A$2:$T$1001,18,)</f>
        <v>None</v>
      </c>
      <c r="G800">
        <f>VLOOKUP(A800,'Remote work mental helath'!$A$2:$T$1001,15,FALSE)</f>
        <v>3</v>
      </c>
      <c r="H800" t="str">
        <f>VLOOKUP(A800,'Remote work mental helath'!$A$2:$T$1001,14,)</f>
        <v>Decrease</v>
      </c>
      <c r="I800" t="str">
        <f>VLOOKUP(A800,'Remote work mental helath'!$A$2:$T$1001,16,)</f>
        <v>Satisfied</v>
      </c>
      <c r="J800" t="str">
        <f>VLOOKUP(A800,'Remote work mental helath'!$A$2:$T$1001,13,)</f>
        <v>Yes</v>
      </c>
      <c r="K800">
        <f>VLOOKUP(A800,'Remote work mental helath'!$A$2:$T$1001,17,FALSE)</f>
        <v>4</v>
      </c>
    </row>
    <row r="801" spans="1:11" x14ac:dyDescent="0.3">
      <c r="A801" t="s">
        <v>850</v>
      </c>
      <c r="B801" t="str">
        <f>VLOOKUP(A801,'Remote work mental helath'!$A$2:$T$1001,12,)</f>
        <v>Depression</v>
      </c>
      <c r="C801" t="str">
        <f>VLOOKUP(A801,'Remote work mental helath'!$A$2:$T$1001,11,)</f>
        <v>Low</v>
      </c>
      <c r="D801">
        <f>VLOOKUP('Mental Helath'!A801,'Remote work mental helath'!$A$2:$T$1001,10,)</f>
        <v>1</v>
      </c>
      <c r="E801" t="str">
        <f>VLOOKUP(A801,'Remote work mental helath'!A801:T1800,19,FALSE)</f>
        <v>Poor</v>
      </c>
      <c r="F801" t="str">
        <f>VLOOKUP(A801,'Remote work mental helath'!$A$2:$T$1001,18,)</f>
        <v>Daily</v>
      </c>
      <c r="G801">
        <f>VLOOKUP(A801,'Remote work mental helath'!$A$2:$T$1001,15,FALSE)</f>
        <v>3</v>
      </c>
      <c r="H801" t="str">
        <f>VLOOKUP(A801,'Remote work mental helath'!$A$2:$T$1001,14,)</f>
        <v>Decrease</v>
      </c>
      <c r="I801" t="str">
        <f>VLOOKUP(A801,'Remote work mental helath'!$A$2:$T$1001,16,)</f>
        <v>Unsatisfied</v>
      </c>
      <c r="J801" t="str">
        <f>VLOOKUP(A801,'Remote work mental helath'!$A$2:$T$1001,13,)</f>
        <v>Yes</v>
      </c>
      <c r="K801">
        <f>VLOOKUP(A801,'Remote work mental helath'!$A$2:$T$1001,17,FALSE)</f>
        <v>3</v>
      </c>
    </row>
    <row r="802" spans="1:11" x14ac:dyDescent="0.3">
      <c r="A802" t="s">
        <v>851</v>
      </c>
      <c r="B802" t="str">
        <f>VLOOKUP(A802,'Remote work mental helath'!$A$2:$T$1001,12,)</f>
        <v>Burnout</v>
      </c>
      <c r="C802" t="str">
        <f>VLOOKUP(A802,'Remote work mental helath'!$A$2:$T$1001,11,)</f>
        <v>Medium</v>
      </c>
      <c r="D802">
        <f>VLOOKUP('Mental Helath'!A802,'Remote work mental helath'!$A$2:$T$1001,10,)</f>
        <v>5</v>
      </c>
      <c r="E802" t="str">
        <f>VLOOKUP(A802,'Remote work mental helath'!A802:T1801,19,FALSE)</f>
        <v>Good</v>
      </c>
      <c r="F802" t="str">
        <f>VLOOKUP(A802,'Remote work mental helath'!$A$2:$T$1001,18,)</f>
        <v>Daily</v>
      </c>
      <c r="G802">
        <f>VLOOKUP(A802,'Remote work mental helath'!$A$2:$T$1001,15,FALSE)</f>
        <v>5</v>
      </c>
      <c r="H802" t="str">
        <f>VLOOKUP(A802,'Remote work mental helath'!$A$2:$T$1001,14,)</f>
        <v>Decrease</v>
      </c>
      <c r="I802" t="str">
        <f>VLOOKUP(A802,'Remote work mental helath'!$A$2:$T$1001,16,)</f>
        <v>Satisfied</v>
      </c>
      <c r="J802" t="str">
        <f>VLOOKUP(A802,'Remote work mental helath'!$A$2:$T$1001,13,)</f>
        <v>Yes</v>
      </c>
      <c r="K802">
        <f>VLOOKUP(A802,'Remote work mental helath'!$A$2:$T$1001,17,FALSE)</f>
        <v>4</v>
      </c>
    </row>
    <row r="803" spans="1:11" x14ac:dyDescent="0.3">
      <c r="A803" t="s">
        <v>852</v>
      </c>
      <c r="B803" t="str">
        <f>VLOOKUP(A803,'Remote work mental helath'!$A$2:$T$1001,12,)</f>
        <v>None</v>
      </c>
      <c r="C803" t="str">
        <f>VLOOKUP(A803,'Remote work mental helath'!$A$2:$T$1001,11,)</f>
        <v>High</v>
      </c>
      <c r="D803">
        <f>VLOOKUP('Mental Helath'!A803,'Remote work mental helath'!$A$2:$T$1001,10,)</f>
        <v>2</v>
      </c>
      <c r="E803" t="str">
        <f>VLOOKUP(A803,'Remote work mental helath'!A803:T1802,19,FALSE)</f>
        <v>Average</v>
      </c>
      <c r="F803" t="str">
        <f>VLOOKUP(A803,'Remote work mental helath'!$A$2:$T$1001,18,)</f>
        <v>None</v>
      </c>
      <c r="G803">
        <f>VLOOKUP(A803,'Remote work mental helath'!$A$2:$T$1001,15,FALSE)</f>
        <v>1</v>
      </c>
      <c r="H803" t="str">
        <f>VLOOKUP(A803,'Remote work mental helath'!$A$2:$T$1001,14,)</f>
        <v>No Change</v>
      </c>
      <c r="I803" t="str">
        <f>VLOOKUP(A803,'Remote work mental helath'!$A$2:$T$1001,16,)</f>
        <v>Unsatisfied</v>
      </c>
      <c r="J803" t="str">
        <f>VLOOKUP(A803,'Remote work mental helath'!$A$2:$T$1001,13,)</f>
        <v>Yes</v>
      </c>
      <c r="K803">
        <f>VLOOKUP(A803,'Remote work mental helath'!$A$2:$T$1001,17,FALSE)</f>
        <v>4</v>
      </c>
    </row>
    <row r="804" spans="1:11" x14ac:dyDescent="0.3">
      <c r="A804" t="s">
        <v>853</v>
      </c>
      <c r="B804" t="str">
        <f>VLOOKUP(A804,'Remote work mental helath'!$A$2:$T$1001,12,)</f>
        <v>None</v>
      </c>
      <c r="C804" t="str">
        <f>VLOOKUP(A804,'Remote work mental helath'!$A$2:$T$1001,11,)</f>
        <v>Medium</v>
      </c>
      <c r="D804">
        <f>VLOOKUP('Mental Helath'!A804,'Remote work mental helath'!$A$2:$T$1001,10,)</f>
        <v>5</v>
      </c>
      <c r="E804" t="str">
        <f>VLOOKUP(A804,'Remote work mental helath'!A804:T1803,19,FALSE)</f>
        <v>Good</v>
      </c>
      <c r="F804" t="str">
        <f>VLOOKUP(A804,'Remote work mental helath'!$A$2:$T$1001,18,)</f>
        <v>Weekly</v>
      </c>
      <c r="G804">
        <f>VLOOKUP(A804,'Remote work mental helath'!$A$2:$T$1001,15,FALSE)</f>
        <v>2</v>
      </c>
      <c r="H804" t="str">
        <f>VLOOKUP(A804,'Remote work mental helath'!$A$2:$T$1001,14,)</f>
        <v>Increase</v>
      </c>
      <c r="I804" t="str">
        <f>VLOOKUP(A804,'Remote work mental helath'!$A$2:$T$1001,16,)</f>
        <v>Satisfied</v>
      </c>
      <c r="J804" t="str">
        <f>VLOOKUP(A804,'Remote work mental helath'!$A$2:$T$1001,13,)</f>
        <v>Yes</v>
      </c>
      <c r="K804">
        <f>VLOOKUP(A804,'Remote work mental helath'!$A$2:$T$1001,17,FALSE)</f>
        <v>5</v>
      </c>
    </row>
    <row r="805" spans="1:11" x14ac:dyDescent="0.3">
      <c r="A805" t="s">
        <v>854</v>
      </c>
      <c r="B805" t="str">
        <f>VLOOKUP(A805,'Remote work mental helath'!$A$2:$T$1001,12,)</f>
        <v>Burnout</v>
      </c>
      <c r="C805" t="str">
        <f>VLOOKUP(A805,'Remote work mental helath'!$A$2:$T$1001,11,)</f>
        <v>Low</v>
      </c>
      <c r="D805">
        <f>VLOOKUP('Mental Helath'!A805,'Remote work mental helath'!$A$2:$T$1001,10,)</f>
        <v>1</v>
      </c>
      <c r="E805" t="str">
        <f>VLOOKUP(A805,'Remote work mental helath'!A805:T1804,19,FALSE)</f>
        <v>Good</v>
      </c>
      <c r="F805" t="str">
        <f>VLOOKUP(A805,'Remote work mental helath'!$A$2:$T$1001,18,)</f>
        <v>Weekly</v>
      </c>
      <c r="G805">
        <f>VLOOKUP(A805,'Remote work mental helath'!$A$2:$T$1001,15,FALSE)</f>
        <v>5</v>
      </c>
      <c r="H805" t="str">
        <f>VLOOKUP(A805,'Remote work mental helath'!$A$2:$T$1001,14,)</f>
        <v>No Change</v>
      </c>
      <c r="I805" t="str">
        <f>VLOOKUP(A805,'Remote work mental helath'!$A$2:$T$1001,16,)</f>
        <v>Unsatisfied</v>
      </c>
      <c r="J805" t="str">
        <f>VLOOKUP(A805,'Remote work mental helath'!$A$2:$T$1001,13,)</f>
        <v>Yes</v>
      </c>
      <c r="K805">
        <f>VLOOKUP(A805,'Remote work mental helath'!$A$2:$T$1001,17,FALSE)</f>
        <v>5</v>
      </c>
    </row>
    <row r="806" spans="1:11" x14ac:dyDescent="0.3">
      <c r="A806" t="s">
        <v>855</v>
      </c>
      <c r="B806" t="str">
        <f>VLOOKUP(A806,'Remote work mental helath'!$A$2:$T$1001,12,)</f>
        <v>Burnout</v>
      </c>
      <c r="C806" t="str">
        <f>VLOOKUP(A806,'Remote work mental helath'!$A$2:$T$1001,11,)</f>
        <v>High</v>
      </c>
      <c r="D806">
        <f>VLOOKUP('Mental Helath'!A806,'Remote work mental helath'!$A$2:$T$1001,10,)</f>
        <v>4</v>
      </c>
      <c r="E806" t="str">
        <f>VLOOKUP(A806,'Remote work mental helath'!A806:T1805,19,FALSE)</f>
        <v>Average</v>
      </c>
      <c r="F806" t="str">
        <f>VLOOKUP(A806,'Remote work mental helath'!$A$2:$T$1001,18,)</f>
        <v>Weekly</v>
      </c>
      <c r="G806">
        <f>VLOOKUP(A806,'Remote work mental helath'!$A$2:$T$1001,15,FALSE)</f>
        <v>5</v>
      </c>
      <c r="H806" t="str">
        <f>VLOOKUP(A806,'Remote work mental helath'!$A$2:$T$1001,14,)</f>
        <v>Increase</v>
      </c>
      <c r="I806" t="str">
        <f>VLOOKUP(A806,'Remote work mental helath'!$A$2:$T$1001,16,)</f>
        <v>Neutral</v>
      </c>
      <c r="J806" t="str">
        <f>VLOOKUP(A806,'Remote work mental helath'!$A$2:$T$1001,13,)</f>
        <v>No</v>
      </c>
      <c r="K806">
        <f>VLOOKUP(A806,'Remote work mental helath'!$A$2:$T$1001,17,FALSE)</f>
        <v>4</v>
      </c>
    </row>
    <row r="807" spans="1:11" x14ac:dyDescent="0.3">
      <c r="A807" t="s">
        <v>856</v>
      </c>
      <c r="B807" t="str">
        <f>VLOOKUP(A807,'Remote work mental helath'!$A$2:$T$1001,12,)</f>
        <v>Burnout</v>
      </c>
      <c r="C807" t="str">
        <f>VLOOKUP(A807,'Remote work mental helath'!$A$2:$T$1001,11,)</f>
        <v>High</v>
      </c>
      <c r="D807">
        <f>VLOOKUP('Mental Helath'!A807,'Remote work mental helath'!$A$2:$T$1001,10,)</f>
        <v>5</v>
      </c>
      <c r="E807" t="str">
        <f>VLOOKUP(A807,'Remote work mental helath'!A807:T1806,19,FALSE)</f>
        <v>Poor</v>
      </c>
      <c r="F807" t="str">
        <f>VLOOKUP(A807,'Remote work mental helath'!$A$2:$T$1001,18,)</f>
        <v>None</v>
      </c>
      <c r="G807">
        <f>VLOOKUP(A807,'Remote work mental helath'!$A$2:$T$1001,15,FALSE)</f>
        <v>4</v>
      </c>
      <c r="H807" t="str">
        <f>VLOOKUP(A807,'Remote work mental helath'!$A$2:$T$1001,14,)</f>
        <v>Increase</v>
      </c>
      <c r="I807" t="str">
        <f>VLOOKUP(A807,'Remote work mental helath'!$A$2:$T$1001,16,)</f>
        <v>Unsatisfied</v>
      </c>
      <c r="J807" t="str">
        <f>VLOOKUP(A807,'Remote work mental helath'!$A$2:$T$1001,13,)</f>
        <v>Yes</v>
      </c>
      <c r="K807">
        <f>VLOOKUP(A807,'Remote work mental helath'!$A$2:$T$1001,17,FALSE)</f>
        <v>5</v>
      </c>
    </row>
    <row r="808" spans="1:11" x14ac:dyDescent="0.3">
      <c r="A808" t="s">
        <v>857</v>
      </c>
      <c r="B808" t="str">
        <f>VLOOKUP(A808,'Remote work mental helath'!$A$2:$T$1001,12,)</f>
        <v>Depression</v>
      </c>
      <c r="C808" t="str">
        <f>VLOOKUP(A808,'Remote work mental helath'!$A$2:$T$1001,11,)</f>
        <v>Medium</v>
      </c>
      <c r="D808">
        <f>VLOOKUP('Mental Helath'!A808,'Remote work mental helath'!$A$2:$T$1001,10,)</f>
        <v>5</v>
      </c>
      <c r="E808" t="str">
        <f>VLOOKUP(A808,'Remote work mental helath'!A808:T1807,19,FALSE)</f>
        <v>Poor</v>
      </c>
      <c r="F808" t="str">
        <f>VLOOKUP(A808,'Remote work mental helath'!$A$2:$T$1001,18,)</f>
        <v>Weekly</v>
      </c>
      <c r="G808">
        <f>VLOOKUP(A808,'Remote work mental helath'!$A$2:$T$1001,15,FALSE)</f>
        <v>2</v>
      </c>
      <c r="H808" t="str">
        <f>VLOOKUP(A808,'Remote work mental helath'!$A$2:$T$1001,14,)</f>
        <v>Decrease</v>
      </c>
      <c r="I808" t="str">
        <f>VLOOKUP(A808,'Remote work mental helath'!$A$2:$T$1001,16,)</f>
        <v>Neutral</v>
      </c>
      <c r="J808" t="str">
        <f>VLOOKUP(A808,'Remote work mental helath'!$A$2:$T$1001,13,)</f>
        <v>No</v>
      </c>
      <c r="K808">
        <f>VLOOKUP(A808,'Remote work mental helath'!$A$2:$T$1001,17,FALSE)</f>
        <v>1</v>
      </c>
    </row>
    <row r="809" spans="1:11" x14ac:dyDescent="0.3">
      <c r="A809" t="s">
        <v>858</v>
      </c>
      <c r="B809" t="str">
        <f>VLOOKUP(A809,'Remote work mental helath'!$A$2:$T$1001,12,)</f>
        <v>Anxiety</v>
      </c>
      <c r="C809" t="str">
        <f>VLOOKUP(A809,'Remote work mental helath'!$A$2:$T$1001,11,)</f>
        <v>Low</v>
      </c>
      <c r="D809">
        <f>VLOOKUP('Mental Helath'!A809,'Remote work mental helath'!$A$2:$T$1001,10,)</f>
        <v>5</v>
      </c>
      <c r="E809" t="str">
        <f>VLOOKUP(A809,'Remote work mental helath'!A809:T1808,19,FALSE)</f>
        <v>Good</v>
      </c>
      <c r="F809" t="str">
        <f>VLOOKUP(A809,'Remote work mental helath'!$A$2:$T$1001,18,)</f>
        <v>None</v>
      </c>
      <c r="G809">
        <f>VLOOKUP(A809,'Remote work mental helath'!$A$2:$T$1001,15,FALSE)</f>
        <v>5</v>
      </c>
      <c r="H809" t="str">
        <f>VLOOKUP(A809,'Remote work mental helath'!$A$2:$T$1001,14,)</f>
        <v>Decrease</v>
      </c>
      <c r="I809" t="str">
        <f>VLOOKUP(A809,'Remote work mental helath'!$A$2:$T$1001,16,)</f>
        <v>Unsatisfied</v>
      </c>
      <c r="J809" t="str">
        <f>VLOOKUP(A809,'Remote work mental helath'!$A$2:$T$1001,13,)</f>
        <v>Yes</v>
      </c>
      <c r="K809">
        <f>VLOOKUP(A809,'Remote work mental helath'!$A$2:$T$1001,17,FALSE)</f>
        <v>5</v>
      </c>
    </row>
    <row r="810" spans="1:11" x14ac:dyDescent="0.3">
      <c r="A810" t="s">
        <v>859</v>
      </c>
      <c r="B810" t="str">
        <f>VLOOKUP(A810,'Remote work mental helath'!$A$2:$T$1001,12,)</f>
        <v>None</v>
      </c>
      <c r="C810" t="str">
        <f>VLOOKUP(A810,'Remote work mental helath'!$A$2:$T$1001,11,)</f>
        <v>Medium</v>
      </c>
      <c r="D810">
        <f>VLOOKUP('Mental Helath'!A810,'Remote work mental helath'!$A$2:$T$1001,10,)</f>
        <v>4</v>
      </c>
      <c r="E810" t="str">
        <f>VLOOKUP(A810,'Remote work mental helath'!A810:T1809,19,FALSE)</f>
        <v>Poor</v>
      </c>
      <c r="F810" t="str">
        <f>VLOOKUP(A810,'Remote work mental helath'!$A$2:$T$1001,18,)</f>
        <v>None</v>
      </c>
      <c r="G810">
        <f>VLOOKUP(A810,'Remote work mental helath'!$A$2:$T$1001,15,FALSE)</f>
        <v>4</v>
      </c>
      <c r="H810" t="str">
        <f>VLOOKUP(A810,'Remote work mental helath'!$A$2:$T$1001,14,)</f>
        <v>Increase</v>
      </c>
      <c r="I810" t="str">
        <f>VLOOKUP(A810,'Remote work mental helath'!$A$2:$T$1001,16,)</f>
        <v>Neutral</v>
      </c>
      <c r="J810" t="str">
        <f>VLOOKUP(A810,'Remote work mental helath'!$A$2:$T$1001,13,)</f>
        <v>No</v>
      </c>
      <c r="K810">
        <f>VLOOKUP(A810,'Remote work mental helath'!$A$2:$T$1001,17,FALSE)</f>
        <v>1</v>
      </c>
    </row>
    <row r="811" spans="1:11" x14ac:dyDescent="0.3">
      <c r="A811" t="s">
        <v>860</v>
      </c>
      <c r="B811" t="str">
        <f>VLOOKUP(A811,'Remote work mental helath'!$A$2:$T$1001,12,)</f>
        <v>Depression</v>
      </c>
      <c r="C811" t="str">
        <f>VLOOKUP(A811,'Remote work mental helath'!$A$2:$T$1001,11,)</f>
        <v>Low</v>
      </c>
      <c r="D811">
        <f>VLOOKUP('Mental Helath'!A811,'Remote work mental helath'!$A$2:$T$1001,10,)</f>
        <v>3</v>
      </c>
      <c r="E811" t="str">
        <f>VLOOKUP(A811,'Remote work mental helath'!A811:T1810,19,FALSE)</f>
        <v>Average</v>
      </c>
      <c r="F811" t="str">
        <f>VLOOKUP(A811,'Remote work mental helath'!$A$2:$T$1001,18,)</f>
        <v>Weekly</v>
      </c>
      <c r="G811">
        <f>VLOOKUP(A811,'Remote work mental helath'!$A$2:$T$1001,15,FALSE)</f>
        <v>4</v>
      </c>
      <c r="H811" t="str">
        <f>VLOOKUP(A811,'Remote work mental helath'!$A$2:$T$1001,14,)</f>
        <v>No Change</v>
      </c>
      <c r="I811" t="str">
        <f>VLOOKUP(A811,'Remote work mental helath'!$A$2:$T$1001,16,)</f>
        <v>Satisfied</v>
      </c>
      <c r="J811" t="str">
        <f>VLOOKUP(A811,'Remote work mental helath'!$A$2:$T$1001,13,)</f>
        <v>No</v>
      </c>
      <c r="K811">
        <f>VLOOKUP(A811,'Remote work mental helath'!$A$2:$T$1001,17,FALSE)</f>
        <v>3</v>
      </c>
    </row>
    <row r="812" spans="1:11" x14ac:dyDescent="0.3">
      <c r="A812" t="s">
        <v>861</v>
      </c>
      <c r="B812" t="str">
        <f>VLOOKUP(A812,'Remote work mental helath'!$A$2:$T$1001,12,)</f>
        <v>Anxiety</v>
      </c>
      <c r="C812" t="str">
        <f>VLOOKUP(A812,'Remote work mental helath'!$A$2:$T$1001,11,)</f>
        <v>Low</v>
      </c>
      <c r="D812">
        <f>VLOOKUP('Mental Helath'!A812,'Remote work mental helath'!$A$2:$T$1001,10,)</f>
        <v>5</v>
      </c>
      <c r="E812" t="str">
        <f>VLOOKUP(A812,'Remote work mental helath'!A812:T1811,19,FALSE)</f>
        <v>Poor</v>
      </c>
      <c r="F812" t="str">
        <f>VLOOKUP(A812,'Remote work mental helath'!$A$2:$T$1001,18,)</f>
        <v>Weekly</v>
      </c>
      <c r="G812">
        <f>VLOOKUP(A812,'Remote work mental helath'!$A$2:$T$1001,15,FALSE)</f>
        <v>4</v>
      </c>
      <c r="H812" t="str">
        <f>VLOOKUP(A812,'Remote work mental helath'!$A$2:$T$1001,14,)</f>
        <v>No Change</v>
      </c>
      <c r="I812" t="str">
        <f>VLOOKUP(A812,'Remote work mental helath'!$A$2:$T$1001,16,)</f>
        <v>Unsatisfied</v>
      </c>
      <c r="J812" t="str">
        <f>VLOOKUP(A812,'Remote work mental helath'!$A$2:$T$1001,13,)</f>
        <v>No</v>
      </c>
      <c r="K812">
        <f>VLOOKUP(A812,'Remote work mental helath'!$A$2:$T$1001,17,FALSE)</f>
        <v>3</v>
      </c>
    </row>
    <row r="813" spans="1:11" x14ac:dyDescent="0.3">
      <c r="A813" t="s">
        <v>862</v>
      </c>
      <c r="B813" t="str">
        <f>VLOOKUP(A813,'Remote work mental helath'!$A$2:$T$1001,12,)</f>
        <v>Depression</v>
      </c>
      <c r="C813" t="str">
        <f>VLOOKUP(A813,'Remote work mental helath'!$A$2:$T$1001,11,)</f>
        <v>High</v>
      </c>
      <c r="D813">
        <f>VLOOKUP('Mental Helath'!A813,'Remote work mental helath'!$A$2:$T$1001,10,)</f>
        <v>5</v>
      </c>
      <c r="E813" t="str">
        <f>VLOOKUP(A813,'Remote work mental helath'!A813:T1812,19,FALSE)</f>
        <v>Poor</v>
      </c>
      <c r="F813" t="str">
        <f>VLOOKUP(A813,'Remote work mental helath'!$A$2:$T$1001,18,)</f>
        <v>Weekly</v>
      </c>
      <c r="G813">
        <f>VLOOKUP(A813,'Remote work mental helath'!$A$2:$T$1001,15,FALSE)</f>
        <v>4</v>
      </c>
      <c r="H813" t="str">
        <f>VLOOKUP(A813,'Remote work mental helath'!$A$2:$T$1001,14,)</f>
        <v>No Change</v>
      </c>
      <c r="I813" t="str">
        <f>VLOOKUP(A813,'Remote work mental helath'!$A$2:$T$1001,16,)</f>
        <v>Neutral</v>
      </c>
      <c r="J813" t="str">
        <f>VLOOKUP(A813,'Remote work mental helath'!$A$2:$T$1001,13,)</f>
        <v>No</v>
      </c>
      <c r="K813">
        <f>VLOOKUP(A813,'Remote work mental helath'!$A$2:$T$1001,17,FALSE)</f>
        <v>5</v>
      </c>
    </row>
    <row r="814" spans="1:11" x14ac:dyDescent="0.3">
      <c r="A814" t="s">
        <v>863</v>
      </c>
      <c r="B814" t="str">
        <f>VLOOKUP(A814,'Remote work mental helath'!$A$2:$T$1001,12,)</f>
        <v>None</v>
      </c>
      <c r="C814" t="str">
        <f>VLOOKUP(A814,'Remote work mental helath'!$A$2:$T$1001,11,)</f>
        <v>Medium</v>
      </c>
      <c r="D814">
        <f>VLOOKUP('Mental Helath'!A814,'Remote work mental helath'!$A$2:$T$1001,10,)</f>
        <v>5</v>
      </c>
      <c r="E814" t="str">
        <f>VLOOKUP(A814,'Remote work mental helath'!A814:T1813,19,FALSE)</f>
        <v>Poor</v>
      </c>
      <c r="F814" t="str">
        <f>VLOOKUP(A814,'Remote work mental helath'!$A$2:$T$1001,18,)</f>
        <v>Daily</v>
      </c>
      <c r="G814">
        <f>VLOOKUP(A814,'Remote work mental helath'!$A$2:$T$1001,15,FALSE)</f>
        <v>2</v>
      </c>
      <c r="H814" t="str">
        <f>VLOOKUP(A814,'Remote work mental helath'!$A$2:$T$1001,14,)</f>
        <v>Decrease</v>
      </c>
      <c r="I814" t="str">
        <f>VLOOKUP(A814,'Remote work mental helath'!$A$2:$T$1001,16,)</f>
        <v>Unsatisfied</v>
      </c>
      <c r="J814" t="str">
        <f>VLOOKUP(A814,'Remote work mental helath'!$A$2:$T$1001,13,)</f>
        <v>Yes</v>
      </c>
      <c r="K814">
        <f>VLOOKUP(A814,'Remote work mental helath'!$A$2:$T$1001,17,FALSE)</f>
        <v>5</v>
      </c>
    </row>
    <row r="815" spans="1:11" x14ac:dyDescent="0.3">
      <c r="A815" t="s">
        <v>864</v>
      </c>
      <c r="B815" t="str">
        <f>VLOOKUP(A815,'Remote work mental helath'!$A$2:$T$1001,12,)</f>
        <v>Anxiety</v>
      </c>
      <c r="C815" t="str">
        <f>VLOOKUP(A815,'Remote work mental helath'!$A$2:$T$1001,11,)</f>
        <v>Low</v>
      </c>
      <c r="D815">
        <f>VLOOKUP('Mental Helath'!A815,'Remote work mental helath'!$A$2:$T$1001,10,)</f>
        <v>5</v>
      </c>
      <c r="E815" t="str">
        <f>VLOOKUP(A815,'Remote work mental helath'!A815:T1814,19,FALSE)</f>
        <v>Poor</v>
      </c>
      <c r="F815" t="str">
        <f>VLOOKUP(A815,'Remote work mental helath'!$A$2:$T$1001,18,)</f>
        <v>Daily</v>
      </c>
      <c r="G815">
        <f>VLOOKUP(A815,'Remote work mental helath'!$A$2:$T$1001,15,FALSE)</f>
        <v>2</v>
      </c>
      <c r="H815" t="str">
        <f>VLOOKUP(A815,'Remote work mental helath'!$A$2:$T$1001,14,)</f>
        <v>Increase</v>
      </c>
      <c r="I815" t="str">
        <f>VLOOKUP(A815,'Remote work mental helath'!$A$2:$T$1001,16,)</f>
        <v>Neutral</v>
      </c>
      <c r="J815" t="str">
        <f>VLOOKUP(A815,'Remote work mental helath'!$A$2:$T$1001,13,)</f>
        <v>No</v>
      </c>
      <c r="K815">
        <f>VLOOKUP(A815,'Remote work mental helath'!$A$2:$T$1001,17,FALSE)</f>
        <v>2</v>
      </c>
    </row>
    <row r="816" spans="1:11" x14ac:dyDescent="0.3">
      <c r="A816" t="s">
        <v>865</v>
      </c>
      <c r="B816" t="str">
        <f>VLOOKUP(A816,'Remote work mental helath'!$A$2:$T$1001,12,)</f>
        <v>Depression</v>
      </c>
      <c r="C816" t="str">
        <f>VLOOKUP(A816,'Remote work mental helath'!$A$2:$T$1001,11,)</f>
        <v>Medium</v>
      </c>
      <c r="D816">
        <f>VLOOKUP('Mental Helath'!A816,'Remote work mental helath'!$A$2:$T$1001,10,)</f>
        <v>1</v>
      </c>
      <c r="E816" t="str">
        <f>VLOOKUP(A816,'Remote work mental helath'!A816:T1815,19,FALSE)</f>
        <v>Average</v>
      </c>
      <c r="F816" t="str">
        <f>VLOOKUP(A816,'Remote work mental helath'!$A$2:$T$1001,18,)</f>
        <v>None</v>
      </c>
      <c r="G816">
        <f>VLOOKUP(A816,'Remote work mental helath'!$A$2:$T$1001,15,FALSE)</f>
        <v>2</v>
      </c>
      <c r="H816" t="str">
        <f>VLOOKUP(A816,'Remote work mental helath'!$A$2:$T$1001,14,)</f>
        <v>No Change</v>
      </c>
      <c r="I816" t="str">
        <f>VLOOKUP(A816,'Remote work mental helath'!$A$2:$T$1001,16,)</f>
        <v>Neutral</v>
      </c>
      <c r="J816" t="str">
        <f>VLOOKUP(A816,'Remote work mental helath'!$A$2:$T$1001,13,)</f>
        <v>No</v>
      </c>
      <c r="K816">
        <f>VLOOKUP(A816,'Remote work mental helath'!$A$2:$T$1001,17,FALSE)</f>
        <v>3</v>
      </c>
    </row>
    <row r="817" spans="1:11" x14ac:dyDescent="0.3">
      <c r="A817" t="s">
        <v>866</v>
      </c>
      <c r="B817" t="str">
        <f>VLOOKUP(A817,'Remote work mental helath'!$A$2:$T$1001,12,)</f>
        <v>Burnout</v>
      </c>
      <c r="C817" t="str">
        <f>VLOOKUP(A817,'Remote work mental helath'!$A$2:$T$1001,11,)</f>
        <v>Medium</v>
      </c>
      <c r="D817">
        <f>VLOOKUP('Mental Helath'!A817,'Remote work mental helath'!$A$2:$T$1001,10,)</f>
        <v>5</v>
      </c>
      <c r="E817" t="str">
        <f>VLOOKUP(A817,'Remote work mental helath'!A817:T1816,19,FALSE)</f>
        <v>Poor</v>
      </c>
      <c r="F817" t="str">
        <f>VLOOKUP(A817,'Remote work mental helath'!$A$2:$T$1001,18,)</f>
        <v>Daily</v>
      </c>
      <c r="G817">
        <f>VLOOKUP(A817,'Remote work mental helath'!$A$2:$T$1001,15,FALSE)</f>
        <v>3</v>
      </c>
      <c r="H817" t="str">
        <f>VLOOKUP(A817,'Remote work mental helath'!$A$2:$T$1001,14,)</f>
        <v>Decrease</v>
      </c>
      <c r="I817" t="str">
        <f>VLOOKUP(A817,'Remote work mental helath'!$A$2:$T$1001,16,)</f>
        <v>Unsatisfied</v>
      </c>
      <c r="J817" t="str">
        <f>VLOOKUP(A817,'Remote work mental helath'!$A$2:$T$1001,13,)</f>
        <v>No</v>
      </c>
      <c r="K817">
        <f>VLOOKUP(A817,'Remote work mental helath'!$A$2:$T$1001,17,FALSE)</f>
        <v>4</v>
      </c>
    </row>
    <row r="818" spans="1:11" x14ac:dyDescent="0.3">
      <c r="A818" t="s">
        <v>867</v>
      </c>
      <c r="B818" t="str">
        <f>VLOOKUP(A818,'Remote work mental helath'!$A$2:$T$1001,12,)</f>
        <v>Burnout</v>
      </c>
      <c r="C818" t="str">
        <f>VLOOKUP(A818,'Remote work mental helath'!$A$2:$T$1001,11,)</f>
        <v>Low</v>
      </c>
      <c r="D818">
        <f>VLOOKUP('Mental Helath'!A818,'Remote work mental helath'!$A$2:$T$1001,10,)</f>
        <v>4</v>
      </c>
      <c r="E818" t="str">
        <f>VLOOKUP(A818,'Remote work mental helath'!A818:T1817,19,FALSE)</f>
        <v>Good</v>
      </c>
      <c r="F818" t="str">
        <f>VLOOKUP(A818,'Remote work mental helath'!$A$2:$T$1001,18,)</f>
        <v>Daily</v>
      </c>
      <c r="G818">
        <f>VLOOKUP(A818,'Remote work mental helath'!$A$2:$T$1001,15,FALSE)</f>
        <v>1</v>
      </c>
      <c r="H818" t="str">
        <f>VLOOKUP(A818,'Remote work mental helath'!$A$2:$T$1001,14,)</f>
        <v>No Change</v>
      </c>
      <c r="I818" t="str">
        <f>VLOOKUP(A818,'Remote work mental helath'!$A$2:$T$1001,16,)</f>
        <v>Unsatisfied</v>
      </c>
      <c r="J818" t="str">
        <f>VLOOKUP(A818,'Remote work mental helath'!$A$2:$T$1001,13,)</f>
        <v>No</v>
      </c>
      <c r="K818">
        <f>VLOOKUP(A818,'Remote work mental helath'!$A$2:$T$1001,17,FALSE)</f>
        <v>3</v>
      </c>
    </row>
    <row r="819" spans="1:11" x14ac:dyDescent="0.3">
      <c r="A819" t="s">
        <v>868</v>
      </c>
      <c r="B819" t="str">
        <f>VLOOKUP(A819,'Remote work mental helath'!$A$2:$T$1001,12,)</f>
        <v>Depression</v>
      </c>
      <c r="C819" t="str">
        <f>VLOOKUP(A819,'Remote work mental helath'!$A$2:$T$1001,11,)</f>
        <v>Low</v>
      </c>
      <c r="D819">
        <f>VLOOKUP('Mental Helath'!A819,'Remote work mental helath'!$A$2:$T$1001,10,)</f>
        <v>2</v>
      </c>
      <c r="E819" t="str">
        <f>VLOOKUP(A819,'Remote work mental helath'!A819:T1818,19,FALSE)</f>
        <v>Good</v>
      </c>
      <c r="F819" t="str">
        <f>VLOOKUP(A819,'Remote work mental helath'!$A$2:$T$1001,18,)</f>
        <v>None</v>
      </c>
      <c r="G819">
        <f>VLOOKUP(A819,'Remote work mental helath'!$A$2:$T$1001,15,FALSE)</f>
        <v>2</v>
      </c>
      <c r="H819" t="str">
        <f>VLOOKUP(A819,'Remote work mental helath'!$A$2:$T$1001,14,)</f>
        <v>No Change</v>
      </c>
      <c r="I819" t="str">
        <f>VLOOKUP(A819,'Remote work mental helath'!$A$2:$T$1001,16,)</f>
        <v>Satisfied</v>
      </c>
      <c r="J819" t="str">
        <f>VLOOKUP(A819,'Remote work mental helath'!$A$2:$T$1001,13,)</f>
        <v>Yes</v>
      </c>
      <c r="K819">
        <f>VLOOKUP(A819,'Remote work mental helath'!$A$2:$T$1001,17,FALSE)</f>
        <v>1</v>
      </c>
    </row>
    <row r="820" spans="1:11" x14ac:dyDescent="0.3">
      <c r="A820" t="s">
        <v>869</v>
      </c>
      <c r="B820" t="str">
        <f>VLOOKUP(A820,'Remote work mental helath'!$A$2:$T$1001,12,)</f>
        <v>Anxiety</v>
      </c>
      <c r="C820" t="str">
        <f>VLOOKUP(A820,'Remote work mental helath'!$A$2:$T$1001,11,)</f>
        <v>Medium</v>
      </c>
      <c r="D820">
        <f>VLOOKUP('Mental Helath'!A820,'Remote work mental helath'!$A$2:$T$1001,10,)</f>
        <v>3</v>
      </c>
      <c r="E820" t="str">
        <f>VLOOKUP(A820,'Remote work mental helath'!A820:T1819,19,FALSE)</f>
        <v>Average</v>
      </c>
      <c r="F820" t="str">
        <f>VLOOKUP(A820,'Remote work mental helath'!$A$2:$T$1001,18,)</f>
        <v>Daily</v>
      </c>
      <c r="G820">
        <f>VLOOKUP(A820,'Remote work mental helath'!$A$2:$T$1001,15,FALSE)</f>
        <v>3</v>
      </c>
      <c r="H820" t="str">
        <f>VLOOKUP(A820,'Remote work mental helath'!$A$2:$T$1001,14,)</f>
        <v>Decrease</v>
      </c>
      <c r="I820" t="str">
        <f>VLOOKUP(A820,'Remote work mental helath'!$A$2:$T$1001,16,)</f>
        <v>Neutral</v>
      </c>
      <c r="J820" t="str">
        <f>VLOOKUP(A820,'Remote work mental helath'!$A$2:$T$1001,13,)</f>
        <v>Yes</v>
      </c>
      <c r="K820">
        <f>VLOOKUP(A820,'Remote work mental helath'!$A$2:$T$1001,17,FALSE)</f>
        <v>2</v>
      </c>
    </row>
    <row r="821" spans="1:11" x14ac:dyDescent="0.3">
      <c r="A821" t="s">
        <v>870</v>
      </c>
      <c r="B821" t="str">
        <f>VLOOKUP(A821,'Remote work mental helath'!$A$2:$T$1001,12,)</f>
        <v>Burnout</v>
      </c>
      <c r="C821" t="str">
        <f>VLOOKUP(A821,'Remote work mental helath'!$A$2:$T$1001,11,)</f>
        <v>Medium</v>
      </c>
      <c r="D821">
        <f>VLOOKUP('Mental Helath'!A821,'Remote work mental helath'!$A$2:$T$1001,10,)</f>
        <v>4</v>
      </c>
      <c r="E821" t="str">
        <f>VLOOKUP(A821,'Remote work mental helath'!A821:T1820,19,FALSE)</f>
        <v>Average</v>
      </c>
      <c r="F821" t="str">
        <f>VLOOKUP(A821,'Remote work mental helath'!$A$2:$T$1001,18,)</f>
        <v>None</v>
      </c>
      <c r="G821">
        <f>VLOOKUP(A821,'Remote work mental helath'!$A$2:$T$1001,15,FALSE)</f>
        <v>4</v>
      </c>
      <c r="H821" t="str">
        <f>VLOOKUP(A821,'Remote work mental helath'!$A$2:$T$1001,14,)</f>
        <v>No Change</v>
      </c>
      <c r="I821" t="str">
        <f>VLOOKUP(A821,'Remote work mental helath'!$A$2:$T$1001,16,)</f>
        <v>Neutral</v>
      </c>
      <c r="J821" t="str">
        <f>VLOOKUP(A821,'Remote work mental helath'!$A$2:$T$1001,13,)</f>
        <v>Yes</v>
      </c>
      <c r="K821">
        <f>VLOOKUP(A821,'Remote work mental helath'!$A$2:$T$1001,17,FALSE)</f>
        <v>3</v>
      </c>
    </row>
    <row r="822" spans="1:11" x14ac:dyDescent="0.3">
      <c r="A822" t="s">
        <v>871</v>
      </c>
      <c r="B822" t="str">
        <f>VLOOKUP(A822,'Remote work mental helath'!$A$2:$T$1001,12,)</f>
        <v>Burnout</v>
      </c>
      <c r="C822" t="str">
        <f>VLOOKUP(A822,'Remote work mental helath'!$A$2:$T$1001,11,)</f>
        <v>High</v>
      </c>
      <c r="D822">
        <f>VLOOKUP('Mental Helath'!A822,'Remote work mental helath'!$A$2:$T$1001,10,)</f>
        <v>2</v>
      </c>
      <c r="E822" t="str">
        <f>VLOOKUP(A822,'Remote work mental helath'!A822:T1821,19,FALSE)</f>
        <v>Average</v>
      </c>
      <c r="F822" t="str">
        <f>VLOOKUP(A822,'Remote work mental helath'!$A$2:$T$1001,18,)</f>
        <v>None</v>
      </c>
      <c r="G822">
        <f>VLOOKUP(A822,'Remote work mental helath'!$A$2:$T$1001,15,FALSE)</f>
        <v>1</v>
      </c>
      <c r="H822" t="str">
        <f>VLOOKUP(A822,'Remote work mental helath'!$A$2:$T$1001,14,)</f>
        <v>Decrease</v>
      </c>
      <c r="I822" t="str">
        <f>VLOOKUP(A822,'Remote work mental helath'!$A$2:$T$1001,16,)</f>
        <v>Satisfied</v>
      </c>
      <c r="J822" t="str">
        <f>VLOOKUP(A822,'Remote work mental helath'!$A$2:$T$1001,13,)</f>
        <v>No</v>
      </c>
      <c r="K822">
        <f>VLOOKUP(A822,'Remote work mental helath'!$A$2:$T$1001,17,FALSE)</f>
        <v>3</v>
      </c>
    </row>
    <row r="823" spans="1:11" x14ac:dyDescent="0.3">
      <c r="A823" t="s">
        <v>872</v>
      </c>
      <c r="B823" t="str">
        <f>VLOOKUP(A823,'Remote work mental helath'!$A$2:$T$1001,12,)</f>
        <v>Depression</v>
      </c>
      <c r="C823" t="str">
        <f>VLOOKUP(A823,'Remote work mental helath'!$A$2:$T$1001,11,)</f>
        <v>Low</v>
      </c>
      <c r="D823">
        <f>VLOOKUP('Mental Helath'!A823,'Remote work mental helath'!$A$2:$T$1001,10,)</f>
        <v>3</v>
      </c>
      <c r="E823" t="str">
        <f>VLOOKUP(A823,'Remote work mental helath'!A823:T1822,19,FALSE)</f>
        <v>Average</v>
      </c>
      <c r="F823" t="str">
        <f>VLOOKUP(A823,'Remote work mental helath'!$A$2:$T$1001,18,)</f>
        <v>Weekly</v>
      </c>
      <c r="G823">
        <f>VLOOKUP(A823,'Remote work mental helath'!$A$2:$T$1001,15,FALSE)</f>
        <v>1</v>
      </c>
      <c r="H823" t="str">
        <f>VLOOKUP(A823,'Remote work mental helath'!$A$2:$T$1001,14,)</f>
        <v>Increase</v>
      </c>
      <c r="I823" t="str">
        <f>VLOOKUP(A823,'Remote work mental helath'!$A$2:$T$1001,16,)</f>
        <v>Unsatisfied</v>
      </c>
      <c r="J823" t="str">
        <f>VLOOKUP(A823,'Remote work mental helath'!$A$2:$T$1001,13,)</f>
        <v>Yes</v>
      </c>
      <c r="K823">
        <f>VLOOKUP(A823,'Remote work mental helath'!$A$2:$T$1001,17,FALSE)</f>
        <v>3</v>
      </c>
    </row>
    <row r="824" spans="1:11" x14ac:dyDescent="0.3">
      <c r="A824" t="s">
        <v>873</v>
      </c>
      <c r="B824" t="str">
        <f>VLOOKUP(A824,'Remote work mental helath'!$A$2:$T$1001,12,)</f>
        <v>Anxiety</v>
      </c>
      <c r="C824" t="str">
        <f>VLOOKUP(A824,'Remote work mental helath'!$A$2:$T$1001,11,)</f>
        <v>High</v>
      </c>
      <c r="D824">
        <f>VLOOKUP('Mental Helath'!A824,'Remote work mental helath'!$A$2:$T$1001,10,)</f>
        <v>3</v>
      </c>
      <c r="E824" t="str">
        <f>VLOOKUP(A824,'Remote work mental helath'!A824:T1823,19,FALSE)</f>
        <v>Average</v>
      </c>
      <c r="F824" t="str">
        <f>VLOOKUP(A824,'Remote work mental helath'!$A$2:$T$1001,18,)</f>
        <v>None</v>
      </c>
      <c r="G824">
        <f>VLOOKUP(A824,'Remote work mental helath'!$A$2:$T$1001,15,FALSE)</f>
        <v>2</v>
      </c>
      <c r="H824" t="str">
        <f>VLOOKUP(A824,'Remote work mental helath'!$A$2:$T$1001,14,)</f>
        <v>No Change</v>
      </c>
      <c r="I824" t="str">
        <f>VLOOKUP(A824,'Remote work mental helath'!$A$2:$T$1001,16,)</f>
        <v>Neutral</v>
      </c>
      <c r="J824" t="str">
        <f>VLOOKUP(A824,'Remote work mental helath'!$A$2:$T$1001,13,)</f>
        <v>No</v>
      </c>
      <c r="K824">
        <f>VLOOKUP(A824,'Remote work mental helath'!$A$2:$T$1001,17,FALSE)</f>
        <v>3</v>
      </c>
    </row>
    <row r="825" spans="1:11" x14ac:dyDescent="0.3">
      <c r="A825" t="s">
        <v>874</v>
      </c>
      <c r="B825" t="str">
        <f>VLOOKUP(A825,'Remote work mental helath'!$A$2:$T$1001,12,)</f>
        <v>None</v>
      </c>
      <c r="C825" t="str">
        <f>VLOOKUP(A825,'Remote work mental helath'!$A$2:$T$1001,11,)</f>
        <v>Low</v>
      </c>
      <c r="D825">
        <f>VLOOKUP('Mental Helath'!A825,'Remote work mental helath'!$A$2:$T$1001,10,)</f>
        <v>5</v>
      </c>
      <c r="E825" t="str">
        <f>VLOOKUP(A825,'Remote work mental helath'!A825:T1824,19,FALSE)</f>
        <v>Average</v>
      </c>
      <c r="F825" t="str">
        <f>VLOOKUP(A825,'Remote work mental helath'!$A$2:$T$1001,18,)</f>
        <v>Weekly</v>
      </c>
      <c r="G825">
        <f>VLOOKUP(A825,'Remote work mental helath'!$A$2:$T$1001,15,FALSE)</f>
        <v>2</v>
      </c>
      <c r="H825" t="str">
        <f>VLOOKUP(A825,'Remote work mental helath'!$A$2:$T$1001,14,)</f>
        <v>Decrease</v>
      </c>
      <c r="I825" t="str">
        <f>VLOOKUP(A825,'Remote work mental helath'!$A$2:$T$1001,16,)</f>
        <v>Neutral</v>
      </c>
      <c r="J825" t="str">
        <f>VLOOKUP(A825,'Remote work mental helath'!$A$2:$T$1001,13,)</f>
        <v>Yes</v>
      </c>
      <c r="K825">
        <f>VLOOKUP(A825,'Remote work mental helath'!$A$2:$T$1001,17,FALSE)</f>
        <v>2</v>
      </c>
    </row>
    <row r="826" spans="1:11" x14ac:dyDescent="0.3">
      <c r="A826" t="s">
        <v>875</v>
      </c>
      <c r="B826" t="str">
        <f>VLOOKUP(A826,'Remote work mental helath'!$A$2:$T$1001,12,)</f>
        <v>Burnout</v>
      </c>
      <c r="C826" t="str">
        <f>VLOOKUP(A826,'Remote work mental helath'!$A$2:$T$1001,11,)</f>
        <v>Low</v>
      </c>
      <c r="D826">
        <f>VLOOKUP('Mental Helath'!A826,'Remote work mental helath'!$A$2:$T$1001,10,)</f>
        <v>4</v>
      </c>
      <c r="E826" t="str">
        <f>VLOOKUP(A826,'Remote work mental helath'!A826:T1825,19,FALSE)</f>
        <v>Good</v>
      </c>
      <c r="F826" t="str">
        <f>VLOOKUP(A826,'Remote work mental helath'!$A$2:$T$1001,18,)</f>
        <v>Weekly</v>
      </c>
      <c r="G826">
        <f>VLOOKUP(A826,'Remote work mental helath'!$A$2:$T$1001,15,FALSE)</f>
        <v>5</v>
      </c>
      <c r="H826" t="str">
        <f>VLOOKUP(A826,'Remote work mental helath'!$A$2:$T$1001,14,)</f>
        <v>Decrease</v>
      </c>
      <c r="I826" t="str">
        <f>VLOOKUP(A826,'Remote work mental helath'!$A$2:$T$1001,16,)</f>
        <v>Neutral</v>
      </c>
      <c r="J826" t="str">
        <f>VLOOKUP(A826,'Remote work mental helath'!$A$2:$T$1001,13,)</f>
        <v>Yes</v>
      </c>
      <c r="K826">
        <f>VLOOKUP(A826,'Remote work mental helath'!$A$2:$T$1001,17,FALSE)</f>
        <v>5</v>
      </c>
    </row>
    <row r="827" spans="1:11" x14ac:dyDescent="0.3">
      <c r="A827" t="s">
        <v>876</v>
      </c>
      <c r="B827" t="str">
        <f>VLOOKUP(A827,'Remote work mental helath'!$A$2:$T$1001,12,)</f>
        <v>Burnout</v>
      </c>
      <c r="C827" t="str">
        <f>VLOOKUP(A827,'Remote work mental helath'!$A$2:$T$1001,11,)</f>
        <v>Low</v>
      </c>
      <c r="D827">
        <f>VLOOKUP('Mental Helath'!A827,'Remote work mental helath'!$A$2:$T$1001,10,)</f>
        <v>5</v>
      </c>
      <c r="E827" t="str">
        <f>VLOOKUP(A827,'Remote work mental helath'!A827:T1826,19,FALSE)</f>
        <v>Average</v>
      </c>
      <c r="F827" t="str">
        <f>VLOOKUP(A827,'Remote work mental helath'!$A$2:$T$1001,18,)</f>
        <v>Weekly</v>
      </c>
      <c r="G827">
        <f>VLOOKUP(A827,'Remote work mental helath'!$A$2:$T$1001,15,FALSE)</f>
        <v>4</v>
      </c>
      <c r="H827" t="str">
        <f>VLOOKUP(A827,'Remote work mental helath'!$A$2:$T$1001,14,)</f>
        <v>No Change</v>
      </c>
      <c r="I827" t="str">
        <f>VLOOKUP(A827,'Remote work mental helath'!$A$2:$T$1001,16,)</f>
        <v>Satisfied</v>
      </c>
      <c r="J827" t="str">
        <f>VLOOKUP(A827,'Remote work mental helath'!$A$2:$T$1001,13,)</f>
        <v>No</v>
      </c>
      <c r="K827">
        <f>VLOOKUP(A827,'Remote work mental helath'!$A$2:$T$1001,17,FALSE)</f>
        <v>3</v>
      </c>
    </row>
    <row r="828" spans="1:11" x14ac:dyDescent="0.3">
      <c r="A828" t="s">
        <v>877</v>
      </c>
      <c r="B828" t="str">
        <f>VLOOKUP(A828,'Remote work mental helath'!$A$2:$T$1001,12,)</f>
        <v>Burnout</v>
      </c>
      <c r="C828" t="str">
        <f>VLOOKUP(A828,'Remote work mental helath'!$A$2:$T$1001,11,)</f>
        <v>High</v>
      </c>
      <c r="D828">
        <f>VLOOKUP('Mental Helath'!A828,'Remote work mental helath'!$A$2:$T$1001,10,)</f>
        <v>4</v>
      </c>
      <c r="E828" t="str">
        <f>VLOOKUP(A828,'Remote work mental helath'!A828:T1827,19,FALSE)</f>
        <v>Good</v>
      </c>
      <c r="F828" t="str">
        <f>VLOOKUP(A828,'Remote work mental helath'!$A$2:$T$1001,18,)</f>
        <v>Weekly</v>
      </c>
      <c r="G828">
        <f>VLOOKUP(A828,'Remote work mental helath'!$A$2:$T$1001,15,FALSE)</f>
        <v>2</v>
      </c>
      <c r="H828" t="str">
        <f>VLOOKUP(A828,'Remote work mental helath'!$A$2:$T$1001,14,)</f>
        <v>No Change</v>
      </c>
      <c r="I828" t="str">
        <f>VLOOKUP(A828,'Remote work mental helath'!$A$2:$T$1001,16,)</f>
        <v>Satisfied</v>
      </c>
      <c r="J828" t="str">
        <f>VLOOKUP(A828,'Remote work mental helath'!$A$2:$T$1001,13,)</f>
        <v>No</v>
      </c>
      <c r="K828">
        <f>VLOOKUP(A828,'Remote work mental helath'!$A$2:$T$1001,17,FALSE)</f>
        <v>5</v>
      </c>
    </row>
    <row r="829" spans="1:11" x14ac:dyDescent="0.3">
      <c r="A829" t="s">
        <v>878</v>
      </c>
      <c r="B829" t="str">
        <f>VLOOKUP(A829,'Remote work mental helath'!$A$2:$T$1001,12,)</f>
        <v>Anxiety</v>
      </c>
      <c r="C829" t="str">
        <f>VLOOKUP(A829,'Remote work mental helath'!$A$2:$T$1001,11,)</f>
        <v>Medium</v>
      </c>
      <c r="D829">
        <f>VLOOKUP('Mental Helath'!A829,'Remote work mental helath'!$A$2:$T$1001,10,)</f>
        <v>4</v>
      </c>
      <c r="E829" t="str">
        <f>VLOOKUP(A829,'Remote work mental helath'!A829:T1828,19,FALSE)</f>
        <v>Average</v>
      </c>
      <c r="F829" t="str">
        <f>VLOOKUP(A829,'Remote work mental helath'!$A$2:$T$1001,18,)</f>
        <v>None</v>
      </c>
      <c r="G829">
        <f>VLOOKUP(A829,'Remote work mental helath'!$A$2:$T$1001,15,FALSE)</f>
        <v>2</v>
      </c>
      <c r="H829" t="str">
        <f>VLOOKUP(A829,'Remote work mental helath'!$A$2:$T$1001,14,)</f>
        <v>No Change</v>
      </c>
      <c r="I829" t="str">
        <f>VLOOKUP(A829,'Remote work mental helath'!$A$2:$T$1001,16,)</f>
        <v>Satisfied</v>
      </c>
      <c r="J829" t="str">
        <f>VLOOKUP(A829,'Remote work mental helath'!$A$2:$T$1001,13,)</f>
        <v>Yes</v>
      </c>
      <c r="K829">
        <f>VLOOKUP(A829,'Remote work mental helath'!$A$2:$T$1001,17,FALSE)</f>
        <v>2</v>
      </c>
    </row>
    <row r="830" spans="1:11" x14ac:dyDescent="0.3">
      <c r="A830" t="s">
        <v>879</v>
      </c>
      <c r="B830" t="str">
        <f>VLOOKUP(A830,'Remote work mental helath'!$A$2:$T$1001,12,)</f>
        <v>Depression</v>
      </c>
      <c r="C830" t="str">
        <f>VLOOKUP(A830,'Remote work mental helath'!$A$2:$T$1001,11,)</f>
        <v>Medium</v>
      </c>
      <c r="D830">
        <f>VLOOKUP('Mental Helath'!A830,'Remote work mental helath'!$A$2:$T$1001,10,)</f>
        <v>3</v>
      </c>
      <c r="E830" t="str">
        <f>VLOOKUP(A830,'Remote work mental helath'!A830:T1829,19,FALSE)</f>
        <v>Average</v>
      </c>
      <c r="F830" t="str">
        <f>VLOOKUP(A830,'Remote work mental helath'!$A$2:$T$1001,18,)</f>
        <v>Daily</v>
      </c>
      <c r="G830">
        <f>VLOOKUP(A830,'Remote work mental helath'!$A$2:$T$1001,15,FALSE)</f>
        <v>4</v>
      </c>
      <c r="H830" t="str">
        <f>VLOOKUP(A830,'Remote work mental helath'!$A$2:$T$1001,14,)</f>
        <v>No Change</v>
      </c>
      <c r="I830" t="str">
        <f>VLOOKUP(A830,'Remote work mental helath'!$A$2:$T$1001,16,)</f>
        <v>Neutral</v>
      </c>
      <c r="J830" t="str">
        <f>VLOOKUP(A830,'Remote work mental helath'!$A$2:$T$1001,13,)</f>
        <v>Yes</v>
      </c>
      <c r="K830">
        <f>VLOOKUP(A830,'Remote work mental helath'!$A$2:$T$1001,17,FALSE)</f>
        <v>3</v>
      </c>
    </row>
    <row r="831" spans="1:11" x14ac:dyDescent="0.3">
      <c r="A831" t="s">
        <v>880</v>
      </c>
      <c r="B831" t="str">
        <f>VLOOKUP(A831,'Remote work mental helath'!$A$2:$T$1001,12,)</f>
        <v>Burnout</v>
      </c>
      <c r="C831" t="str">
        <f>VLOOKUP(A831,'Remote work mental helath'!$A$2:$T$1001,11,)</f>
        <v>Medium</v>
      </c>
      <c r="D831">
        <f>VLOOKUP('Mental Helath'!A831,'Remote work mental helath'!$A$2:$T$1001,10,)</f>
        <v>4</v>
      </c>
      <c r="E831" t="str">
        <f>VLOOKUP(A831,'Remote work mental helath'!A831:T1830,19,FALSE)</f>
        <v>Average</v>
      </c>
      <c r="F831" t="str">
        <f>VLOOKUP(A831,'Remote work mental helath'!$A$2:$T$1001,18,)</f>
        <v>Weekly</v>
      </c>
      <c r="G831">
        <f>VLOOKUP(A831,'Remote work mental helath'!$A$2:$T$1001,15,FALSE)</f>
        <v>3</v>
      </c>
      <c r="H831" t="str">
        <f>VLOOKUP(A831,'Remote work mental helath'!$A$2:$T$1001,14,)</f>
        <v>Decrease</v>
      </c>
      <c r="I831" t="str">
        <f>VLOOKUP(A831,'Remote work mental helath'!$A$2:$T$1001,16,)</f>
        <v>Unsatisfied</v>
      </c>
      <c r="J831" t="str">
        <f>VLOOKUP(A831,'Remote work mental helath'!$A$2:$T$1001,13,)</f>
        <v>Yes</v>
      </c>
      <c r="K831">
        <f>VLOOKUP(A831,'Remote work mental helath'!$A$2:$T$1001,17,FALSE)</f>
        <v>2</v>
      </c>
    </row>
    <row r="832" spans="1:11" x14ac:dyDescent="0.3">
      <c r="A832" t="s">
        <v>881</v>
      </c>
      <c r="B832" t="str">
        <f>VLOOKUP(A832,'Remote work mental helath'!$A$2:$T$1001,12,)</f>
        <v>None</v>
      </c>
      <c r="C832" t="str">
        <f>VLOOKUP(A832,'Remote work mental helath'!$A$2:$T$1001,11,)</f>
        <v>High</v>
      </c>
      <c r="D832">
        <f>VLOOKUP('Mental Helath'!A832,'Remote work mental helath'!$A$2:$T$1001,10,)</f>
        <v>1</v>
      </c>
      <c r="E832" t="str">
        <f>VLOOKUP(A832,'Remote work mental helath'!A832:T1831,19,FALSE)</f>
        <v>Poor</v>
      </c>
      <c r="F832" t="str">
        <f>VLOOKUP(A832,'Remote work mental helath'!$A$2:$T$1001,18,)</f>
        <v>Daily</v>
      </c>
      <c r="G832">
        <f>VLOOKUP(A832,'Remote work mental helath'!$A$2:$T$1001,15,FALSE)</f>
        <v>3</v>
      </c>
      <c r="H832" t="str">
        <f>VLOOKUP(A832,'Remote work mental helath'!$A$2:$T$1001,14,)</f>
        <v>Increase</v>
      </c>
      <c r="I832" t="str">
        <f>VLOOKUP(A832,'Remote work mental helath'!$A$2:$T$1001,16,)</f>
        <v>Unsatisfied</v>
      </c>
      <c r="J832" t="str">
        <f>VLOOKUP(A832,'Remote work mental helath'!$A$2:$T$1001,13,)</f>
        <v>Yes</v>
      </c>
      <c r="K832">
        <f>VLOOKUP(A832,'Remote work mental helath'!$A$2:$T$1001,17,FALSE)</f>
        <v>1</v>
      </c>
    </row>
    <row r="833" spans="1:11" x14ac:dyDescent="0.3">
      <c r="A833" t="s">
        <v>882</v>
      </c>
      <c r="B833" t="str">
        <f>VLOOKUP(A833,'Remote work mental helath'!$A$2:$T$1001,12,)</f>
        <v>None</v>
      </c>
      <c r="C833" t="str">
        <f>VLOOKUP(A833,'Remote work mental helath'!$A$2:$T$1001,11,)</f>
        <v>High</v>
      </c>
      <c r="D833">
        <f>VLOOKUP('Mental Helath'!A833,'Remote work mental helath'!$A$2:$T$1001,10,)</f>
        <v>4</v>
      </c>
      <c r="E833" t="str">
        <f>VLOOKUP(A833,'Remote work mental helath'!A833:T1832,19,FALSE)</f>
        <v>Average</v>
      </c>
      <c r="F833" t="str">
        <f>VLOOKUP(A833,'Remote work mental helath'!$A$2:$T$1001,18,)</f>
        <v>Daily</v>
      </c>
      <c r="G833">
        <f>VLOOKUP(A833,'Remote work mental helath'!$A$2:$T$1001,15,FALSE)</f>
        <v>1</v>
      </c>
      <c r="H833" t="str">
        <f>VLOOKUP(A833,'Remote work mental helath'!$A$2:$T$1001,14,)</f>
        <v>No Change</v>
      </c>
      <c r="I833" t="str">
        <f>VLOOKUP(A833,'Remote work mental helath'!$A$2:$T$1001,16,)</f>
        <v>Neutral</v>
      </c>
      <c r="J833" t="str">
        <f>VLOOKUP(A833,'Remote work mental helath'!$A$2:$T$1001,13,)</f>
        <v>Yes</v>
      </c>
      <c r="K833">
        <f>VLOOKUP(A833,'Remote work mental helath'!$A$2:$T$1001,17,FALSE)</f>
        <v>4</v>
      </c>
    </row>
    <row r="834" spans="1:11" x14ac:dyDescent="0.3">
      <c r="A834" t="s">
        <v>883</v>
      </c>
      <c r="B834" t="str">
        <f>VLOOKUP(A834,'Remote work mental helath'!$A$2:$T$1001,12,)</f>
        <v>Depression</v>
      </c>
      <c r="C834" t="str">
        <f>VLOOKUP(A834,'Remote work mental helath'!$A$2:$T$1001,11,)</f>
        <v>High</v>
      </c>
      <c r="D834">
        <f>VLOOKUP('Mental Helath'!A834,'Remote work mental helath'!$A$2:$T$1001,10,)</f>
        <v>2</v>
      </c>
      <c r="E834" t="str">
        <f>VLOOKUP(A834,'Remote work mental helath'!A834:T1833,19,FALSE)</f>
        <v>Average</v>
      </c>
      <c r="F834" t="str">
        <f>VLOOKUP(A834,'Remote work mental helath'!$A$2:$T$1001,18,)</f>
        <v>Weekly</v>
      </c>
      <c r="G834">
        <f>VLOOKUP(A834,'Remote work mental helath'!$A$2:$T$1001,15,FALSE)</f>
        <v>1</v>
      </c>
      <c r="H834" t="str">
        <f>VLOOKUP(A834,'Remote work mental helath'!$A$2:$T$1001,14,)</f>
        <v>Decrease</v>
      </c>
      <c r="I834" t="str">
        <f>VLOOKUP(A834,'Remote work mental helath'!$A$2:$T$1001,16,)</f>
        <v>Satisfied</v>
      </c>
      <c r="J834" t="str">
        <f>VLOOKUP(A834,'Remote work mental helath'!$A$2:$T$1001,13,)</f>
        <v>Yes</v>
      </c>
      <c r="K834">
        <f>VLOOKUP(A834,'Remote work mental helath'!$A$2:$T$1001,17,FALSE)</f>
        <v>3</v>
      </c>
    </row>
    <row r="835" spans="1:11" x14ac:dyDescent="0.3">
      <c r="A835" t="s">
        <v>884</v>
      </c>
      <c r="B835" t="str">
        <f>VLOOKUP(A835,'Remote work mental helath'!$A$2:$T$1001,12,)</f>
        <v>Anxiety</v>
      </c>
      <c r="C835" t="str">
        <f>VLOOKUP(A835,'Remote work mental helath'!$A$2:$T$1001,11,)</f>
        <v>High</v>
      </c>
      <c r="D835">
        <f>VLOOKUP('Mental Helath'!A835,'Remote work mental helath'!$A$2:$T$1001,10,)</f>
        <v>3</v>
      </c>
      <c r="E835" t="str">
        <f>VLOOKUP(A835,'Remote work mental helath'!A835:T1834,19,FALSE)</f>
        <v>Average</v>
      </c>
      <c r="F835" t="str">
        <f>VLOOKUP(A835,'Remote work mental helath'!$A$2:$T$1001,18,)</f>
        <v>Daily</v>
      </c>
      <c r="G835">
        <f>VLOOKUP(A835,'Remote work mental helath'!$A$2:$T$1001,15,FALSE)</f>
        <v>3</v>
      </c>
      <c r="H835" t="str">
        <f>VLOOKUP(A835,'Remote work mental helath'!$A$2:$T$1001,14,)</f>
        <v>Increase</v>
      </c>
      <c r="I835" t="str">
        <f>VLOOKUP(A835,'Remote work mental helath'!$A$2:$T$1001,16,)</f>
        <v>Unsatisfied</v>
      </c>
      <c r="J835" t="str">
        <f>VLOOKUP(A835,'Remote work mental helath'!$A$2:$T$1001,13,)</f>
        <v>Yes</v>
      </c>
      <c r="K835">
        <f>VLOOKUP(A835,'Remote work mental helath'!$A$2:$T$1001,17,FALSE)</f>
        <v>1</v>
      </c>
    </row>
    <row r="836" spans="1:11" x14ac:dyDescent="0.3">
      <c r="A836" t="s">
        <v>885</v>
      </c>
      <c r="B836" t="str">
        <f>VLOOKUP(A836,'Remote work mental helath'!$A$2:$T$1001,12,)</f>
        <v>Burnout</v>
      </c>
      <c r="C836" t="str">
        <f>VLOOKUP(A836,'Remote work mental helath'!$A$2:$T$1001,11,)</f>
        <v>Medium</v>
      </c>
      <c r="D836">
        <f>VLOOKUP('Mental Helath'!A836,'Remote work mental helath'!$A$2:$T$1001,10,)</f>
        <v>5</v>
      </c>
      <c r="E836" t="str">
        <f>VLOOKUP(A836,'Remote work mental helath'!A836:T1835,19,FALSE)</f>
        <v>Average</v>
      </c>
      <c r="F836" t="str">
        <f>VLOOKUP(A836,'Remote work mental helath'!$A$2:$T$1001,18,)</f>
        <v>None</v>
      </c>
      <c r="G836">
        <f>VLOOKUP(A836,'Remote work mental helath'!$A$2:$T$1001,15,FALSE)</f>
        <v>2</v>
      </c>
      <c r="H836" t="str">
        <f>VLOOKUP(A836,'Remote work mental helath'!$A$2:$T$1001,14,)</f>
        <v>Decrease</v>
      </c>
      <c r="I836" t="str">
        <f>VLOOKUP(A836,'Remote work mental helath'!$A$2:$T$1001,16,)</f>
        <v>Satisfied</v>
      </c>
      <c r="J836" t="str">
        <f>VLOOKUP(A836,'Remote work mental helath'!$A$2:$T$1001,13,)</f>
        <v>Yes</v>
      </c>
      <c r="K836">
        <f>VLOOKUP(A836,'Remote work mental helath'!$A$2:$T$1001,17,FALSE)</f>
        <v>5</v>
      </c>
    </row>
    <row r="837" spans="1:11" x14ac:dyDescent="0.3">
      <c r="A837" t="s">
        <v>886</v>
      </c>
      <c r="B837" t="str">
        <f>VLOOKUP(A837,'Remote work mental helath'!$A$2:$T$1001,12,)</f>
        <v>Anxiety</v>
      </c>
      <c r="C837" t="str">
        <f>VLOOKUP(A837,'Remote work mental helath'!$A$2:$T$1001,11,)</f>
        <v>Low</v>
      </c>
      <c r="D837">
        <f>VLOOKUP('Mental Helath'!A837,'Remote work mental helath'!$A$2:$T$1001,10,)</f>
        <v>5</v>
      </c>
      <c r="E837" t="str">
        <f>VLOOKUP(A837,'Remote work mental helath'!A837:T1836,19,FALSE)</f>
        <v>Good</v>
      </c>
      <c r="F837" t="str">
        <f>VLOOKUP(A837,'Remote work mental helath'!$A$2:$T$1001,18,)</f>
        <v>Daily</v>
      </c>
      <c r="G837">
        <f>VLOOKUP(A837,'Remote work mental helath'!$A$2:$T$1001,15,FALSE)</f>
        <v>3</v>
      </c>
      <c r="H837" t="str">
        <f>VLOOKUP(A837,'Remote work mental helath'!$A$2:$T$1001,14,)</f>
        <v>No Change</v>
      </c>
      <c r="I837" t="str">
        <f>VLOOKUP(A837,'Remote work mental helath'!$A$2:$T$1001,16,)</f>
        <v>Neutral</v>
      </c>
      <c r="J837" t="str">
        <f>VLOOKUP(A837,'Remote work mental helath'!$A$2:$T$1001,13,)</f>
        <v>No</v>
      </c>
      <c r="K837">
        <f>VLOOKUP(A837,'Remote work mental helath'!$A$2:$T$1001,17,FALSE)</f>
        <v>5</v>
      </c>
    </row>
    <row r="838" spans="1:11" x14ac:dyDescent="0.3">
      <c r="A838" t="s">
        <v>887</v>
      </c>
      <c r="B838" t="str">
        <f>VLOOKUP(A838,'Remote work mental helath'!$A$2:$T$1001,12,)</f>
        <v>None</v>
      </c>
      <c r="C838" t="str">
        <f>VLOOKUP(A838,'Remote work mental helath'!$A$2:$T$1001,11,)</f>
        <v>Medium</v>
      </c>
      <c r="D838">
        <f>VLOOKUP('Mental Helath'!A838,'Remote work mental helath'!$A$2:$T$1001,10,)</f>
        <v>1</v>
      </c>
      <c r="E838" t="str">
        <f>VLOOKUP(A838,'Remote work mental helath'!A838:T1837,19,FALSE)</f>
        <v>Poor</v>
      </c>
      <c r="F838" t="str">
        <f>VLOOKUP(A838,'Remote work mental helath'!$A$2:$T$1001,18,)</f>
        <v>Weekly</v>
      </c>
      <c r="G838">
        <f>VLOOKUP(A838,'Remote work mental helath'!$A$2:$T$1001,15,FALSE)</f>
        <v>1</v>
      </c>
      <c r="H838" t="str">
        <f>VLOOKUP(A838,'Remote work mental helath'!$A$2:$T$1001,14,)</f>
        <v>No Change</v>
      </c>
      <c r="I838" t="str">
        <f>VLOOKUP(A838,'Remote work mental helath'!$A$2:$T$1001,16,)</f>
        <v>Satisfied</v>
      </c>
      <c r="J838" t="str">
        <f>VLOOKUP(A838,'Remote work mental helath'!$A$2:$T$1001,13,)</f>
        <v>No</v>
      </c>
      <c r="K838">
        <f>VLOOKUP(A838,'Remote work mental helath'!$A$2:$T$1001,17,FALSE)</f>
        <v>5</v>
      </c>
    </row>
    <row r="839" spans="1:11" x14ac:dyDescent="0.3">
      <c r="A839" t="s">
        <v>888</v>
      </c>
      <c r="B839" t="str">
        <f>VLOOKUP(A839,'Remote work mental helath'!$A$2:$T$1001,12,)</f>
        <v>Depression</v>
      </c>
      <c r="C839" t="str">
        <f>VLOOKUP(A839,'Remote work mental helath'!$A$2:$T$1001,11,)</f>
        <v>Medium</v>
      </c>
      <c r="D839">
        <f>VLOOKUP('Mental Helath'!A839,'Remote work mental helath'!$A$2:$T$1001,10,)</f>
        <v>3</v>
      </c>
      <c r="E839" t="str">
        <f>VLOOKUP(A839,'Remote work mental helath'!A839:T1838,19,FALSE)</f>
        <v>Good</v>
      </c>
      <c r="F839" t="str">
        <f>VLOOKUP(A839,'Remote work mental helath'!$A$2:$T$1001,18,)</f>
        <v>Weekly</v>
      </c>
      <c r="G839">
        <f>VLOOKUP(A839,'Remote work mental helath'!$A$2:$T$1001,15,FALSE)</f>
        <v>2</v>
      </c>
      <c r="H839" t="str">
        <f>VLOOKUP(A839,'Remote work mental helath'!$A$2:$T$1001,14,)</f>
        <v>Increase</v>
      </c>
      <c r="I839" t="str">
        <f>VLOOKUP(A839,'Remote work mental helath'!$A$2:$T$1001,16,)</f>
        <v>Neutral</v>
      </c>
      <c r="J839" t="str">
        <f>VLOOKUP(A839,'Remote work mental helath'!$A$2:$T$1001,13,)</f>
        <v>Yes</v>
      </c>
      <c r="K839">
        <f>VLOOKUP(A839,'Remote work mental helath'!$A$2:$T$1001,17,FALSE)</f>
        <v>2</v>
      </c>
    </row>
    <row r="840" spans="1:11" x14ac:dyDescent="0.3">
      <c r="A840" t="s">
        <v>889</v>
      </c>
      <c r="B840" t="str">
        <f>VLOOKUP(A840,'Remote work mental helath'!$A$2:$T$1001,12,)</f>
        <v>Anxiety</v>
      </c>
      <c r="C840" t="str">
        <f>VLOOKUP(A840,'Remote work mental helath'!$A$2:$T$1001,11,)</f>
        <v>Medium</v>
      </c>
      <c r="D840">
        <f>VLOOKUP('Mental Helath'!A840,'Remote work mental helath'!$A$2:$T$1001,10,)</f>
        <v>4</v>
      </c>
      <c r="E840" t="str">
        <f>VLOOKUP(A840,'Remote work mental helath'!A840:T1839,19,FALSE)</f>
        <v>Poor</v>
      </c>
      <c r="F840" t="str">
        <f>VLOOKUP(A840,'Remote work mental helath'!$A$2:$T$1001,18,)</f>
        <v>Weekly</v>
      </c>
      <c r="G840">
        <f>VLOOKUP(A840,'Remote work mental helath'!$A$2:$T$1001,15,FALSE)</f>
        <v>2</v>
      </c>
      <c r="H840" t="str">
        <f>VLOOKUP(A840,'Remote work mental helath'!$A$2:$T$1001,14,)</f>
        <v>Decrease</v>
      </c>
      <c r="I840" t="str">
        <f>VLOOKUP(A840,'Remote work mental helath'!$A$2:$T$1001,16,)</f>
        <v>Neutral</v>
      </c>
      <c r="J840" t="str">
        <f>VLOOKUP(A840,'Remote work mental helath'!$A$2:$T$1001,13,)</f>
        <v>No</v>
      </c>
      <c r="K840">
        <f>VLOOKUP(A840,'Remote work mental helath'!$A$2:$T$1001,17,FALSE)</f>
        <v>4</v>
      </c>
    </row>
    <row r="841" spans="1:11" x14ac:dyDescent="0.3">
      <c r="A841" t="s">
        <v>890</v>
      </c>
      <c r="B841" t="str">
        <f>VLOOKUP(A841,'Remote work mental helath'!$A$2:$T$1001,12,)</f>
        <v>None</v>
      </c>
      <c r="C841" t="str">
        <f>VLOOKUP(A841,'Remote work mental helath'!$A$2:$T$1001,11,)</f>
        <v>High</v>
      </c>
      <c r="D841">
        <f>VLOOKUP('Mental Helath'!A841,'Remote work mental helath'!$A$2:$T$1001,10,)</f>
        <v>1</v>
      </c>
      <c r="E841" t="str">
        <f>VLOOKUP(A841,'Remote work mental helath'!A841:T1840,19,FALSE)</f>
        <v>Poor</v>
      </c>
      <c r="F841" t="str">
        <f>VLOOKUP(A841,'Remote work mental helath'!$A$2:$T$1001,18,)</f>
        <v>Daily</v>
      </c>
      <c r="G841">
        <f>VLOOKUP(A841,'Remote work mental helath'!$A$2:$T$1001,15,FALSE)</f>
        <v>3</v>
      </c>
      <c r="H841" t="str">
        <f>VLOOKUP(A841,'Remote work mental helath'!$A$2:$T$1001,14,)</f>
        <v>Decrease</v>
      </c>
      <c r="I841" t="str">
        <f>VLOOKUP(A841,'Remote work mental helath'!$A$2:$T$1001,16,)</f>
        <v>Unsatisfied</v>
      </c>
      <c r="J841" t="str">
        <f>VLOOKUP(A841,'Remote work mental helath'!$A$2:$T$1001,13,)</f>
        <v>Yes</v>
      </c>
      <c r="K841">
        <f>VLOOKUP(A841,'Remote work mental helath'!$A$2:$T$1001,17,FALSE)</f>
        <v>1</v>
      </c>
    </row>
    <row r="842" spans="1:11" x14ac:dyDescent="0.3">
      <c r="A842" t="s">
        <v>891</v>
      </c>
      <c r="B842" t="str">
        <f>VLOOKUP(A842,'Remote work mental helath'!$A$2:$T$1001,12,)</f>
        <v>Burnout</v>
      </c>
      <c r="C842" t="str">
        <f>VLOOKUP(A842,'Remote work mental helath'!$A$2:$T$1001,11,)</f>
        <v>Medium</v>
      </c>
      <c r="D842">
        <f>VLOOKUP('Mental Helath'!A842,'Remote work mental helath'!$A$2:$T$1001,10,)</f>
        <v>5</v>
      </c>
      <c r="E842" t="str">
        <f>VLOOKUP(A842,'Remote work mental helath'!A842:T1841,19,FALSE)</f>
        <v>Average</v>
      </c>
      <c r="F842" t="str">
        <f>VLOOKUP(A842,'Remote work mental helath'!$A$2:$T$1001,18,)</f>
        <v>None</v>
      </c>
      <c r="G842">
        <f>VLOOKUP(A842,'Remote work mental helath'!$A$2:$T$1001,15,FALSE)</f>
        <v>3</v>
      </c>
      <c r="H842" t="str">
        <f>VLOOKUP(A842,'Remote work mental helath'!$A$2:$T$1001,14,)</f>
        <v>Increase</v>
      </c>
      <c r="I842" t="str">
        <f>VLOOKUP(A842,'Remote work mental helath'!$A$2:$T$1001,16,)</f>
        <v>Unsatisfied</v>
      </c>
      <c r="J842" t="str">
        <f>VLOOKUP(A842,'Remote work mental helath'!$A$2:$T$1001,13,)</f>
        <v>Yes</v>
      </c>
      <c r="K842">
        <f>VLOOKUP(A842,'Remote work mental helath'!$A$2:$T$1001,17,FALSE)</f>
        <v>5</v>
      </c>
    </row>
    <row r="843" spans="1:11" x14ac:dyDescent="0.3">
      <c r="A843" t="s">
        <v>892</v>
      </c>
      <c r="B843" t="str">
        <f>VLOOKUP(A843,'Remote work mental helath'!$A$2:$T$1001,12,)</f>
        <v>Depression</v>
      </c>
      <c r="C843" t="str">
        <f>VLOOKUP(A843,'Remote work mental helath'!$A$2:$T$1001,11,)</f>
        <v>Low</v>
      </c>
      <c r="D843">
        <f>VLOOKUP('Mental Helath'!A843,'Remote work mental helath'!$A$2:$T$1001,10,)</f>
        <v>3</v>
      </c>
      <c r="E843" t="str">
        <f>VLOOKUP(A843,'Remote work mental helath'!A843:T1842,19,FALSE)</f>
        <v>Good</v>
      </c>
      <c r="F843" t="str">
        <f>VLOOKUP(A843,'Remote work mental helath'!$A$2:$T$1001,18,)</f>
        <v>None</v>
      </c>
      <c r="G843">
        <f>VLOOKUP(A843,'Remote work mental helath'!$A$2:$T$1001,15,FALSE)</f>
        <v>5</v>
      </c>
      <c r="H843" t="str">
        <f>VLOOKUP(A843,'Remote work mental helath'!$A$2:$T$1001,14,)</f>
        <v>Decrease</v>
      </c>
      <c r="I843" t="str">
        <f>VLOOKUP(A843,'Remote work mental helath'!$A$2:$T$1001,16,)</f>
        <v>Satisfied</v>
      </c>
      <c r="J843" t="str">
        <f>VLOOKUP(A843,'Remote work mental helath'!$A$2:$T$1001,13,)</f>
        <v>No</v>
      </c>
      <c r="K843">
        <f>VLOOKUP(A843,'Remote work mental helath'!$A$2:$T$1001,17,FALSE)</f>
        <v>2</v>
      </c>
    </row>
    <row r="844" spans="1:11" x14ac:dyDescent="0.3">
      <c r="A844" t="s">
        <v>893</v>
      </c>
      <c r="B844" t="str">
        <f>VLOOKUP(A844,'Remote work mental helath'!$A$2:$T$1001,12,)</f>
        <v>Burnout</v>
      </c>
      <c r="C844" t="str">
        <f>VLOOKUP(A844,'Remote work mental helath'!$A$2:$T$1001,11,)</f>
        <v>High</v>
      </c>
      <c r="D844">
        <f>VLOOKUP('Mental Helath'!A844,'Remote work mental helath'!$A$2:$T$1001,10,)</f>
        <v>2</v>
      </c>
      <c r="E844" t="str">
        <f>VLOOKUP(A844,'Remote work mental helath'!A844:T1843,19,FALSE)</f>
        <v>Poor</v>
      </c>
      <c r="F844" t="str">
        <f>VLOOKUP(A844,'Remote work mental helath'!$A$2:$T$1001,18,)</f>
        <v>Weekly</v>
      </c>
      <c r="G844">
        <f>VLOOKUP(A844,'Remote work mental helath'!$A$2:$T$1001,15,FALSE)</f>
        <v>4</v>
      </c>
      <c r="H844" t="str">
        <f>VLOOKUP(A844,'Remote work mental helath'!$A$2:$T$1001,14,)</f>
        <v>Decrease</v>
      </c>
      <c r="I844" t="str">
        <f>VLOOKUP(A844,'Remote work mental helath'!$A$2:$T$1001,16,)</f>
        <v>Neutral</v>
      </c>
      <c r="J844" t="str">
        <f>VLOOKUP(A844,'Remote work mental helath'!$A$2:$T$1001,13,)</f>
        <v>Yes</v>
      </c>
      <c r="K844">
        <f>VLOOKUP(A844,'Remote work mental helath'!$A$2:$T$1001,17,FALSE)</f>
        <v>2</v>
      </c>
    </row>
    <row r="845" spans="1:11" x14ac:dyDescent="0.3">
      <c r="A845" t="s">
        <v>894</v>
      </c>
      <c r="B845" t="str">
        <f>VLOOKUP(A845,'Remote work mental helath'!$A$2:$T$1001,12,)</f>
        <v>None</v>
      </c>
      <c r="C845" t="str">
        <f>VLOOKUP(A845,'Remote work mental helath'!$A$2:$T$1001,11,)</f>
        <v>High</v>
      </c>
      <c r="D845">
        <f>VLOOKUP('Mental Helath'!A845,'Remote work mental helath'!$A$2:$T$1001,10,)</f>
        <v>2</v>
      </c>
      <c r="E845" t="str">
        <f>VLOOKUP(A845,'Remote work mental helath'!A845:T1844,19,FALSE)</f>
        <v>Average</v>
      </c>
      <c r="F845" t="str">
        <f>VLOOKUP(A845,'Remote work mental helath'!$A$2:$T$1001,18,)</f>
        <v>None</v>
      </c>
      <c r="G845">
        <f>VLOOKUP(A845,'Remote work mental helath'!$A$2:$T$1001,15,FALSE)</f>
        <v>1</v>
      </c>
      <c r="H845" t="str">
        <f>VLOOKUP(A845,'Remote work mental helath'!$A$2:$T$1001,14,)</f>
        <v>Decrease</v>
      </c>
      <c r="I845" t="str">
        <f>VLOOKUP(A845,'Remote work mental helath'!$A$2:$T$1001,16,)</f>
        <v>Unsatisfied</v>
      </c>
      <c r="J845" t="str">
        <f>VLOOKUP(A845,'Remote work mental helath'!$A$2:$T$1001,13,)</f>
        <v>Yes</v>
      </c>
      <c r="K845">
        <f>VLOOKUP(A845,'Remote work mental helath'!$A$2:$T$1001,17,FALSE)</f>
        <v>3</v>
      </c>
    </row>
    <row r="846" spans="1:11" x14ac:dyDescent="0.3">
      <c r="A846" t="s">
        <v>895</v>
      </c>
      <c r="B846" t="str">
        <f>VLOOKUP(A846,'Remote work mental helath'!$A$2:$T$1001,12,)</f>
        <v>Burnout</v>
      </c>
      <c r="C846" t="str">
        <f>VLOOKUP(A846,'Remote work mental helath'!$A$2:$T$1001,11,)</f>
        <v>High</v>
      </c>
      <c r="D846">
        <f>VLOOKUP('Mental Helath'!A846,'Remote work mental helath'!$A$2:$T$1001,10,)</f>
        <v>1</v>
      </c>
      <c r="E846" t="str">
        <f>VLOOKUP(A846,'Remote work mental helath'!A846:T1845,19,FALSE)</f>
        <v>Average</v>
      </c>
      <c r="F846" t="str">
        <f>VLOOKUP(A846,'Remote work mental helath'!$A$2:$T$1001,18,)</f>
        <v>Daily</v>
      </c>
      <c r="G846">
        <f>VLOOKUP(A846,'Remote work mental helath'!$A$2:$T$1001,15,FALSE)</f>
        <v>4</v>
      </c>
      <c r="H846" t="str">
        <f>VLOOKUP(A846,'Remote work mental helath'!$A$2:$T$1001,14,)</f>
        <v>No Change</v>
      </c>
      <c r="I846" t="str">
        <f>VLOOKUP(A846,'Remote work mental helath'!$A$2:$T$1001,16,)</f>
        <v>Unsatisfied</v>
      </c>
      <c r="J846" t="str">
        <f>VLOOKUP(A846,'Remote work mental helath'!$A$2:$T$1001,13,)</f>
        <v>Yes</v>
      </c>
      <c r="K846">
        <f>VLOOKUP(A846,'Remote work mental helath'!$A$2:$T$1001,17,FALSE)</f>
        <v>5</v>
      </c>
    </row>
    <row r="847" spans="1:11" x14ac:dyDescent="0.3">
      <c r="A847" t="s">
        <v>896</v>
      </c>
      <c r="B847" t="str">
        <f>VLOOKUP(A847,'Remote work mental helath'!$A$2:$T$1001,12,)</f>
        <v>Depression</v>
      </c>
      <c r="C847" t="str">
        <f>VLOOKUP(A847,'Remote work mental helath'!$A$2:$T$1001,11,)</f>
        <v>Low</v>
      </c>
      <c r="D847">
        <f>VLOOKUP('Mental Helath'!A847,'Remote work mental helath'!$A$2:$T$1001,10,)</f>
        <v>5</v>
      </c>
      <c r="E847" t="str">
        <f>VLOOKUP(A847,'Remote work mental helath'!A847:T1846,19,FALSE)</f>
        <v>Poor</v>
      </c>
      <c r="F847" t="str">
        <f>VLOOKUP(A847,'Remote work mental helath'!$A$2:$T$1001,18,)</f>
        <v>Daily</v>
      </c>
      <c r="G847">
        <f>VLOOKUP(A847,'Remote work mental helath'!$A$2:$T$1001,15,FALSE)</f>
        <v>3</v>
      </c>
      <c r="H847" t="str">
        <f>VLOOKUP(A847,'Remote work mental helath'!$A$2:$T$1001,14,)</f>
        <v>Decrease</v>
      </c>
      <c r="I847" t="str">
        <f>VLOOKUP(A847,'Remote work mental helath'!$A$2:$T$1001,16,)</f>
        <v>Unsatisfied</v>
      </c>
      <c r="J847" t="str">
        <f>VLOOKUP(A847,'Remote work mental helath'!$A$2:$T$1001,13,)</f>
        <v>No</v>
      </c>
      <c r="K847">
        <f>VLOOKUP(A847,'Remote work mental helath'!$A$2:$T$1001,17,FALSE)</f>
        <v>1</v>
      </c>
    </row>
    <row r="848" spans="1:11" x14ac:dyDescent="0.3">
      <c r="A848" t="s">
        <v>897</v>
      </c>
      <c r="B848" t="str">
        <f>VLOOKUP(A848,'Remote work mental helath'!$A$2:$T$1001,12,)</f>
        <v>Burnout</v>
      </c>
      <c r="C848" t="str">
        <f>VLOOKUP(A848,'Remote work mental helath'!$A$2:$T$1001,11,)</f>
        <v>Medium</v>
      </c>
      <c r="D848">
        <f>VLOOKUP('Mental Helath'!A848,'Remote work mental helath'!$A$2:$T$1001,10,)</f>
        <v>5</v>
      </c>
      <c r="E848" t="str">
        <f>VLOOKUP(A848,'Remote work mental helath'!A848:T1847,19,FALSE)</f>
        <v>Good</v>
      </c>
      <c r="F848" t="str">
        <f>VLOOKUP(A848,'Remote work mental helath'!$A$2:$T$1001,18,)</f>
        <v>Weekly</v>
      </c>
      <c r="G848">
        <f>VLOOKUP(A848,'Remote work mental helath'!$A$2:$T$1001,15,FALSE)</f>
        <v>3</v>
      </c>
      <c r="H848" t="str">
        <f>VLOOKUP(A848,'Remote work mental helath'!$A$2:$T$1001,14,)</f>
        <v>No Change</v>
      </c>
      <c r="I848" t="str">
        <f>VLOOKUP(A848,'Remote work mental helath'!$A$2:$T$1001,16,)</f>
        <v>Neutral</v>
      </c>
      <c r="J848" t="str">
        <f>VLOOKUP(A848,'Remote work mental helath'!$A$2:$T$1001,13,)</f>
        <v>No</v>
      </c>
      <c r="K848">
        <f>VLOOKUP(A848,'Remote work mental helath'!$A$2:$T$1001,17,FALSE)</f>
        <v>5</v>
      </c>
    </row>
    <row r="849" spans="1:11" x14ac:dyDescent="0.3">
      <c r="A849" t="s">
        <v>898</v>
      </c>
      <c r="B849" t="str">
        <f>VLOOKUP(A849,'Remote work mental helath'!$A$2:$T$1001,12,)</f>
        <v>Burnout</v>
      </c>
      <c r="C849" t="str">
        <f>VLOOKUP(A849,'Remote work mental helath'!$A$2:$T$1001,11,)</f>
        <v>High</v>
      </c>
      <c r="D849">
        <f>VLOOKUP('Mental Helath'!A849,'Remote work mental helath'!$A$2:$T$1001,10,)</f>
        <v>5</v>
      </c>
      <c r="E849" t="str">
        <f>VLOOKUP(A849,'Remote work mental helath'!A849:T1848,19,FALSE)</f>
        <v>Good</v>
      </c>
      <c r="F849" t="str">
        <f>VLOOKUP(A849,'Remote work mental helath'!$A$2:$T$1001,18,)</f>
        <v>Daily</v>
      </c>
      <c r="G849">
        <f>VLOOKUP(A849,'Remote work mental helath'!$A$2:$T$1001,15,FALSE)</f>
        <v>1</v>
      </c>
      <c r="H849" t="str">
        <f>VLOOKUP(A849,'Remote work mental helath'!$A$2:$T$1001,14,)</f>
        <v>Increase</v>
      </c>
      <c r="I849" t="str">
        <f>VLOOKUP(A849,'Remote work mental helath'!$A$2:$T$1001,16,)</f>
        <v>Unsatisfied</v>
      </c>
      <c r="J849" t="str">
        <f>VLOOKUP(A849,'Remote work mental helath'!$A$2:$T$1001,13,)</f>
        <v>Yes</v>
      </c>
      <c r="K849">
        <f>VLOOKUP(A849,'Remote work mental helath'!$A$2:$T$1001,17,FALSE)</f>
        <v>1</v>
      </c>
    </row>
    <row r="850" spans="1:11" x14ac:dyDescent="0.3">
      <c r="A850" t="s">
        <v>899</v>
      </c>
      <c r="B850" t="str">
        <f>VLOOKUP(A850,'Remote work mental helath'!$A$2:$T$1001,12,)</f>
        <v>None</v>
      </c>
      <c r="C850" t="str">
        <f>VLOOKUP(A850,'Remote work mental helath'!$A$2:$T$1001,11,)</f>
        <v>High</v>
      </c>
      <c r="D850">
        <f>VLOOKUP('Mental Helath'!A850,'Remote work mental helath'!$A$2:$T$1001,10,)</f>
        <v>3</v>
      </c>
      <c r="E850" t="str">
        <f>VLOOKUP(A850,'Remote work mental helath'!A850:T1849,19,FALSE)</f>
        <v>Poor</v>
      </c>
      <c r="F850" t="str">
        <f>VLOOKUP(A850,'Remote work mental helath'!$A$2:$T$1001,18,)</f>
        <v>Daily</v>
      </c>
      <c r="G850">
        <f>VLOOKUP(A850,'Remote work mental helath'!$A$2:$T$1001,15,FALSE)</f>
        <v>4</v>
      </c>
      <c r="H850" t="str">
        <f>VLOOKUP(A850,'Remote work mental helath'!$A$2:$T$1001,14,)</f>
        <v>Decrease</v>
      </c>
      <c r="I850" t="str">
        <f>VLOOKUP(A850,'Remote work mental helath'!$A$2:$T$1001,16,)</f>
        <v>Neutral</v>
      </c>
      <c r="J850" t="str">
        <f>VLOOKUP(A850,'Remote work mental helath'!$A$2:$T$1001,13,)</f>
        <v>Yes</v>
      </c>
      <c r="K850">
        <f>VLOOKUP(A850,'Remote work mental helath'!$A$2:$T$1001,17,FALSE)</f>
        <v>2</v>
      </c>
    </row>
    <row r="851" spans="1:11" x14ac:dyDescent="0.3">
      <c r="A851" t="s">
        <v>900</v>
      </c>
      <c r="B851" t="str">
        <f>VLOOKUP(A851,'Remote work mental helath'!$A$2:$T$1001,12,)</f>
        <v>None</v>
      </c>
      <c r="C851" t="str">
        <f>VLOOKUP(A851,'Remote work mental helath'!$A$2:$T$1001,11,)</f>
        <v>Medium</v>
      </c>
      <c r="D851">
        <f>VLOOKUP('Mental Helath'!A851,'Remote work mental helath'!$A$2:$T$1001,10,)</f>
        <v>2</v>
      </c>
      <c r="E851" t="str">
        <f>VLOOKUP(A851,'Remote work mental helath'!A851:T1850,19,FALSE)</f>
        <v>Average</v>
      </c>
      <c r="F851" t="str">
        <f>VLOOKUP(A851,'Remote work mental helath'!$A$2:$T$1001,18,)</f>
        <v>Daily</v>
      </c>
      <c r="G851">
        <f>VLOOKUP(A851,'Remote work mental helath'!$A$2:$T$1001,15,FALSE)</f>
        <v>4</v>
      </c>
      <c r="H851" t="str">
        <f>VLOOKUP(A851,'Remote work mental helath'!$A$2:$T$1001,14,)</f>
        <v>Increase</v>
      </c>
      <c r="I851" t="str">
        <f>VLOOKUP(A851,'Remote work mental helath'!$A$2:$T$1001,16,)</f>
        <v>Neutral</v>
      </c>
      <c r="J851" t="str">
        <f>VLOOKUP(A851,'Remote work mental helath'!$A$2:$T$1001,13,)</f>
        <v>No</v>
      </c>
      <c r="K851">
        <f>VLOOKUP(A851,'Remote work mental helath'!$A$2:$T$1001,17,FALSE)</f>
        <v>1</v>
      </c>
    </row>
    <row r="852" spans="1:11" x14ac:dyDescent="0.3">
      <c r="A852" t="s">
        <v>901</v>
      </c>
      <c r="B852" t="str">
        <f>VLOOKUP(A852,'Remote work mental helath'!$A$2:$T$1001,12,)</f>
        <v>Anxiety</v>
      </c>
      <c r="C852" t="str">
        <f>VLOOKUP(A852,'Remote work mental helath'!$A$2:$T$1001,11,)</f>
        <v>High</v>
      </c>
      <c r="D852">
        <f>VLOOKUP('Mental Helath'!A852,'Remote work mental helath'!$A$2:$T$1001,10,)</f>
        <v>1</v>
      </c>
      <c r="E852" t="str">
        <f>VLOOKUP(A852,'Remote work mental helath'!A852:T1851,19,FALSE)</f>
        <v>Good</v>
      </c>
      <c r="F852" t="str">
        <f>VLOOKUP(A852,'Remote work mental helath'!$A$2:$T$1001,18,)</f>
        <v>Daily</v>
      </c>
      <c r="G852">
        <f>VLOOKUP(A852,'Remote work mental helath'!$A$2:$T$1001,15,FALSE)</f>
        <v>4</v>
      </c>
      <c r="H852" t="str">
        <f>VLOOKUP(A852,'Remote work mental helath'!$A$2:$T$1001,14,)</f>
        <v>No Change</v>
      </c>
      <c r="I852" t="str">
        <f>VLOOKUP(A852,'Remote work mental helath'!$A$2:$T$1001,16,)</f>
        <v>Neutral</v>
      </c>
      <c r="J852" t="str">
        <f>VLOOKUP(A852,'Remote work mental helath'!$A$2:$T$1001,13,)</f>
        <v>No</v>
      </c>
      <c r="K852">
        <f>VLOOKUP(A852,'Remote work mental helath'!$A$2:$T$1001,17,FALSE)</f>
        <v>4</v>
      </c>
    </row>
    <row r="853" spans="1:11" x14ac:dyDescent="0.3">
      <c r="A853" t="s">
        <v>902</v>
      </c>
      <c r="B853" t="str">
        <f>VLOOKUP(A853,'Remote work mental helath'!$A$2:$T$1001,12,)</f>
        <v>Anxiety</v>
      </c>
      <c r="C853" t="str">
        <f>VLOOKUP(A853,'Remote work mental helath'!$A$2:$T$1001,11,)</f>
        <v>Low</v>
      </c>
      <c r="D853">
        <f>VLOOKUP('Mental Helath'!A853,'Remote work mental helath'!$A$2:$T$1001,10,)</f>
        <v>3</v>
      </c>
      <c r="E853" t="str">
        <f>VLOOKUP(A853,'Remote work mental helath'!A853:T1852,19,FALSE)</f>
        <v>Poor</v>
      </c>
      <c r="F853" t="str">
        <f>VLOOKUP(A853,'Remote work mental helath'!$A$2:$T$1001,18,)</f>
        <v>Weekly</v>
      </c>
      <c r="G853">
        <f>VLOOKUP(A853,'Remote work mental helath'!$A$2:$T$1001,15,FALSE)</f>
        <v>2</v>
      </c>
      <c r="H853" t="str">
        <f>VLOOKUP(A853,'Remote work mental helath'!$A$2:$T$1001,14,)</f>
        <v>Decrease</v>
      </c>
      <c r="I853" t="str">
        <f>VLOOKUP(A853,'Remote work mental helath'!$A$2:$T$1001,16,)</f>
        <v>Satisfied</v>
      </c>
      <c r="J853" t="str">
        <f>VLOOKUP(A853,'Remote work mental helath'!$A$2:$T$1001,13,)</f>
        <v>No</v>
      </c>
      <c r="K853">
        <f>VLOOKUP(A853,'Remote work mental helath'!$A$2:$T$1001,17,FALSE)</f>
        <v>1</v>
      </c>
    </row>
    <row r="854" spans="1:11" x14ac:dyDescent="0.3">
      <c r="A854" t="s">
        <v>903</v>
      </c>
      <c r="B854" t="str">
        <f>VLOOKUP(A854,'Remote work mental helath'!$A$2:$T$1001,12,)</f>
        <v>None</v>
      </c>
      <c r="C854" t="str">
        <f>VLOOKUP(A854,'Remote work mental helath'!$A$2:$T$1001,11,)</f>
        <v>High</v>
      </c>
      <c r="D854">
        <f>VLOOKUP('Mental Helath'!A854,'Remote work mental helath'!$A$2:$T$1001,10,)</f>
        <v>2</v>
      </c>
      <c r="E854" t="str">
        <f>VLOOKUP(A854,'Remote work mental helath'!A854:T1853,19,FALSE)</f>
        <v>Poor</v>
      </c>
      <c r="F854" t="str">
        <f>VLOOKUP(A854,'Remote work mental helath'!$A$2:$T$1001,18,)</f>
        <v>None</v>
      </c>
      <c r="G854">
        <f>VLOOKUP(A854,'Remote work mental helath'!$A$2:$T$1001,15,FALSE)</f>
        <v>2</v>
      </c>
      <c r="H854" t="str">
        <f>VLOOKUP(A854,'Remote work mental helath'!$A$2:$T$1001,14,)</f>
        <v>Increase</v>
      </c>
      <c r="I854" t="str">
        <f>VLOOKUP(A854,'Remote work mental helath'!$A$2:$T$1001,16,)</f>
        <v>Neutral</v>
      </c>
      <c r="J854" t="str">
        <f>VLOOKUP(A854,'Remote work mental helath'!$A$2:$T$1001,13,)</f>
        <v>No</v>
      </c>
      <c r="K854">
        <f>VLOOKUP(A854,'Remote work mental helath'!$A$2:$T$1001,17,FALSE)</f>
        <v>1</v>
      </c>
    </row>
    <row r="855" spans="1:11" x14ac:dyDescent="0.3">
      <c r="A855" t="s">
        <v>904</v>
      </c>
      <c r="B855" t="str">
        <f>VLOOKUP(A855,'Remote work mental helath'!$A$2:$T$1001,12,)</f>
        <v>None</v>
      </c>
      <c r="C855" t="str">
        <f>VLOOKUP(A855,'Remote work mental helath'!$A$2:$T$1001,11,)</f>
        <v>Medium</v>
      </c>
      <c r="D855">
        <f>VLOOKUP('Mental Helath'!A855,'Remote work mental helath'!$A$2:$T$1001,10,)</f>
        <v>1</v>
      </c>
      <c r="E855" t="str">
        <f>VLOOKUP(A855,'Remote work mental helath'!A855:T1854,19,FALSE)</f>
        <v>Poor</v>
      </c>
      <c r="F855" t="str">
        <f>VLOOKUP(A855,'Remote work mental helath'!$A$2:$T$1001,18,)</f>
        <v>None</v>
      </c>
      <c r="G855">
        <f>VLOOKUP(A855,'Remote work mental helath'!$A$2:$T$1001,15,FALSE)</f>
        <v>4</v>
      </c>
      <c r="H855" t="str">
        <f>VLOOKUP(A855,'Remote work mental helath'!$A$2:$T$1001,14,)</f>
        <v>No Change</v>
      </c>
      <c r="I855" t="str">
        <f>VLOOKUP(A855,'Remote work mental helath'!$A$2:$T$1001,16,)</f>
        <v>Neutral</v>
      </c>
      <c r="J855" t="str">
        <f>VLOOKUP(A855,'Remote work mental helath'!$A$2:$T$1001,13,)</f>
        <v>No</v>
      </c>
      <c r="K855">
        <f>VLOOKUP(A855,'Remote work mental helath'!$A$2:$T$1001,17,FALSE)</f>
        <v>4</v>
      </c>
    </row>
    <row r="856" spans="1:11" x14ac:dyDescent="0.3">
      <c r="A856" t="s">
        <v>905</v>
      </c>
      <c r="B856" t="str">
        <f>VLOOKUP(A856,'Remote work mental helath'!$A$2:$T$1001,12,)</f>
        <v>None</v>
      </c>
      <c r="C856" t="str">
        <f>VLOOKUP(A856,'Remote work mental helath'!$A$2:$T$1001,11,)</f>
        <v>High</v>
      </c>
      <c r="D856">
        <f>VLOOKUP('Mental Helath'!A856,'Remote work mental helath'!$A$2:$T$1001,10,)</f>
        <v>1</v>
      </c>
      <c r="E856" t="str">
        <f>VLOOKUP(A856,'Remote work mental helath'!A856:T1855,19,FALSE)</f>
        <v>Poor</v>
      </c>
      <c r="F856" t="str">
        <f>VLOOKUP(A856,'Remote work mental helath'!$A$2:$T$1001,18,)</f>
        <v>None</v>
      </c>
      <c r="G856">
        <f>VLOOKUP(A856,'Remote work mental helath'!$A$2:$T$1001,15,FALSE)</f>
        <v>3</v>
      </c>
      <c r="H856" t="str">
        <f>VLOOKUP(A856,'Remote work mental helath'!$A$2:$T$1001,14,)</f>
        <v>Increase</v>
      </c>
      <c r="I856" t="str">
        <f>VLOOKUP(A856,'Remote work mental helath'!$A$2:$T$1001,16,)</f>
        <v>Satisfied</v>
      </c>
      <c r="J856" t="str">
        <f>VLOOKUP(A856,'Remote work mental helath'!$A$2:$T$1001,13,)</f>
        <v>No</v>
      </c>
      <c r="K856">
        <f>VLOOKUP(A856,'Remote work mental helath'!$A$2:$T$1001,17,FALSE)</f>
        <v>1</v>
      </c>
    </row>
    <row r="857" spans="1:11" x14ac:dyDescent="0.3">
      <c r="A857" t="s">
        <v>906</v>
      </c>
      <c r="B857" t="str">
        <f>VLOOKUP(A857,'Remote work mental helath'!$A$2:$T$1001,12,)</f>
        <v>Burnout</v>
      </c>
      <c r="C857" t="str">
        <f>VLOOKUP(A857,'Remote work mental helath'!$A$2:$T$1001,11,)</f>
        <v>High</v>
      </c>
      <c r="D857">
        <f>VLOOKUP('Mental Helath'!A857,'Remote work mental helath'!$A$2:$T$1001,10,)</f>
        <v>1</v>
      </c>
      <c r="E857" t="str">
        <f>VLOOKUP(A857,'Remote work mental helath'!A857:T1856,19,FALSE)</f>
        <v>Average</v>
      </c>
      <c r="F857" t="str">
        <f>VLOOKUP(A857,'Remote work mental helath'!$A$2:$T$1001,18,)</f>
        <v>Weekly</v>
      </c>
      <c r="G857">
        <f>VLOOKUP(A857,'Remote work mental helath'!$A$2:$T$1001,15,FALSE)</f>
        <v>4</v>
      </c>
      <c r="H857" t="str">
        <f>VLOOKUP(A857,'Remote work mental helath'!$A$2:$T$1001,14,)</f>
        <v>Increase</v>
      </c>
      <c r="I857" t="str">
        <f>VLOOKUP(A857,'Remote work mental helath'!$A$2:$T$1001,16,)</f>
        <v>Unsatisfied</v>
      </c>
      <c r="J857" t="str">
        <f>VLOOKUP(A857,'Remote work mental helath'!$A$2:$T$1001,13,)</f>
        <v>No</v>
      </c>
      <c r="K857">
        <f>VLOOKUP(A857,'Remote work mental helath'!$A$2:$T$1001,17,FALSE)</f>
        <v>1</v>
      </c>
    </row>
    <row r="858" spans="1:11" x14ac:dyDescent="0.3">
      <c r="A858" t="s">
        <v>907</v>
      </c>
      <c r="B858" t="str">
        <f>VLOOKUP(A858,'Remote work mental helath'!$A$2:$T$1001,12,)</f>
        <v>Anxiety</v>
      </c>
      <c r="C858" t="str">
        <f>VLOOKUP(A858,'Remote work mental helath'!$A$2:$T$1001,11,)</f>
        <v>Low</v>
      </c>
      <c r="D858">
        <f>VLOOKUP('Mental Helath'!A858,'Remote work mental helath'!$A$2:$T$1001,10,)</f>
        <v>1</v>
      </c>
      <c r="E858" t="str">
        <f>VLOOKUP(A858,'Remote work mental helath'!A858:T1857,19,FALSE)</f>
        <v>Poor</v>
      </c>
      <c r="F858" t="str">
        <f>VLOOKUP(A858,'Remote work mental helath'!$A$2:$T$1001,18,)</f>
        <v>Weekly</v>
      </c>
      <c r="G858">
        <f>VLOOKUP(A858,'Remote work mental helath'!$A$2:$T$1001,15,FALSE)</f>
        <v>3</v>
      </c>
      <c r="H858" t="str">
        <f>VLOOKUP(A858,'Remote work mental helath'!$A$2:$T$1001,14,)</f>
        <v>No Change</v>
      </c>
      <c r="I858" t="str">
        <f>VLOOKUP(A858,'Remote work mental helath'!$A$2:$T$1001,16,)</f>
        <v>Satisfied</v>
      </c>
      <c r="J858" t="str">
        <f>VLOOKUP(A858,'Remote work mental helath'!$A$2:$T$1001,13,)</f>
        <v>Yes</v>
      </c>
      <c r="K858">
        <f>VLOOKUP(A858,'Remote work mental helath'!$A$2:$T$1001,17,FALSE)</f>
        <v>2</v>
      </c>
    </row>
    <row r="859" spans="1:11" x14ac:dyDescent="0.3">
      <c r="A859" t="s">
        <v>908</v>
      </c>
      <c r="B859" t="str">
        <f>VLOOKUP(A859,'Remote work mental helath'!$A$2:$T$1001,12,)</f>
        <v>Depression</v>
      </c>
      <c r="C859" t="str">
        <f>VLOOKUP(A859,'Remote work mental helath'!$A$2:$T$1001,11,)</f>
        <v>Low</v>
      </c>
      <c r="D859">
        <f>VLOOKUP('Mental Helath'!A859,'Remote work mental helath'!$A$2:$T$1001,10,)</f>
        <v>1</v>
      </c>
      <c r="E859" t="str">
        <f>VLOOKUP(A859,'Remote work mental helath'!A859:T1858,19,FALSE)</f>
        <v>Average</v>
      </c>
      <c r="F859" t="str">
        <f>VLOOKUP(A859,'Remote work mental helath'!$A$2:$T$1001,18,)</f>
        <v>Daily</v>
      </c>
      <c r="G859">
        <f>VLOOKUP(A859,'Remote work mental helath'!$A$2:$T$1001,15,FALSE)</f>
        <v>3</v>
      </c>
      <c r="H859" t="str">
        <f>VLOOKUP(A859,'Remote work mental helath'!$A$2:$T$1001,14,)</f>
        <v>Increase</v>
      </c>
      <c r="I859" t="str">
        <f>VLOOKUP(A859,'Remote work mental helath'!$A$2:$T$1001,16,)</f>
        <v>Unsatisfied</v>
      </c>
      <c r="J859" t="str">
        <f>VLOOKUP(A859,'Remote work mental helath'!$A$2:$T$1001,13,)</f>
        <v>No</v>
      </c>
      <c r="K859">
        <f>VLOOKUP(A859,'Remote work mental helath'!$A$2:$T$1001,17,FALSE)</f>
        <v>4</v>
      </c>
    </row>
    <row r="860" spans="1:11" x14ac:dyDescent="0.3">
      <c r="A860" t="s">
        <v>909</v>
      </c>
      <c r="B860" t="str">
        <f>VLOOKUP(A860,'Remote work mental helath'!$A$2:$T$1001,12,)</f>
        <v>Depression</v>
      </c>
      <c r="C860" t="str">
        <f>VLOOKUP(A860,'Remote work mental helath'!$A$2:$T$1001,11,)</f>
        <v>High</v>
      </c>
      <c r="D860">
        <f>VLOOKUP('Mental Helath'!A860,'Remote work mental helath'!$A$2:$T$1001,10,)</f>
        <v>5</v>
      </c>
      <c r="E860" t="str">
        <f>VLOOKUP(A860,'Remote work mental helath'!A860:T1859,19,FALSE)</f>
        <v>Good</v>
      </c>
      <c r="F860" t="str">
        <f>VLOOKUP(A860,'Remote work mental helath'!$A$2:$T$1001,18,)</f>
        <v>Weekly</v>
      </c>
      <c r="G860">
        <f>VLOOKUP(A860,'Remote work mental helath'!$A$2:$T$1001,15,FALSE)</f>
        <v>3</v>
      </c>
      <c r="H860" t="str">
        <f>VLOOKUP(A860,'Remote work mental helath'!$A$2:$T$1001,14,)</f>
        <v>No Change</v>
      </c>
      <c r="I860" t="str">
        <f>VLOOKUP(A860,'Remote work mental helath'!$A$2:$T$1001,16,)</f>
        <v>Neutral</v>
      </c>
      <c r="J860" t="str">
        <f>VLOOKUP(A860,'Remote work mental helath'!$A$2:$T$1001,13,)</f>
        <v>Yes</v>
      </c>
      <c r="K860">
        <f>VLOOKUP(A860,'Remote work mental helath'!$A$2:$T$1001,17,FALSE)</f>
        <v>4</v>
      </c>
    </row>
    <row r="861" spans="1:11" x14ac:dyDescent="0.3">
      <c r="A861" t="s">
        <v>910</v>
      </c>
      <c r="B861" t="str">
        <f>VLOOKUP(A861,'Remote work mental helath'!$A$2:$T$1001,12,)</f>
        <v>None</v>
      </c>
      <c r="C861" t="str">
        <f>VLOOKUP(A861,'Remote work mental helath'!$A$2:$T$1001,11,)</f>
        <v>High</v>
      </c>
      <c r="D861">
        <f>VLOOKUP('Mental Helath'!A861,'Remote work mental helath'!$A$2:$T$1001,10,)</f>
        <v>1</v>
      </c>
      <c r="E861" t="str">
        <f>VLOOKUP(A861,'Remote work mental helath'!A861:T1860,19,FALSE)</f>
        <v>Good</v>
      </c>
      <c r="F861" t="str">
        <f>VLOOKUP(A861,'Remote work mental helath'!$A$2:$T$1001,18,)</f>
        <v>Weekly</v>
      </c>
      <c r="G861">
        <f>VLOOKUP(A861,'Remote work mental helath'!$A$2:$T$1001,15,FALSE)</f>
        <v>3</v>
      </c>
      <c r="H861" t="str">
        <f>VLOOKUP(A861,'Remote work mental helath'!$A$2:$T$1001,14,)</f>
        <v>No Change</v>
      </c>
      <c r="I861" t="str">
        <f>VLOOKUP(A861,'Remote work mental helath'!$A$2:$T$1001,16,)</f>
        <v>Satisfied</v>
      </c>
      <c r="J861" t="str">
        <f>VLOOKUP(A861,'Remote work mental helath'!$A$2:$T$1001,13,)</f>
        <v>Yes</v>
      </c>
      <c r="K861">
        <f>VLOOKUP(A861,'Remote work mental helath'!$A$2:$T$1001,17,FALSE)</f>
        <v>2</v>
      </c>
    </row>
    <row r="862" spans="1:11" x14ac:dyDescent="0.3">
      <c r="A862" t="s">
        <v>911</v>
      </c>
      <c r="B862" t="str">
        <f>VLOOKUP(A862,'Remote work mental helath'!$A$2:$T$1001,12,)</f>
        <v>Burnout</v>
      </c>
      <c r="C862" t="str">
        <f>VLOOKUP(A862,'Remote work mental helath'!$A$2:$T$1001,11,)</f>
        <v>High</v>
      </c>
      <c r="D862">
        <f>VLOOKUP('Mental Helath'!A862,'Remote work mental helath'!$A$2:$T$1001,10,)</f>
        <v>3</v>
      </c>
      <c r="E862" t="str">
        <f>VLOOKUP(A862,'Remote work mental helath'!A862:T1861,19,FALSE)</f>
        <v>Poor</v>
      </c>
      <c r="F862" t="str">
        <f>VLOOKUP(A862,'Remote work mental helath'!$A$2:$T$1001,18,)</f>
        <v>None</v>
      </c>
      <c r="G862">
        <f>VLOOKUP(A862,'Remote work mental helath'!$A$2:$T$1001,15,FALSE)</f>
        <v>3</v>
      </c>
      <c r="H862" t="str">
        <f>VLOOKUP(A862,'Remote work mental helath'!$A$2:$T$1001,14,)</f>
        <v>No Change</v>
      </c>
      <c r="I862" t="str">
        <f>VLOOKUP(A862,'Remote work mental helath'!$A$2:$T$1001,16,)</f>
        <v>Unsatisfied</v>
      </c>
      <c r="J862" t="str">
        <f>VLOOKUP(A862,'Remote work mental helath'!$A$2:$T$1001,13,)</f>
        <v>No</v>
      </c>
      <c r="K862">
        <f>VLOOKUP(A862,'Remote work mental helath'!$A$2:$T$1001,17,FALSE)</f>
        <v>4</v>
      </c>
    </row>
    <row r="863" spans="1:11" x14ac:dyDescent="0.3">
      <c r="A863" t="s">
        <v>912</v>
      </c>
      <c r="B863" t="str">
        <f>VLOOKUP(A863,'Remote work mental helath'!$A$2:$T$1001,12,)</f>
        <v>Depression</v>
      </c>
      <c r="C863" t="str">
        <f>VLOOKUP(A863,'Remote work mental helath'!$A$2:$T$1001,11,)</f>
        <v>Low</v>
      </c>
      <c r="D863">
        <f>VLOOKUP('Mental Helath'!A863,'Remote work mental helath'!$A$2:$T$1001,10,)</f>
        <v>1</v>
      </c>
      <c r="E863" t="str">
        <f>VLOOKUP(A863,'Remote work mental helath'!A863:T1862,19,FALSE)</f>
        <v>Poor</v>
      </c>
      <c r="F863" t="str">
        <f>VLOOKUP(A863,'Remote work mental helath'!$A$2:$T$1001,18,)</f>
        <v>None</v>
      </c>
      <c r="G863">
        <f>VLOOKUP(A863,'Remote work mental helath'!$A$2:$T$1001,15,FALSE)</f>
        <v>3</v>
      </c>
      <c r="H863" t="str">
        <f>VLOOKUP(A863,'Remote work mental helath'!$A$2:$T$1001,14,)</f>
        <v>Increase</v>
      </c>
      <c r="I863" t="str">
        <f>VLOOKUP(A863,'Remote work mental helath'!$A$2:$T$1001,16,)</f>
        <v>Neutral</v>
      </c>
      <c r="J863" t="str">
        <f>VLOOKUP(A863,'Remote work mental helath'!$A$2:$T$1001,13,)</f>
        <v>Yes</v>
      </c>
      <c r="K863">
        <f>VLOOKUP(A863,'Remote work mental helath'!$A$2:$T$1001,17,FALSE)</f>
        <v>4</v>
      </c>
    </row>
    <row r="864" spans="1:11" x14ac:dyDescent="0.3">
      <c r="A864" t="s">
        <v>913</v>
      </c>
      <c r="B864" t="str">
        <f>VLOOKUP(A864,'Remote work mental helath'!$A$2:$T$1001,12,)</f>
        <v>Anxiety</v>
      </c>
      <c r="C864" t="str">
        <f>VLOOKUP(A864,'Remote work mental helath'!$A$2:$T$1001,11,)</f>
        <v>Medium</v>
      </c>
      <c r="D864">
        <f>VLOOKUP('Mental Helath'!A864,'Remote work mental helath'!$A$2:$T$1001,10,)</f>
        <v>3</v>
      </c>
      <c r="E864" t="str">
        <f>VLOOKUP(A864,'Remote work mental helath'!A864:T1863,19,FALSE)</f>
        <v>Poor</v>
      </c>
      <c r="F864" t="str">
        <f>VLOOKUP(A864,'Remote work mental helath'!$A$2:$T$1001,18,)</f>
        <v>Daily</v>
      </c>
      <c r="G864">
        <f>VLOOKUP(A864,'Remote work mental helath'!$A$2:$T$1001,15,FALSE)</f>
        <v>5</v>
      </c>
      <c r="H864" t="str">
        <f>VLOOKUP(A864,'Remote work mental helath'!$A$2:$T$1001,14,)</f>
        <v>Increase</v>
      </c>
      <c r="I864" t="str">
        <f>VLOOKUP(A864,'Remote work mental helath'!$A$2:$T$1001,16,)</f>
        <v>Neutral</v>
      </c>
      <c r="J864" t="str">
        <f>VLOOKUP(A864,'Remote work mental helath'!$A$2:$T$1001,13,)</f>
        <v>No</v>
      </c>
      <c r="K864">
        <f>VLOOKUP(A864,'Remote work mental helath'!$A$2:$T$1001,17,FALSE)</f>
        <v>1</v>
      </c>
    </row>
    <row r="865" spans="1:11" x14ac:dyDescent="0.3">
      <c r="A865" t="s">
        <v>914</v>
      </c>
      <c r="B865" t="str">
        <f>VLOOKUP(A865,'Remote work mental helath'!$A$2:$T$1001,12,)</f>
        <v>Depression</v>
      </c>
      <c r="C865" t="str">
        <f>VLOOKUP(A865,'Remote work mental helath'!$A$2:$T$1001,11,)</f>
        <v>High</v>
      </c>
      <c r="D865">
        <f>VLOOKUP('Mental Helath'!A865,'Remote work mental helath'!$A$2:$T$1001,10,)</f>
        <v>2</v>
      </c>
      <c r="E865" t="str">
        <f>VLOOKUP(A865,'Remote work mental helath'!A865:T1864,19,FALSE)</f>
        <v>Poor</v>
      </c>
      <c r="F865" t="str">
        <f>VLOOKUP(A865,'Remote work mental helath'!$A$2:$T$1001,18,)</f>
        <v>Daily</v>
      </c>
      <c r="G865">
        <f>VLOOKUP(A865,'Remote work mental helath'!$A$2:$T$1001,15,FALSE)</f>
        <v>4</v>
      </c>
      <c r="H865" t="str">
        <f>VLOOKUP(A865,'Remote work mental helath'!$A$2:$T$1001,14,)</f>
        <v>No Change</v>
      </c>
      <c r="I865" t="str">
        <f>VLOOKUP(A865,'Remote work mental helath'!$A$2:$T$1001,16,)</f>
        <v>Satisfied</v>
      </c>
      <c r="J865" t="str">
        <f>VLOOKUP(A865,'Remote work mental helath'!$A$2:$T$1001,13,)</f>
        <v>Yes</v>
      </c>
      <c r="K865">
        <f>VLOOKUP(A865,'Remote work mental helath'!$A$2:$T$1001,17,FALSE)</f>
        <v>1</v>
      </c>
    </row>
    <row r="866" spans="1:11" x14ac:dyDescent="0.3">
      <c r="A866" t="s">
        <v>915</v>
      </c>
      <c r="B866" t="str">
        <f>VLOOKUP(A866,'Remote work mental helath'!$A$2:$T$1001,12,)</f>
        <v>None</v>
      </c>
      <c r="C866" t="str">
        <f>VLOOKUP(A866,'Remote work mental helath'!$A$2:$T$1001,11,)</f>
        <v>Medium</v>
      </c>
      <c r="D866">
        <f>VLOOKUP('Mental Helath'!A866,'Remote work mental helath'!$A$2:$T$1001,10,)</f>
        <v>3</v>
      </c>
      <c r="E866" t="str">
        <f>VLOOKUP(A866,'Remote work mental helath'!A866:T1865,19,FALSE)</f>
        <v>Poor</v>
      </c>
      <c r="F866" t="str">
        <f>VLOOKUP(A866,'Remote work mental helath'!$A$2:$T$1001,18,)</f>
        <v>Daily</v>
      </c>
      <c r="G866">
        <f>VLOOKUP(A866,'Remote work mental helath'!$A$2:$T$1001,15,FALSE)</f>
        <v>3</v>
      </c>
      <c r="H866" t="str">
        <f>VLOOKUP(A866,'Remote work mental helath'!$A$2:$T$1001,14,)</f>
        <v>No Change</v>
      </c>
      <c r="I866" t="str">
        <f>VLOOKUP(A866,'Remote work mental helath'!$A$2:$T$1001,16,)</f>
        <v>Unsatisfied</v>
      </c>
      <c r="J866" t="str">
        <f>VLOOKUP(A866,'Remote work mental helath'!$A$2:$T$1001,13,)</f>
        <v>Yes</v>
      </c>
      <c r="K866">
        <f>VLOOKUP(A866,'Remote work mental helath'!$A$2:$T$1001,17,FALSE)</f>
        <v>4</v>
      </c>
    </row>
    <row r="867" spans="1:11" x14ac:dyDescent="0.3">
      <c r="A867" t="s">
        <v>916</v>
      </c>
      <c r="B867" t="str">
        <f>VLOOKUP(A867,'Remote work mental helath'!$A$2:$T$1001,12,)</f>
        <v>None</v>
      </c>
      <c r="C867" t="str">
        <f>VLOOKUP(A867,'Remote work mental helath'!$A$2:$T$1001,11,)</f>
        <v>Low</v>
      </c>
      <c r="D867">
        <f>VLOOKUP('Mental Helath'!A867,'Remote work mental helath'!$A$2:$T$1001,10,)</f>
        <v>2</v>
      </c>
      <c r="E867" t="str">
        <f>VLOOKUP(A867,'Remote work mental helath'!A867:T1866,19,FALSE)</f>
        <v>Average</v>
      </c>
      <c r="F867" t="str">
        <f>VLOOKUP(A867,'Remote work mental helath'!$A$2:$T$1001,18,)</f>
        <v>Weekly</v>
      </c>
      <c r="G867">
        <f>VLOOKUP(A867,'Remote work mental helath'!$A$2:$T$1001,15,FALSE)</f>
        <v>5</v>
      </c>
      <c r="H867" t="str">
        <f>VLOOKUP(A867,'Remote work mental helath'!$A$2:$T$1001,14,)</f>
        <v>No Change</v>
      </c>
      <c r="I867" t="str">
        <f>VLOOKUP(A867,'Remote work mental helath'!$A$2:$T$1001,16,)</f>
        <v>Unsatisfied</v>
      </c>
      <c r="J867" t="str">
        <f>VLOOKUP(A867,'Remote work mental helath'!$A$2:$T$1001,13,)</f>
        <v>Yes</v>
      </c>
      <c r="K867">
        <f>VLOOKUP(A867,'Remote work mental helath'!$A$2:$T$1001,17,FALSE)</f>
        <v>3</v>
      </c>
    </row>
    <row r="868" spans="1:11" x14ac:dyDescent="0.3">
      <c r="A868" t="s">
        <v>917</v>
      </c>
      <c r="B868" t="str">
        <f>VLOOKUP(A868,'Remote work mental helath'!$A$2:$T$1001,12,)</f>
        <v>None</v>
      </c>
      <c r="C868" t="str">
        <f>VLOOKUP(A868,'Remote work mental helath'!$A$2:$T$1001,11,)</f>
        <v>Low</v>
      </c>
      <c r="D868">
        <f>VLOOKUP('Mental Helath'!A868,'Remote work mental helath'!$A$2:$T$1001,10,)</f>
        <v>3</v>
      </c>
      <c r="E868" t="str">
        <f>VLOOKUP(A868,'Remote work mental helath'!A868:T1867,19,FALSE)</f>
        <v>Average</v>
      </c>
      <c r="F868" t="str">
        <f>VLOOKUP(A868,'Remote work mental helath'!$A$2:$T$1001,18,)</f>
        <v>Weekly</v>
      </c>
      <c r="G868">
        <f>VLOOKUP(A868,'Remote work mental helath'!$A$2:$T$1001,15,FALSE)</f>
        <v>4</v>
      </c>
      <c r="H868" t="str">
        <f>VLOOKUP(A868,'Remote work mental helath'!$A$2:$T$1001,14,)</f>
        <v>Decrease</v>
      </c>
      <c r="I868" t="str">
        <f>VLOOKUP(A868,'Remote work mental helath'!$A$2:$T$1001,16,)</f>
        <v>Unsatisfied</v>
      </c>
      <c r="J868" t="str">
        <f>VLOOKUP(A868,'Remote work mental helath'!$A$2:$T$1001,13,)</f>
        <v>No</v>
      </c>
      <c r="K868">
        <f>VLOOKUP(A868,'Remote work mental helath'!$A$2:$T$1001,17,FALSE)</f>
        <v>1</v>
      </c>
    </row>
    <row r="869" spans="1:11" x14ac:dyDescent="0.3">
      <c r="A869" t="s">
        <v>918</v>
      </c>
      <c r="B869" t="str">
        <f>VLOOKUP(A869,'Remote work mental helath'!$A$2:$T$1001,12,)</f>
        <v>None</v>
      </c>
      <c r="C869" t="str">
        <f>VLOOKUP(A869,'Remote work mental helath'!$A$2:$T$1001,11,)</f>
        <v>Low</v>
      </c>
      <c r="D869">
        <f>VLOOKUP('Mental Helath'!A869,'Remote work mental helath'!$A$2:$T$1001,10,)</f>
        <v>4</v>
      </c>
      <c r="E869" t="str">
        <f>VLOOKUP(A869,'Remote work mental helath'!A869:T1868,19,FALSE)</f>
        <v>Good</v>
      </c>
      <c r="F869" t="str">
        <f>VLOOKUP(A869,'Remote work mental helath'!$A$2:$T$1001,18,)</f>
        <v>Daily</v>
      </c>
      <c r="G869">
        <f>VLOOKUP(A869,'Remote work mental helath'!$A$2:$T$1001,15,FALSE)</f>
        <v>2</v>
      </c>
      <c r="H869" t="str">
        <f>VLOOKUP(A869,'Remote work mental helath'!$A$2:$T$1001,14,)</f>
        <v>Decrease</v>
      </c>
      <c r="I869" t="str">
        <f>VLOOKUP(A869,'Remote work mental helath'!$A$2:$T$1001,16,)</f>
        <v>Unsatisfied</v>
      </c>
      <c r="J869" t="str">
        <f>VLOOKUP(A869,'Remote work mental helath'!$A$2:$T$1001,13,)</f>
        <v>Yes</v>
      </c>
      <c r="K869">
        <f>VLOOKUP(A869,'Remote work mental helath'!$A$2:$T$1001,17,FALSE)</f>
        <v>1</v>
      </c>
    </row>
    <row r="870" spans="1:11" x14ac:dyDescent="0.3">
      <c r="A870" t="s">
        <v>919</v>
      </c>
      <c r="B870" t="str">
        <f>VLOOKUP(A870,'Remote work mental helath'!$A$2:$T$1001,12,)</f>
        <v>Anxiety</v>
      </c>
      <c r="C870" t="str">
        <f>VLOOKUP(A870,'Remote work mental helath'!$A$2:$T$1001,11,)</f>
        <v>Medium</v>
      </c>
      <c r="D870">
        <f>VLOOKUP('Mental Helath'!A870,'Remote work mental helath'!$A$2:$T$1001,10,)</f>
        <v>1</v>
      </c>
      <c r="E870" t="str">
        <f>VLOOKUP(A870,'Remote work mental helath'!A870:T1869,19,FALSE)</f>
        <v>Poor</v>
      </c>
      <c r="F870" t="str">
        <f>VLOOKUP(A870,'Remote work mental helath'!$A$2:$T$1001,18,)</f>
        <v>Weekly</v>
      </c>
      <c r="G870">
        <f>VLOOKUP(A870,'Remote work mental helath'!$A$2:$T$1001,15,FALSE)</f>
        <v>2</v>
      </c>
      <c r="H870" t="str">
        <f>VLOOKUP(A870,'Remote work mental helath'!$A$2:$T$1001,14,)</f>
        <v>No Change</v>
      </c>
      <c r="I870" t="str">
        <f>VLOOKUP(A870,'Remote work mental helath'!$A$2:$T$1001,16,)</f>
        <v>Neutral</v>
      </c>
      <c r="J870" t="str">
        <f>VLOOKUP(A870,'Remote work mental helath'!$A$2:$T$1001,13,)</f>
        <v>No</v>
      </c>
      <c r="K870">
        <f>VLOOKUP(A870,'Remote work mental helath'!$A$2:$T$1001,17,FALSE)</f>
        <v>1</v>
      </c>
    </row>
    <row r="871" spans="1:11" x14ac:dyDescent="0.3">
      <c r="A871" t="s">
        <v>920</v>
      </c>
      <c r="B871" t="str">
        <f>VLOOKUP(A871,'Remote work mental helath'!$A$2:$T$1001,12,)</f>
        <v>Burnout</v>
      </c>
      <c r="C871" t="str">
        <f>VLOOKUP(A871,'Remote work mental helath'!$A$2:$T$1001,11,)</f>
        <v>Low</v>
      </c>
      <c r="D871">
        <f>VLOOKUP('Mental Helath'!A871,'Remote work mental helath'!$A$2:$T$1001,10,)</f>
        <v>3</v>
      </c>
      <c r="E871" t="str">
        <f>VLOOKUP(A871,'Remote work mental helath'!A871:T1870,19,FALSE)</f>
        <v>Good</v>
      </c>
      <c r="F871" t="str">
        <f>VLOOKUP(A871,'Remote work mental helath'!$A$2:$T$1001,18,)</f>
        <v>Daily</v>
      </c>
      <c r="G871">
        <f>VLOOKUP(A871,'Remote work mental helath'!$A$2:$T$1001,15,FALSE)</f>
        <v>3</v>
      </c>
      <c r="H871" t="str">
        <f>VLOOKUP(A871,'Remote work mental helath'!$A$2:$T$1001,14,)</f>
        <v>Decrease</v>
      </c>
      <c r="I871" t="str">
        <f>VLOOKUP(A871,'Remote work mental helath'!$A$2:$T$1001,16,)</f>
        <v>Neutral</v>
      </c>
      <c r="J871" t="str">
        <f>VLOOKUP(A871,'Remote work mental helath'!$A$2:$T$1001,13,)</f>
        <v>Yes</v>
      </c>
      <c r="K871">
        <f>VLOOKUP(A871,'Remote work mental helath'!$A$2:$T$1001,17,FALSE)</f>
        <v>4</v>
      </c>
    </row>
    <row r="872" spans="1:11" x14ac:dyDescent="0.3">
      <c r="A872" t="s">
        <v>921</v>
      </c>
      <c r="B872" t="str">
        <f>VLOOKUP(A872,'Remote work mental helath'!$A$2:$T$1001,12,)</f>
        <v>Anxiety</v>
      </c>
      <c r="C872" t="str">
        <f>VLOOKUP(A872,'Remote work mental helath'!$A$2:$T$1001,11,)</f>
        <v>Medium</v>
      </c>
      <c r="D872">
        <f>VLOOKUP('Mental Helath'!A872,'Remote work mental helath'!$A$2:$T$1001,10,)</f>
        <v>5</v>
      </c>
      <c r="E872" t="str">
        <f>VLOOKUP(A872,'Remote work mental helath'!A872:T1871,19,FALSE)</f>
        <v>Good</v>
      </c>
      <c r="F872" t="str">
        <f>VLOOKUP(A872,'Remote work mental helath'!$A$2:$T$1001,18,)</f>
        <v>None</v>
      </c>
      <c r="G872">
        <f>VLOOKUP(A872,'Remote work mental helath'!$A$2:$T$1001,15,FALSE)</f>
        <v>5</v>
      </c>
      <c r="H872" t="str">
        <f>VLOOKUP(A872,'Remote work mental helath'!$A$2:$T$1001,14,)</f>
        <v>No Change</v>
      </c>
      <c r="I872" t="str">
        <f>VLOOKUP(A872,'Remote work mental helath'!$A$2:$T$1001,16,)</f>
        <v>Unsatisfied</v>
      </c>
      <c r="J872" t="str">
        <f>VLOOKUP(A872,'Remote work mental helath'!$A$2:$T$1001,13,)</f>
        <v>Yes</v>
      </c>
      <c r="K872">
        <f>VLOOKUP(A872,'Remote work mental helath'!$A$2:$T$1001,17,FALSE)</f>
        <v>1</v>
      </c>
    </row>
    <row r="873" spans="1:11" x14ac:dyDescent="0.3">
      <c r="A873" t="s">
        <v>922</v>
      </c>
      <c r="B873" t="str">
        <f>VLOOKUP(A873,'Remote work mental helath'!$A$2:$T$1001,12,)</f>
        <v>Burnout</v>
      </c>
      <c r="C873" t="str">
        <f>VLOOKUP(A873,'Remote work mental helath'!$A$2:$T$1001,11,)</f>
        <v>High</v>
      </c>
      <c r="D873">
        <f>VLOOKUP('Mental Helath'!A873,'Remote work mental helath'!$A$2:$T$1001,10,)</f>
        <v>1</v>
      </c>
      <c r="E873" t="str">
        <f>VLOOKUP(A873,'Remote work mental helath'!A873:T1872,19,FALSE)</f>
        <v>Poor</v>
      </c>
      <c r="F873" t="str">
        <f>VLOOKUP(A873,'Remote work mental helath'!$A$2:$T$1001,18,)</f>
        <v>None</v>
      </c>
      <c r="G873">
        <f>VLOOKUP(A873,'Remote work mental helath'!$A$2:$T$1001,15,FALSE)</f>
        <v>3</v>
      </c>
      <c r="H873" t="str">
        <f>VLOOKUP(A873,'Remote work mental helath'!$A$2:$T$1001,14,)</f>
        <v>Decrease</v>
      </c>
      <c r="I873" t="str">
        <f>VLOOKUP(A873,'Remote work mental helath'!$A$2:$T$1001,16,)</f>
        <v>Satisfied</v>
      </c>
      <c r="J873" t="str">
        <f>VLOOKUP(A873,'Remote work mental helath'!$A$2:$T$1001,13,)</f>
        <v>Yes</v>
      </c>
      <c r="K873">
        <f>VLOOKUP(A873,'Remote work mental helath'!$A$2:$T$1001,17,FALSE)</f>
        <v>2</v>
      </c>
    </row>
    <row r="874" spans="1:11" x14ac:dyDescent="0.3">
      <c r="A874" t="s">
        <v>923</v>
      </c>
      <c r="B874" t="str">
        <f>VLOOKUP(A874,'Remote work mental helath'!$A$2:$T$1001,12,)</f>
        <v>Anxiety</v>
      </c>
      <c r="C874" t="str">
        <f>VLOOKUP(A874,'Remote work mental helath'!$A$2:$T$1001,11,)</f>
        <v>Medium</v>
      </c>
      <c r="D874">
        <f>VLOOKUP('Mental Helath'!A874,'Remote work mental helath'!$A$2:$T$1001,10,)</f>
        <v>1</v>
      </c>
      <c r="E874" t="str">
        <f>VLOOKUP(A874,'Remote work mental helath'!A874:T1873,19,FALSE)</f>
        <v>Average</v>
      </c>
      <c r="F874" t="str">
        <f>VLOOKUP(A874,'Remote work mental helath'!$A$2:$T$1001,18,)</f>
        <v>Weekly</v>
      </c>
      <c r="G874">
        <f>VLOOKUP(A874,'Remote work mental helath'!$A$2:$T$1001,15,FALSE)</f>
        <v>5</v>
      </c>
      <c r="H874" t="str">
        <f>VLOOKUP(A874,'Remote work mental helath'!$A$2:$T$1001,14,)</f>
        <v>Increase</v>
      </c>
      <c r="I874" t="str">
        <f>VLOOKUP(A874,'Remote work mental helath'!$A$2:$T$1001,16,)</f>
        <v>Neutral</v>
      </c>
      <c r="J874" t="str">
        <f>VLOOKUP(A874,'Remote work mental helath'!$A$2:$T$1001,13,)</f>
        <v>No</v>
      </c>
      <c r="K874">
        <f>VLOOKUP(A874,'Remote work mental helath'!$A$2:$T$1001,17,FALSE)</f>
        <v>2</v>
      </c>
    </row>
    <row r="875" spans="1:11" x14ac:dyDescent="0.3">
      <c r="A875" t="s">
        <v>924</v>
      </c>
      <c r="B875" t="str">
        <f>VLOOKUP(A875,'Remote work mental helath'!$A$2:$T$1001,12,)</f>
        <v>Burnout</v>
      </c>
      <c r="C875" t="str">
        <f>VLOOKUP(A875,'Remote work mental helath'!$A$2:$T$1001,11,)</f>
        <v>High</v>
      </c>
      <c r="D875">
        <f>VLOOKUP('Mental Helath'!A875,'Remote work mental helath'!$A$2:$T$1001,10,)</f>
        <v>1</v>
      </c>
      <c r="E875" t="str">
        <f>VLOOKUP(A875,'Remote work mental helath'!A875:T1874,19,FALSE)</f>
        <v>Poor</v>
      </c>
      <c r="F875" t="str">
        <f>VLOOKUP(A875,'Remote work mental helath'!$A$2:$T$1001,18,)</f>
        <v>Weekly</v>
      </c>
      <c r="G875">
        <f>VLOOKUP(A875,'Remote work mental helath'!$A$2:$T$1001,15,FALSE)</f>
        <v>4</v>
      </c>
      <c r="H875" t="str">
        <f>VLOOKUP(A875,'Remote work mental helath'!$A$2:$T$1001,14,)</f>
        <v>No Change</v>
      </c>
      <c r="I875" t="str">
        <f>VLOOKUP(A875,'Remote work mental helath'!$A$2:$T$1001,16,)</f>
        <v>Neutral</v>
      </c>
      <c r="J875" t="str">
        <f>VLOOKUP(A875,'Remote work mental helath'!$A$2:$T$1001,13,)</f>
        <v>Yes</v>
      </c>
      <c r="K875">
        <f>VLOOKUP(A875,'Remote work mental helath'!$A$2:$T$1001,17,FALSE)</f>
        <v>1</v>
      </c>
    </row>
    <row r="876" spans="1:11" x14ac:dyDescent="0.3">
      <c r="A876" t="s">
        <v>925</v>
      </c>
      <c r="B876" t="str">
        <f>VLOOKUP(A876,'Remote work mental helath'!$A$2:$T$1001,12,)</f>
        <v>None</v>
      </c>
      <c r="C876" t="str">
        <f>VLOOKUP(A876,'Remote work mental helath'!$A$2:$T$1001,11,)</f>
        <v>Low</v>
      </c>
      <c r="D876">
        <f>VLOOKUP('Mental Helath'!A876,'Remote work mental helath'!$A$2:$T$1001,10,)</f>
        <v>4</v>
      </c>
      <c r="E876" t="str">
        <f>VLOOKUP(A876,'Remote work mental helath'!A876:T1875,19,FALSE)</f>
        <v>Poor</v>
      </c>
      <c r="F876" t="str">
        <f>VLOOKUP(A876,'Remote work mental helath'!$A$2:$T$1001,18,)</f>
        <v>Daily</v>
      </c>
      <c r="G876">
        <f>VLOOKUP(A876,'Remote work mental helath'!$A$2:$T$1001,15,FALSE)</f>
        <v>4</v>
      </c>
      <c r="H876" t="str">
        <f>VLOOKUP(A876,'Remote work mental helath'!$A$2:$T$1001,14,)</f>
        <v>No Change</v>
      </c>
      <c r="I876" t="str">
        <f>VLOOKUP(A876,'Remote work mental helath'!$A$2:$T$1001,16,)</f>
        <v>Neutral</v>
      </c>
      <c r="J876" t="str">
        <f>VLOOKUP(A876,'Remote work mental helath'!$A$2:$T$1001,13,)</f>
        <v>No</v>
      </c>
      <c r="K876">
        <f>VLOOKUP(A876,'Remote work mental helath'!$A$2:$T$1001,17,FALSE)</f>
        <v>3</v>
      </c>
    </row>
    <row r="877" spans="1:11" x14ac:dyDescent="0.3">
      <c r="A877" t="s">
        <v>926</v>
      </c>
      <c r="B877" t="str">
        <f>VLOOKUP(A877,'Remote work mental helath'!$A$2:$T$1001,12,)</f>
        <v>Burnout</v>
      </c>
      <c r="C877" t="str">
        <f>VLOOKUP(A877,'Remote work mental helath'!$A$2:$T$1001,11,)</f>
        <v>Low</v>
      </c>
      <c r="D877">
        <f>VLOOKUP('Mental Helath'!A877,'Remote work mental helath'!$A$2:$T$1001,10,)</f>
        <v>3</v>
      </c>
      <c r="E877" t="str">
        <f>VLOOKUP(A877,'Remote work mental helath'!A877:T1876,19,FALSE)</f>
        <v>Average</v>
      </c>
      <c r="F877" t="str">
        <f>VLOOKUP(A877,'Remote work mental helath'!$A$2:$T$1001,18,)</f>
        <v>None</v>
      </c>
      <c r="G877">
        <f>VLOOKUP(A877,'Remote work mental helath'!$A$2:$T$1001,15,FALSE)</f>
        <v>4</v>
      </c>
      <c r="H877" t="str">
        <f>VLOOKUP(A877,'Remote work mental helath'!$A$2:$T$1001,14,)</f>
        <v>Decrease</v>
      </c>
      <c r="I877" t="str">
        <f>VLOOKUP(A877,'Remote work mental helath'!$A$2:$T$1001,16,)</f>
        <v>Satisfied</v>
      </c>
      <c r="J877" t="str">
        <f>VLOOKUP(A877,'Remote work mental helath'!$A$2:$T$1001,13,)</f>
        <v>Yes</v>
      </c>
      <c r="K877">
        <f>VLOOKUP(A877,'Remote work mental helath'!$A$2:$T$1001,17,FALSE)</f>
        <v>5</v>
      </c>
    </row>
    <row r="878" spans="1:11" x14ac:dyDescent="0.3">
      <c r="A878" t="s">
        <v>927</v>
      </c>
      <c r="B878" t="str">
        <f>VLOOKUP(A878,'Remote work mental helath'!$A$2:$T$1001,12,)</f>
        <v>Depression</v>
      </c>
      <c r="C878" t="str">
        <f>VLOOKUP(A878,'Remote work mental helath'!$A$2:$T$1001,11,)</f>
        <v>Low</v>
      </c>
      <c r="D878">
        <f>VLOOKUP('Mental Helath'!A878,'Remote work mental helath'!$A$2:$T$1001,10,)</f>
        <v>3</v>
      </c>
      <c r="E878" t="str">
        <f>VLOOKUP(A878,'Remote work mental helath'!A878:T1877,19,FALSE)</f>
        <v>Average</v>
      </c>
      <c r="F878" t="str">
        <f>VLOOKUP(A878,'Remote work mental helath'!$A$2:$T$1001,18,)</f>
        <v>Daily</v>
      </c>
      <c r="G878">
        <f>VLOOKUP(A878,'Remote work mental helath'!$A$2:$T$1001,15,FALSE)</f>
        <v>2</v>
      </c>
      <c r="H878" t="str">
        <f>VLOOKUP(A878,'Remote work mental helath'!$A$2:$T$1001,14,)</f>
        <v>No Change</v>
      </c>
      <c r="I878" t="str">
        <f>VLOOKUP(A878,'Remote work mental helath'!$A$2:$T$1001,16,)</f>
        <v>Satisfied</v>
      </c>
      <c r="J878" t="str">
        <f>VLOOKUP(A878,'Remote work mental helath'!$A$2:$T$1001,13,)</f>
        <v>No</v>
      </c>
      <c r="K878">
        <f>VLOOKUP(A878,'Remote work mental helath'!$A$2:$T$1001,17,FALSE)</f>
        <v>2</v>
      </c>
    </row>
    <row r="879" spans="1:11" x14ac:dyDescent="0.3">
      <c r="A879" t="s">
        <v>928</v>
      </c>
      <c r="B879" t="str">
        <f>VLOOKUP(A879,'Remote work mental helath'!$A$2:$T$1001,12,)</f>
        <v>Depression</v>
      </c>
      <c r="C879" t="str">
        <f>VLOOKUP(A879,'Remote work mental helath'!$A$2:$T$1001,11,)</f>
        <v>High</v>
      </c>
      <c r="D879">
        <f>VLOOKUP('Mental Helath'!A879,'Remote work mental helath'!$A$2:$T$1001,10,)</f>
        <v>3</v>
      </c>
      <c r="E879" t="str">
        <f>VLOOKUP(A879,'Remote work mental helath'!A879:T1878,19,FALSE)</f>
        <v>Good</v>
      </c>
      <c r="F879" t="str">
        <f>VLOOKUP(A879,'Remote work mental helath'!$A$2:$T$1001,18,)</f>
        <v>None</v>
      </c>
      <c r="G879">
        <f>VLOOKUP(A879,'Remote work mental helath'!$A$2:$T$1001,15,FALSE)</f>
        <v>1</v>
      </c>
      <c r="H879" t="str">
        <f>VLOOKUP(A879,'Remote work mental helath'!$A$2:$T$1001,14,)</f>
        <v>No Change</v>
      </c>
      <c r="I879" t="str">
        <f>VLOOKUP(A879,'Remote work mental helath'!$A$2:$T$1001,16,)</f>
        <v>Neutral</v>
      </c>
      <c r="J879" t="str">
        <f>VLOOKUP(A879,'Remote work mental helath'!$A$2:$T$1001,13,)</f>
        <v>No</v>
      </c>
      <c r="K879">
        <f>VLOOKUP(A879,'Remote work mental helath'!$A$2:$T$1001,17,FALSE)</f>
        <v>4</v>
      </c>
    </row>
    <row r="880" spans="1:11" x14ac:dyDescent="0.3">
      <c r="A880" t="s">
        <v>929</v>
      </c>
      <c r="B880" t="str">
        <f>VLOOKUP(A880,'Remote work mental helath'!$A$2:$T$1001,12,)</f>
        <v>Anxiety</v>
      </c>
      <c r="C880" t="str">
        <f>VLOOKUP(A880,'Remote work mental helath'!$A$2:$T$1001,11,)</f>
        <v>Low</v>
      </c>
      <c r="D880">
        <f>VLOOKUP('Mental Helath'!A880,'Remote work mental helath'!$A$2:$T$1001,10,)</f>
        <v>4</v>
      </c>
      <c r="E880" t="str">
        <f>VLOOKUP(A880,'Remote work mental helath'!A880:T1879,19,FALSE)</f>
        <v>Average</v>
      </c>
      <c r="F880" t="str">
        <f>VLOOKUP(A880,'Remote work mental helath'!$A$2:$T$1001,18,)</f>
        <v>Daily</v>
      </c>
      <c r="G880">
        <f>VLOOKUP(A880,'Remote work mental helath'!$A$2:$T$1001,15,FALSE)</f>
        <v>3</v>
      </c>
      <c r="H880" t="str">
        <f>VLOOKUP(A880,'Remote work mental helath'!$A$2:$T$1001,14,)</f>
        <v>No Change</v>
      </c>
      <c r="I880" t="str">
        <f>VLOOKUP(A880,'Remote work mental helath'!$A$2:$T$1001,16,)</f>
        <v>Satisfied</v>
      </c>
      <c r="J880" t="str">
        <f>VLOOKUP(A880,'Remote work mental helath'!$A$2:$T$1001,13,)</f>
        <v>No</v>
      </c>
      <c r="K880">
        <f>VLOOKUP(A880,'Remote work mental helath'!$A$2:$T$1001,17,FALSE)</f>
        <v>4</v>
      </c>
    </row>
    <row r="881" spans="1:11" x14ac:dyDescent="0.3">
      <c r="A881" t="s">
        <v>930</v>
      </c>
      <c r="B881" t="str">
        <f>VLOOKUP(A881,'Remote work mental helath'!$A$2:$T$1001,12,)</f>
        <v>Anxiety</v>
      </c>
      <c r="C881" t="str">
        <f>VLOOKUP(A881,'Remote work mental helath'!$A$2:$T$1001,11,)</f>
        <v>High</v>
      </c>
      <c r="D881">
        <f>VLOOKUP('Mental Helath'!A881,'Remote work mental helath'!$A$2:$T$1001,10,)</f>
        <v>5</v>
      </c>
      <c r="E881" t="str">
        <f>VLOOKUP(A881,'Remote work mental helath'!A881:T1880,19,FALSE)</f>
        <v>Average</v>
      </c>
      <c r="F881" t="str">
        <f>VLOOKUP(A881,'Remote work mental helath'!$A$2:$T$1001,18,)</f>
        <v>Daily</v>
      </c>
      <c r="G881">
        <f>VLOOKUP(A881,'Remote work mental helath'!$A$2:$T$1001,15,FALSE)</f>
        <v>4</v>
      </c>
      <c r="H881" t="str">
        <f>VLOOKUP(A881,'Remote work mental helath'!$A$2:$T$1001,14,)</f>
        <v>Decrease</v>
      </c>
      <c r="I881" t="str">
        <f>VLOOKUP(A881,'Remote work mental helath'!$A$2:$T$1001,16,)</f>
        <v>Unsatisfied</v>
      </c>
      <c r="J881" t="str">
        <f>VLOOKUP(A881,'Remote work mental helath'!$A$2:$T$1001,13,)</f>
        <v>No</v>
      </c>
      <c r="K881">
        <f>VLOOKUP(A881,'Remote work mental helath'!$A$2:$T$1001,17,FALSE)</f>
        <v>1</v>
      </c>
    </row>
    <row r="882" spans="1:11" x14ac:dyDescent="0.3">
      <c r="A882" t="s">
        <v>931</v>
      </c>
      <c r="B882" t="str">
        <f>VLOOKUP(A882,'Remote work mental helath'!$A$2:$T$1001,12,)</f>
        <v>None</v>
      </c>
      <c r="C882" t="str">
        <f>VLOOKUP(A882,'Remote work mental helath'!$A$2:$T$1001,11,)</f>
        <v>Low</v>
      </c>
      <c r="D882">
        <f>VLOOKUP('Mental Helath'!A882,'Remote work mental helath'!$A$2:$T$1001,10,)</f>
        <v>2</v>
      </c>
      <c r="E882" t="str">
        <f>VLOOKUP(A882,'Remote work mental helath'!A882:T1881,19,FALSE)</f>
        <v>Poor</v>
      </c>
      <c r="F882" t="str">
        <f>VLOOKUP(A882,'Remote work mental helath'!$A$2:$T$1001,18,)</f>
        <v>Weekly</v>
      </c>
      <c r="G882">
        <f>VLOOKUP(A882,'Remote work mental helath'!$A$2:$T$1001,15,FALSE)</f>
        <v>2</v>
      </c>
      <c r="H882" t="str">
        <f>VLOOKUP(A882,'Remote work mental helath'!$A$2:$T$1001,14,)</f>
        <v>Increase</v>
      </c>
      <c r="I882" t="str">
        <f>VLOOKUP(A882,'Remote work mental helath'!$A$2:$T$1001,16,)</f>
        <v>Satisfied</v>
      </c>
      <c r="J882" t="str">
        <f>VLOOKUP(A882,'Remote work mental helath'!$A$2:$T$1001,13,)</f>
        <v>No</v>
      </c>
      <c r="K882">
        <f>VLOOKUP(A882,'Remote work mental helath'!$A$2:$T$1001,17,FALSE)</f>
        <v>4</v>
      </c>
    </row>
    <row r="883" spans="1:11" x14ac:dyDescent="0.3">
      <c r="A883" t="s">
        <v>932</v>
      </c>
      <c r="B883" t="str">
        <f>VLOOKUP(A883,'Remote work mental helath'!$A$2:$T$1001,12,)</f>
        <v>None</v>
      </c>
      <c r="C883" t="str">
        <f>VLOOKUP(A883,'Remote work mental helath'!$A$2:$T$1001,11,)</f>
        <v>Low</v>
      </c>
      <c r="D883">
        <f>VLOOKUP('Mental Helath'!A883,'Remote work mental helath'!$A$2:$T$1001,10,)</f>
        <v>5</v>
      </c>
      <c r="E883" t="str">
        <f>VLOOKUP(A883,'Remote work mental helath'!A883:T1882,19,FALSE)</f>
        <v>Good</v>
      </c>
      <c r="F883" t="str">
        <f>VLOOKUP(A883,'Remote work mental helath'!$A$2:$T$1001,18,)</f>
        <v>Weekly</v>
      </c>
      <c r="G883">
        <f>VLOOKUP(A883,'Remote work mental helath'!$A$2:$T$1001,15,FALSE)</f>
        <v>4</v>
      </c>
      <c r="H883" t="str">
        <f>VLOOKUP(A883,'Remote work mental helath'!$A$2:$T$1001,14,)</f>
        <v>Increase</v>
      </c>
      <c r="I883" t="str">
        <f>VLOOKUP(A883,'Remote work mental helath'!$A$2:$T$1001,16,)</f>
        <v>Unsatisfied</v>
      </c>
      <c r="J883" t="str">
        <f>VLOOKUP(A883,'Remote work mental helath'!$A$2:$T$1001,13,)</f>
        <v>Yes</v>
      </c>
      <c r="K883">
        <f>VLOOKUP(A883,'Remote work mental helath'!$A$2:$T$1001,17,FALSE)</f>
        <v>5</v>
      </c>
    </row>
    <row r="884" spans="1:11" x14ac:dyDescent="0.3">
      <c r="A884" t="s">
        <v>933</v>
      </c>
      <c r="B884" t="str">
        <f>VLOOKUP(A884,'Remote work mental helath'!$A$2:$T$1001,12,)</f>
        <v>Depression</v>
      </c>
      <c r="C884" t="str">
        <f>VLOOKUP(A884,'Remote work mental helath'!$A$2:$T$1001,11,)</f>
        <v>High</v>
      </c>
      <c r="D884">
        <f>VLOOKUP('Mental Helath'!A884,'Remote work mental helath'!$A$2:$T$1001,10,)</f>
        <v>1</v>
      </c>
      <c r="E884" t="str">
        <f>VLOOKUP(A884,'Remote work mental helath'!A884:T1883,19,FALSE)</f>
        <v>Poor</v>
      </c>
      <c r="F884" t="str">
        <f>VLOOKUP(A884,'Remote work mental helath'!$A$2:$T$1001,18,)</f>
        <v>Weekly</v>
      </c>
      <c r="G884">
        <f>VLOOKUP(A884,'Remote work mental helath'!$A$2:$T$1001,15,FALSE)</f>
        <v>5</v>
      </c>
      <c r="H884" t="str">
        <f>VLOOKUP(A884,'Remote work mental helath'!$A$2:$T$1001,14,)</f>
        <v>Increase</v>
      </c>
      <c r="I884" t="str">
        <f>VLOOKUP(A884,'Remote work mental helath'!$A$2:$T$1001,16,)</f>
        <v>Unsatisfied</v>
      </c>
      <c r="J884" t="str">
        <f>VLOOKUP(A884,'Remote work mental helath'!$A$2:$T$1001,13,)</f>
        <v>Yes</v>
      </c>
      <c r="K884">
        <f>VLOOKUP(A884,'Remote work mental helath'!$A$2:$T$1001,17,FALSE)</f>
        <v>5</v>
      </c>
    </row>
    <row r="885" spans="1:11" x14ac:dyDescent="0.3">
      <c r="A885" t="s">
        <v>934</v>
      </c>
      <c r="B885" t="str">
        <f>VLOOKUP(A885,'Remote work mental helath'!$A$2:$T$1001,12,)</f>
        <v>Anxiety</v>
      </c>
      <c r="C885" t="str">
        <f>VLOOKUP(A885,'Remote work mental helath'!$A$2:$T$1001,11,)</f>
        <v>High</v>
      </c>
      <c r="D885">
        <f>VLOOKUP('Mental Helath'!A885,'Remote work mental helath'!$A$2:$T$1001,10,)</f>
        <v>1</v>
      </c>
      <c r="E885" t="str">
        <f>VLOOKUP(A885,'Remote work mental helath'!A885:T1884,19,FALSE)</f>
        <v>Poor</v>
      </c>
      <c r="F885" t="str">
        <f>VLOOKUP(A885,'Remote work mental helath'!$A$2:$T$1001,18,)</f>
        <v>Daily</v>
      </c>
      <c r="G885">
        <f>VLOOKUP(A885,'Remote work mental helath'!$A$2:$T$1001,15,FALSE)</f>
        <v>4</v>
      </c>
      <c r="H885" t="str">
        <f>VLOOKUP(A885,'Remote work mental helath'!$A$2:$T$1001,14,)</f>
        <v>Increase</v>
      </c>
      <c r="I885" t="str">
        <f>VLOOKUP(A885,'Remote work mental helath'!$A$2:$T$1001,16,)</f>
        <v>Unsatisfied</v>
      </c>
      <c r="J885" t="str">
        <f>VLOOKUP(A885,'Remote work mental helath'!$A$2:$T$1001,13,)</f>
        <v>Yes</v>
      </c>
      <c r="K885">
        <f>VLOOKUP(A885,'Remote work mental helath'!$A$2:$T$1001,17,FALSE)</f>
        <v>1</v>
      </c>
    </row>
    <row r="886" spans="1:11" x14ac:dyDescent="0.3">
      <c r="A886" t="s">
        <v>935</v>
      </c>
      <c r="B886" t="str">
        <f>VLOOKUP(A886,'Remote work mental helath'!$A$2:$T$1001,12,)</f>
        <v>Anxiety</v>
      </c>
      <c r="C886" t="str">
        <f>VLOOKUP(A886,'Remote work mental helath'!$A$2:$T$1001,11,)</f>
        <v>High</v>
      </c>
      <c r="D886">
        <f>VLOOKUP('Mental Helath'!A886,'Remote work mental helath'!$A$2:$T$1001,10,)</f>
        <v>2</v>
      </c>
      <c r="E886" t="str">
        <f>VLOOKUP(A886,'Remote work mental helath'!A886:T1885,19,FALSE)</f>
        <v>Average</v>
      </c>
      <c r="F886" t="str">
        <f>VLOOKUP(A886,'Remote work mental helath'!$A$2:$T$1001,18,)</f>
        <v>None</v>
      </c>
      <c r="G886">
        <f>VLOOKUP(A886,'Remote work mental helath'!$A$2:$T$1001,15,FALSE)</f>
        <v>3</v>
      </c>
      <c r="H886" t="str">
        <f>VLOOKUP(A886,'Remote work mental helath'!$A$2:$T$1001,14,)</f>
        <v>Increase</v>
      </c>
      <c r="I886" t="str">
        <f>VLOOKUP(A886,'Remote work mental helath'!$A$2:$T$1001,16,)</f>
        <v>Unsatisfied</v>
      </c>
      <c r="J886" t="str">
        <f>VLOOKUP(A886,'Remote work mental helath'!$A$2:$T$1001,13,)</f>
        <v>No</v>
      </c>
      <c r="K886">
        <f>VLOOKUP(A886,'Remote work mental helath'!$A$2:$T$1001,17,FALSE)</f>
        <v>2</v>
      </c>
    </row>
    <row r="887" spans="1:11" x14ac:dyDescent="0.3">
      <c r="A887" t="s">
        <v>936</v>
      </c>
      <c r="B887" t="str">
        <f>VLOOKUP(A887,'Remote work mental helath'!$A$2:$T$1001,12,)</f>
        <v>None</v>
      </c>
      <c r="C887" t="str">
        <f>VLOOKUP(A887,'Remote work mental helath'!$A$2:$T$1001,11,)</f>
        <v>High</v>
      </c>
      <c r="D887">
        <f>VLOOKUP('Mental Helath'!A887,'Remote work mental helath'!$A$2:$T$1001,10,)</f>
        <v>1</v>
      </c>
      <c r="E887" t="str">
        <f>VLOOKUP(A887,'Remote work mental helath'!A887:T1886,19,FALSE)</f>
        <v>Poor</v>
      </c>
      <c r="F887" t="str">
        <f>VLOOKUP(A887,'Remote work mental helath'!$A$2:$T$1001,18,)</f>
        <v>Daily</v>
      </c>
      <c r="G887">
        <f>VLOOKUP(A887,'Remote work mental helath'!$A$2:$T$1001,15,FALSE)</f>
        <v>3</v>
      </c>
      <c r="H887" t="str">
        <f>VLOOKUP(A887,'Remote work mental helath'!$A$2:$T$1001,14,)</f>
        <v>No Change</v>
      </c>
      <c r="I887" t="str">
        <f>VLOOKUP(A887,'Remote work mental helath'!$A$2:$T$1001,16,)</f>
        <v>Unsatisfied</v>
      </c>
      <c r="J887" t="str">
        <f>VLOOKUP(A887,'Remote work mental helath'!$A$2:$T$1001,13,)</f>
        <v>No</v>
      </c>
      <c r="K887">
        <f>VLOOKUP(A887,'Remote work mental helath'!$A$2:$T$1001,17,FALSE)</f>
        <v>2</v>
      </c>
    </row>
    <row r="888" spans="1:11" x14ac:dyDescent="0.3">
      <c r="A888" t="s">
        <v>937</v>
      </c>
      <c r="B888" t="str">
        <f>VLOOKUP(A888,'Remote work mental helath'!$A$2:$T$1001,12,)</f>
        <v>Depression</v>
      </c>
      <c r="C888" t="str">
        <f>VLOOKUP(A888,'Remote work mental helath'!$A$2:$T$1001,11,)</f>
        <v>Medium</v>
      </c>
      <c r="D888">
        <f>VLOOKUP('Mental Helath'!A888,'Remote work mental helath'!$A$2:$T$1001,10,)</f>
        <v>5</v>
      </c>
      <c r="E888" t="str">
        <f>VLOOKUP(A888,'Remote work mental helath'!A888:T1887,19,FALSE)</f>
        <v>Average</v>
      </c>
      <c r="F888" t="str">
        <f>VLOOKUP(A888,'Remote work mental helath'!$A$2:$T$1001,18,)</f>
        <v>Weekly</v>
      </c>
      <c r="G888">
        <f>VLOOKUP(A888,'Remote work mental helath'!$A$2:$T$1001,15,FALSE)</f>
        <v>4</v>
      </c>
      <c r="H888" t="str">
        <f>VLOOKUP(A888,'Remote work mental helath'!$A$2:$T$1001,14,)</f>
        <v>No Change</v>
      </c>
      <c r="I888" t="str">
        <f>VLOOKUP(A888,'Remote work mental helath'!$A$2:$T$1001,16,)</f>
        <v>Neutral</v>
      </c>
      <c r="J888" t="str">
        <f>VLOOKUP(A888,'Remote work mental helath'!$A$2:$T$1001,13,)</f>
        <v>No</v>
      </c>
      <c r="K888">
        <f>VLOOKUP(A888,'Remote work mental helath'!$A$2:$T$1001,17,FALSE)</f>
        <v>2</v>
      </c>
    </row>
    <row r="889" spans="1:11" x14ac:dyDescent="0.3">
      <c r="A889" t="s">
        <v>938</v>
      </c>
      <c r="B889" t="str">
        <f>VLOOKUP(A889,'Remote work mental helath'!$A$2:$T$1001,12,)</f>
        <v>Burnout</v>
      </c>
      <c r="C889" t="str">
        <f>VLOOKUP(A889,'Remote work mental helath'!$A$2:$T$1001,11,)</f>
        <v>Low</v>
      </c>
      <c r="D889">
        <f>VLOOKUP('Mental Helath'!A889,'Remote work mental helath'!$A$2:$T$1001,10,)</f>
        <v>2</v>
      </c>
      <c r="E889" t="str">
        <f>VLOOKUP(A889,'Remote work mental helath'!A889:T1888,19,FALSE)</f>
        <v>Good</v>
      </c>
      <c r="F889" t="str">
        <f>VLOOKUP(A889,'Remote work mental helath'!$A$2:$T$1001,18,)</f>
        <v>None</v>
      </c>
      <c r="G889">
        <f>VLOOKUP(A889,'Remote work mental helath'!$A$2:$T$1001,15,FALSE)</f>
        <v>2</v>
      </c>
      <c r="H889" t="str">
        <f>VLOOKUP(A889,'Remote work mental helath'!$A$2:$T$1001,14,)</f>
        <v>Increase</v>
      </c>
      <c r="I889" t="str">
        <f>VLOOKUP(A889,'Remote work mental helath'!$A$2:$T$1001,16,)</f>
        <v>Neutral</v>
      </c>
      <c r="J889" t="str">
        <f>VLOOKUP(A889,'Remote work mental helath'!$A$2:$T$1001,13,)</f>
        <v>Yes</v>
      </c>
      <c r="K889">
        <f>VLOOKUP(A889,'Remote work mental helath'!$A$2:$T$1001,17,FALSE)</f>
        <v>5</v>
      </c>
    </row>
    <row r="890" spans="1:11" x14ac:dyDescent="0.3">
      <c r="A890" t="s">
        <v>939</v>
      </c>
      <c r="B890" t="str">
        <f>VLOOKUP(A890,'Remote work mental helath'!$A$2:$T$1001,12,)</f>
        <v>Anxiety</v>
      </c>
      <c r="C890" t="str">
        <f>VLOOKUP(A890,'Remote work mental helath'!$A$2:$T$1001,11,)</f>
        <v>Low</v>
      </c>
      <c r="D890">
        <f>VLOOKUP('Mental Helath'!A890,'Remote work mental helath'!$A$2:$T$1001,10,)</f>
        <v>4</v>
      </c>
      <c r="E890" t="str">
        <f>VLOOKUP(A890,'Remote work mental helath'!A890:T1889,19,FALSE)</f>
        <v>Average</v>
      </c>
      <c r="F890" t="str">
        <f>VLOOKUP(A890,'Remote work mental helath'!$A$2:$T$1001,18,)</f>
        <v>Weekly</v>
      </c>
      <c r="G890">
        <f>VLOOKUP(A890,'Remote work mental helath'!$A$2:$T$1001,15,FALSE)</f>
        <v>3</v>
      </c>
      <c r="H890" t="str">
        <f>VLOOKUP(A890,'Remote work mental helath'!$A$2:$T$1001,14,)</f>
        <v>Decrease</v>
      </c>
      <c r="I890" t="str">
        <f>VLOOKUP(A890,'Remote work mental helath'!$A$2:$T$1001,16,)</f>
        <v>Unsatisfied</v>
      </c>
      <c r="J890" t="str">
        <f>VLOOKUP(A890,'Remote work mental helath'!$A$2:$T$1001,13,)</f>
        <v>Yes</v>
      </c>
      <c r="K890">
        <f>VLOOKUP(A890,'Remote work mental helath'!$A$2:$T$1001,17,FALSE)</f>
        <v>4</v>
      </c>
    </row>
    <row r="891" spans="1:11" x14ac:dyDescent="0.3">
      <c r="A891" t="s">
        <v>940</v>
      </c>
      <c r="B891" t="str">
        <f>VLOOKUP(A891,'Remote work mental helath'!$A$2:$T$1001,12,)</f>
        <v>Burnout</v>
      </c>
      <c r="C891" t="str">
        <f>VLOOKUP(A891,'Remote work mental helath'!$A$2:$T$1001,11,)</f>
        <v>Medium</v>
      </c>
      <c r="D891">
        <f>VLOOKUP('Mental Helath'!A891,'Remote work mental helath'!$A$2:$T$1001,10,)</f>
        <v>4</v>
      </c>
      <c r="E891" t="str">
        <f>VLOOKUP(A891,'Remote work mental helath'!A891:T1890,19,FALSE)</f>
        <v>Good</v>
      </c>
      <c r="F891" t="str">
        <f>VLOOKUP(A891,'Remote work mental helath'!$A$2:$T$1001,18,)</f>
        <v>Weekly</v>
      </c>
      <c r="G891">
        <f>VLOOKUP(A891,'Remote work mental helath'!$A$2:$T$1001,15,FALSE)</f>
        <v>2</v>
      </c>
      <c r="H891" t="str">
        <f>VLOOKUP(A891,'Remote work mental helath'!$A$2:$T$1001,14,)</f>
        <v>Decrease</v>
      </c>
      <c r="I891" t="str">
        <f>VLOOKUP(A891,'Remote work mental helath'!$A$2:$T$1001,16,)</f>
        <v>Satisfied</v>
      </c>
      <c r="J891" t="str">
        <f>VLOOKUP(A891,'Remote work mental helath'!$A$2:$T$1001,13,)</f>
        <v>No</v>
      </c>
      <c r="K891">
        <f>VLOOKUP(A891,'Remote work mental helath'!$A$2:$T$1001,17,FALSE)</f>
        <v>5</v>
      </c>
    </row>
    <row r="892" spans="1:11" x14ac:dyDescent="0.3">
      <c r="A892" t="s">
        <v>941</v>
      </c>
      <c r="B892" t="str">
        <f>VLOOKUP(A892,'Remote work mental helath'!$A$2:$T$1001,12,)</f>
        <v>None</v>
      </c>
      <c r="C892" t="str">
        <f>VLOOKUP(A892,'Remote work mental helath'!$A$2:$T$1001,11,)</f>
        <v>Low</v>
      </c>
      <c r="D892">
        <f>VLOOKUP('Mental Helath'!A892,'Remote work mental helath'!$A$2:$T$1001,10,)</f>
        <v>4</v>
      </c>
      <c r="E892" t="str">
        <f>VLOOKUP(A892,'Remote work mental helath'!A892:T1891,19,FALSE)</f>
        <v>Average</v>
      </c>
      <c r="F892" t="str">
        <f>VLOOKUP(A892,'Remote work mental helath'!$A$2:$T$1001,18,)</f>
        <v>Weekly</v>
      </c>
      <c r="G892">
        <f>VLOOKUP(A892,'Remote work mental helath'!$A$2:$T$1001,15,FALSE)</f>
        <v>4</v>
      </c>
      <c r="H892" t="str">
        <f>VLOOKUP(A892,'Remote work mental helath'!$A$2:$T$1001,14,)</f>
        <v>Increase</v>
      </c>
      <c r="I892" t="str">
        <f>VLOOKUP(A892,'Remote work mental helath'!$A$2:$T$1001,16,)</f>
        <v>Neutral</v>
      </c>
      <c r="J892" t="str">
        <f>VLOOKUP(A892,'Remote work mental helath'!$A$2:$T$1001,13,)</f>
        <v>Yes</v>
      </c>
      <c r="K892">
        <f>VLOOKUP(A892,'Remote work mental helath'!$A$2:$T$1001,17,FALSE)</f>
        <v>5</v>
      </c>
    </row>
    <row r="893" spans="1:11" x14ac:dyDescent="0.3">
      <c r="A893" t="s">
        <v>942</v>
      </c>
      <c r="B893" t="str">
        <f>VLOOKUP(A893,'Remote work mental helath'!$A$2:$T$1001,12,)</f>
        <v>Anxiety</v>
      </c>
      <c r="C893" t="str">
        <f>VLOOKUP(A893,'Remote work mental helath'!$A$2:$T$1001,11,)</f>
        <v>Medium</v>
      </c>
      <c r="D893">
        <f>VLOOKUP('Mental Helath'!A893,'Remote work mental helath'!$A$2:$T$1001,10,)</f>
        <v>1</v>
      </c>
      <c r="E893" t="str">
        <f>VLOOKUP(A893,'Remote work mental helath'!A893:T1892,19,FALSE)</f>
        <v>Average</v>
      </c>
      <c r="F893" t="str">
        <f>VLOOKUP(A893,'Remote work mental helath'!$A$2:$T$1001,18,)</f>
        <v>None</v>
      </c>
      <c r="G893">
        <f>VLOOKUP(A893,'Remote work mental helath'!$A$2:$T$1001,15,FALSE)</f>
        <v>1</v>
      </c>
      <c r="H893" t="str">
        <f>VLOOKUP(A893,'Remote work mental helath'!$A$2:$T$1001,14,)</f>
        <v>Increase</v>
      </c>
      <c r="I893" t="str">
        <f>VLOOKUP(A893,'Remote work mental helath'!$A$2:$T$1001,16,)</f>
        <v>Satisfied</v>
      </c>
      <c r="J893" t="str">
        <f>VLOOKUP(A893,'Remote work mental helath'!$A$2:$T$1001,13,)</f>
        <v>No</v>
      </c>
      <c r="K893">
        <f>VLOOKUP(A893,'Remote work mental helath'!$A$2:$T$1001,17,FALSE)</f>
        <v>1</v>
      </c>
    </row>
    <row r="894" spans="1:11" x14ac:dyDescent="0.3">
      <c r="A894" t="s">
        <v>943</v>
      </c>
      <c r="B894" t="str">
        <f>VLOOKUP(A894,'Remote work mental helath'!$A$2:$T$1001,12,)</f>
        <v>None</v>
      </c>
      <c r="C894" t="str">
        <f>VLOOKUP(A894,'Remote work mental helath'!$A$2:$T$1001,11,)</f>
        <v>Medium</v>
      </c>
      <c r="D894">
        <f>VLOOKUP('Mental Helath'!A894,'Remote work mental helath'!$A$2:$T$1001,10,)</f>
        <v>2</v>
      </c>
      <c r="E894" t="str">
        <f>VLOOKUP(A894,'Remote work mental helath'!A894:T1893,19,FALSE)</f>
        <v>Poor</v>
      </c>
      <c r="F894" t="str">
        <f>VLOOKUP(A894,'Remote work mental helath'!$A$2:$T$1001,18,)</f>
        <v>None</v>
      </c>
      <c r="G894">
        <f>VLOOKUP(A894,'Remote work mental helath'!$A$2:$T$1001,15,FALSE)</f>
        <v>4</v>
      </c>
      <c r="H894" t="str">
        <f>VLOOKUP(A894,'Remote work mental helath'!$A$2:$T$1001,14,)</f>
        <v>No Change</v>
      </c>
      <c r="I894" t="str">
        <f>VLOOKUP(A894,'Remote work mental helath'!$A$2:$T$1001,16,)</f>
        <v>Neutral</v>
      </c>
      <c r="J894" t="str">
        <f>VLOOKUP(A894,'Remote work mental helath'!$A$2:$T$1001,13,)</f>
        <v>Yes</v>
      </c>
      <c r="K894">
        <f>VLOOKUP(A894,'Remote work mental helath'!$A$2:$T$1001,17,FALSE)</f>
        <v>1</v>
      </c>
    </row>
    <row r="895" spans="1:11" x14ac:dyDescent="0.3">
      <c r="A895" t="s">
        <v>944</v>
      </c>
      <c r="B895" t="str">
        <f>VLOOKUP(A895,'Remote work mental helath'!$A$2:$T$1001,12,)</f>
        <v>Depression</v>
      </c>
      <c r="C895" t="str">
        <f>VLOOKUP(A895,'Remote work mental helath'!$A$2:$T$1001,11,)</f>
        <v>Medium</v>
      </c>
      <c r="D895">
        <f>VLOOKUP('Mental Helath'!A895,'Remote work mental helath'!$A$2:$T$1001,10,)</f>
        <v>1</v>
      </c>
      <c r="E895" t="str">
        <f>VLOOKUP(A895,'Remote work mental helath'!A895:T1894,19,FALSE)</f>
        <v>Average</v>
      </c>
      <c r="F895" t="str">
        <f>VLOOKUP(A895,'Remote work mental helath'!$A$2:$T$1001,18,)</f>
        <v>None</v>
      </c>
      <c r="G895">
        <f>VLOOKUP(A895,'Remote work mental helath'!$A$2:$T$1001,15,FALSE)</f>
        <v>1</v>
      </c>
      <c r="H895" t="str">
        <f>VLOOKUP(A895,'Remote work mental helath'!$A$2:$T$1001,14,)</f>
        <v>Decrease</v>
      </c>
      <c r="I895" t="str">
        <f>VLOOKUP(A895,'Remote work mental helath'!$A$2:$T$1001,16,)</f>
        <v>Unsatisfied</v>
      </c>
      <c r="J895" t="str">
        <f>VLOOKUP(A895,'Remote work mental helath'!$A$2:$T$1001,13,)</f>
        <v>Yes</v>
      </c>
      <c r="K895">
        <f>VLOOKUP(A895,'Remote work mental helath'!$A$2:$T$1001,17,FALSE)</f>
        <v>5</v>
      </c>
    </row>
    <row r="896" spans="1:11" x14ac:dyDescent="0.3">
      <c r="A896" t="s">
        <v>945</v>
      </c>
      <c r="B896" t="str">
        <f>VLOOKUP(A896,'Remote work mental helath'!$A$2:$T$1001,12,)</f>
        <v>Anxiety</v>
      </c>
      <c r="C896" t="str">
        <f>VLOOKUP(A896,'Remote work mental helath'!$A$2:$T$1001,11,)</f>
        <v>High</v>
      </c>
      <c r="D896">
        <f>VLOOKUP('Mental Helath'!A896,'Remote work mental helath'!$A$2:$T$1001,10,)</f>
        <v>4</v>
      </c>
      <c r="E896" t="str">
        <f>VLOOKUP(A896,'Remote work mental helath'!A896:T1895,19,FALSE)</f>
        <v>Average</v>
      </c>
      <c r="F896" t="str">
        <f>VLOOKUP(A896,'Remote work mental helath'!$A$2:$T$1001,18,)</f>
        <v>None</v>
      </c>
      <c r="G896">
        <f>VLOOKUP(A896,'Remote work mental helath'!$A$2:$T$1001,15,FALSE)</f>
        <v>3</v>
      </c>
      <c r="H896" t="str">
        <f>VLOOKUP(A896,'Remote work mental helath'!$A$2:$T$1001,14,)</f>
        <v>Increase</v>
      </c>
      <c r="I896" t="str">
        <f>VLOOKUP(A896,'Remote work mental helath'!$A$2:$T$1001,16,)</f>
        <v>Neutral</v>
      </c>
      <c r="J896" t="str">
        <f>VLOOKUP(A896,'Remote work mental helath'!$A$2:$T$1001,13,)</f>
        <v>Yes</v>
      </c>
      <c r="K896">
        <f>VLOOKUP(A896,'Remote work mental helath'!$A$2:$T$1001,17,FALSE)</f>
        <v>2</v>
      </c>
    </row>
    <row r="897" spans="1:11" x14ac:dyDescent="0.3">
      <c r="A897" t="s">
        <v>946</v>
      </c>
      <c r="B897" t="str">
        <f>VLOOKUP(A897,'Remote work mental helath'!$A$2:$T$1001,12,)</f>
        <v>Burnout</v>
      </c>
      <c r="C897" t="str">
        <f>VLOOKUP(A897,'Remote work mental helath'!$A$2:$T$1001,11,)</f>
        <v>Medium</v>
      </c>
      <c r="D897">
        <f>VLOOKUP('Mental Helath'!A897,'Remote work mental helath'!$A$2:$T$1001,10,)</f>
        <v>2</v>
      </c>
      <c r="E897" t="str">
        <f>VLOOKUP(A897,'Remote work mental helath'!A897:T1896,19,FALSE)</f>
        <v>Average</v>
      </c>
      <c r="F897" t="str">
        <f>VLOOKUP(A897,'Remote work mental helath'!$A$2:$T$1001,18,)</f>
        <v>None</v>
      </c>
      <c r="G897">
        <f>VLOOKUP(A897,'Remote work mental helath'!$A$2:$T$1001,15,FALSE)</f>
        <v>1</v>
      </c>
      <c r="H897" t="str">
        <f>VLOOKUP(A897,'Remote work mental helath'!$A$2:$T$1001,14,)</f>
        <v>Increase</v>
      </c>
      <c r="I897" t="str">
        <f>VLOOKUP(A897,'Remote work mental helath'!$A$2:$T$1001,16,)</f>
        <v>Neutral</v>
      </c>
      <c r="J897" t="str">
        <f>VLOOKUP(A897,'Remote work mental helath'!$A$2:$T$1001,13,)</f>
        <v>No</v>
      </c>
      <c r="K897">
        <f>VLOOKUP(A897,'Remote work mental helath'!$A$2:$T$1001,17,FALSE)</f>
        <v>2</v>
      </c>
    </row>
    <row r="898" spans="1:11" x14ac:dyDescent="0.3">
      <c r="A898" t="s">
        <v>947</v>
      </c>
      <c r="B898" t="str">
        <f>VLOOKUP(A898,'Remote work mental helath'!$A$2:$T$1001,12,)</f>
        <v>Burnout</v>
      </c>
      <c r="C898" t="str">
        <f>VLOOKUP(A898,'Remote work mental helath'!$A$2:$T$1001,11,)</f>
        <v>Medium</v>
      </c>
      <c r="D898">
        <f>VLOOKUP('Mental Helath'!A898,'Remote work mental helath'!$A$2:$T$1001,10,)</f>
        <v>1</v>
      </c>
      <c r="E898" t="str">
        <f>VLOOKUP(A898,'Remote work mental helath'!A898:T1897,19,FALSE)</f>
        <v>Good</v>
      </c>
      <c r="F898" t="str">
        <f>VLOOKUP(A898,'Remote work mental helath'!$A$2:$T$1001,18,)</f>
        <v>None</v>
      </c>
      <c r="G898">
        <f>VLOOKUP(A898,'Remote work mental helath'!$A$2:$T$1001,15,FALSE)</f>
        <v>5</v>
      </c>
      <c r="H898" t="str">
        <f>VLOOKUP(A898,'Remote work mental helath'!$A$2:$T$1001,14,)</f>
        <v>No Change</v>
      </c>
      <c r="I898" t="str">
        <f>VLOOKUP(A898,'Remote work mental helath'!$A$2:$T$1001,16,)</f>
        <v>Satisfied</v>
      </c>
      <c r="J898" t="str">
        <f>VLOOKUP(A898,'Remote work mental helath'!$A$2:$T$1001,13,)</f>
        <v>Yes</v>
      </c>
      <c r="K898">
        <f>VLOOKUP(A898,'Remote work mental helath'!$A$2:$T$1001,17,FALSE)</f>
        <v>3</v>
      </c>
    </row>
    <row r="899" spans="1:11" x14ac:dyDescent="0.3">
      <c r="A899" t="s">
        <v>948</v>
      </c>
      <c r="B899" t="str">
        <f>VLOOKUP(A899,'Remote work mental helath'!$A$2:$T$1001,12,)</f>
        <v>Burnout</v>
      </c>
      <c r="C899" t="str">
        <f>VLOOKUP(A899,'Remote work mental helath'!$A$2:$T$1001,11,)</f>
        <v>High</v>
      </c>
      <c r="D899">
        <f>VLOOKUP('Mental Helath'!A899,'Remote work mental helath'!$A$2:$T$1001,10,)</f>
        <v>3</v>
      </c>
      <c r="E899" t="str">
        <f>VLOOKUP(A899,'Remote work mental helath'!A899:T1898,19,FALSE)</f>
        <v>Poor</v>
      </c>
      <c r="F899" t="str">
        <f>VLOOKUP(A899,'Remote work mental helath'!$A$2:$T$1001,18,)</f>
        <v>Daily</v>
      </c>
      <c r="G899">
        <f>VLOOKUP(A899,'Remote work mental helath'!$A$2:$T$1001,15,FALSE)</f>
        <v>4</v>
      </c>
      <c r="H899" t="str">
        <f>VLOOKUP(A899,'Remote work mental helath'!$A$2:$T$1001,14,)</f>
        <v>Increase</v>
      </c>
      <c r="I899" t="str">
        <f>VLOOKUP(A899,'Remote work mental helath'!$A$2:$T$1001,16,)</f>
        <v>Neutral</v>
      </c>
      <c r="J899" t="str">
        <f>VLOOKUP(A899,'Remote work mental helath'!$A$2:$T$1001,13,)</f>
        <v>No</v>
      </c>
      <c r="K899">
        <f>VLOOKUP(A899,'Remote work mental helath'!$A$2:$T$1001,17,FALSE)</f>
        <v>3</v>
      </c>
    </row>
    <row r="900" spans="1:11" x14ac:dyDescent="0.3">
      <c r="A900" t="s">
        <v>949</v>
      </c>
      <c r="B900" t="str">
        <f>VLOOKUP(A900,'Remote work mental helath'!$A$2:$T$1001,12,)</f>
        <v>Depression</v>
      </c>
      <c r="C900" t="str">
        <f>VLOOKUP(A900,'Remote work mental helath'!$A$2:$T$1001,11,)</f>
        <v>High</v>
      </c>
      <c r="D900">
        <f>VLOOKUP('Mental Helath'!A900,'Remote work mental helath'!$A$2:$T$1001,10,)</f>
        <v>4</v>
      </c>
      <c r="E900" t="str">
        <f>VLOOKUP(A900,'Remote work mental helath'!A900:T1899,19,FALSE)</f>
        <v>Good</v>
      </c>
      <c r="F900" t="str">
        <f>VLOOKUP(A900,'Remote work mental helath'!$A$2:$T$1001,18,)</f>
        <v>Weekly</v>
      </c>
      <c r="G900">
        <f>VLOOKUP(A900,'Remote work mental helath'!$A$2:$T$1001,15,FALSE)</f>
        <v>4</v>
      </c>
      <c r="H900" t="str">
        <f>VLOOKUP(A900,'Remote work mental helath'!$A$2:$T$1001,14,)</f>
        <v>No Change</v>
      </c>
      <c r="I900" t="str">
        <f>VLOOKUP(A900,'Remote work mental helath'!$A$2:$T$1001,16,)</f>
        <v>Satisfied</v>
      </c>
      <c r="J900" t="str">
        <f>VLOOKUP(A900,'Remote work mental helath'!$A$2:$T$1001,13,)</f>
        <v>No</v>
      </c>
      <c r="K900">
        <f>VLOOKUP(A900,'Remote work mental helath'!$A$2:$T$1001,17,FALSE)</f>
        <v>5</v>
      </c>
    </row>
    <row r="901" spans="1:11" x14ac:dyDescent="0.3">
      <c r="A901" t="s">
        <v>950</v>
      </c>
      <c r="B901" t="str">
        <f>VLOOKUP(A901,'Remote work mental helath'!$A$2:$T$1001,12,)</f>
        <v>Depression</v>
      </c>
      <c r="C901" t="str">
        <f>VLOOKUP(A901,'Remote work mental helath'!$A$2:$T$1001,11,)</f>
        <v>High</v>
      </c>
      <c r="D901">
        <f>VLOOKUP('Mental Helath'!A901,'Remote work mental helath'!$A$2:$T$1001,10,)</f>
        <v>4</v>
      </c>
      <c r="E901" t="str">
        <f>VLOOKUP(A901,'Remote work mental helath'!A901:T1900,19,FALSE)</f>
        <v>Average</v>
      </c>
      <c r="F901" t="str">
        <f>VLOOKUP(A901,'Remote work mental helath'!$A$2:$T$1001,18,)</f>
        <v>Weekly</v>
      </c>
      <c r="G901">
        <f>VLOOKUP(A901,'Remote work mental helath'!$A$2:$T$1001,15,FALSE)</f>
        <v>1</v>
      </c>
      <c r="H901" t="str">
        <f>VLOOKUP(A901,'Remote work mental helath'!$A$2:$T$1001,14,)</f>
        <v>Increase</v>
      </c>
      <c r="I901" t="str">
        <f>VLOOKUP(A901,'Remote work mental helath'!$A$2:$T$1001,16,)</f>
        <v>Satisfied</v>
      </c>
      <c r="J901" t="str">
        <f>VLOOKUP(A901,'Remote work mental helath'!$A$2:$T$1001,13,)</f>
        <v>No</v>
      </c>
      <c r="K901">
        <f>VLOOKUP(A901,'Remote work mental helath'!$A$2:$T$1001,17,FALSE)</f>
        <v>2</v>
      </c>
    </row>
    <row r="902" spans="1:11" x14ac:dyDescent="0.3">
      <c r="A902" t="s">
        <v>951</v>
      </c>
      <c r="B902" t="str">
        <f>VLOOKUP(A902,'Remote work mental helath'!$A$2:$T$1001,12,)</f>
        <v>Burnout</v>
      </c>
      <c r="C902" t="str">
        <f>VLOOKUP(A902,'Remote work mental helath'!$A$2:$T$1001,11,)</f>
        <v>Medium</v>
      </c>
      <c r="D902">
        <f>VLOOKUP('Mental Helath'!A902,'Remote work mental helath'!$A$2:$T$1001,10,)</f>
        <v>3</v>
      </c>
      <c r="E902" t="str">
        <f>VLOOKUP(A902,'Remote work mental helath'!A902:T1901,19,FALSE)</f>
        <v>Average</v>
      </c>
      <c r="F902" t="str">
        <f>VLOOKUP(A902,'Remote work mental helath'!$A$2:$T$1001,18,)</f>
        <v>Daily</v>
      </c>
      <c r="G902">
        <f>VLOOKUP(A902,'Remote work mental helath'!$A$2:$T$1001,15,FALSE)</f>
        <v>1</v>
      </c>
      <c r="H902" t="str">
        <f>VLOOKUP(A902,'Remote work mental helath'!$A$2:$T$1001,14,)</f>
        <v>Decrease</v>
      </c>
      <c r="I902" t="str">
        <f>VLOOKUP(A902,'Remote work mental helath'!$A$2:$T$1001,16,)</f>
        <v>Unsatisfied</v>
      </c>
      <c r="J902" t="str">
        <f>VLOOKUP(A902,'Remote work mental helath'!$A$2:$T$1001,13,)</f>
        <v>No</v>
      </c>
      <c r="K902">
        <f>VLOOKUP(A902,'Remote work mental helath'!$A$2:$T$1001,17,FALSE)</f>
        <v>1</v>
      </c>
    </row>
    <row r="903" spans="1:11" x14ac:dyDescent="0.3">
      <c r="A903" t="s">
        <v>952</v>
      </c>
      <c r="B903" t="str">
        <f>VLOOKUP(A903,'Remote work mental helath'!$A$2:$T$1001,12,)</f>
        <v>Depression</v>
      </c>
      <c r="C903" t="str">
        <f>VLOOKUP(A903,'Remote work mental helath'!$A$2:$T$1001,11,)</f>
        <v>Medium</v>
      </c>
      <c r="D903">
        <f>VLOOKUP('Mental Helath'!A903,'Remote work mental helath'!$A$2:$T$1001,10,)</f>
        <v>2</v>
      </c>
      <c r="E903" t="str">
        <f>VLOOKUP(A903,'Remote work mental helath'!A903:T1902,19,FALSE)</f>
        <v>Average</v>
      </c>
      <c r="F903" t="str">
        <f>VLOOKUP(A903,'Remote work mental helath'!$A$2:$T$1001,18,)</f>
        <v>Weekly</v>
      </c>
      <c r="G903">
        <f>VLOOKUP(A903,'Remote work mental helath'!$A$2:$T$1001,15,FALSE)</f>
        <v>3</v>
      </c>
      <c r="H903" t="str">
        <f>VLOOKUP(A903,'Remote work mental helath'!$A$2:$T$1001,14,)</f>
        <v>No Change</v>
      </c>
      <c r="I903" t="str">
        <f>VLOOKUP(A903,'Remote work mental helath'!$A$2:$T$1001,16,)</f>
        <v>Neutral</v>
      </c>
      <c r="J903" t="str">
        <f>VLOOKUP(A903,'Remote work mental helath'!$A$2:$T$1001,13,)</f>
        <v>No</v>
      </c>
      <c r="K903">
        <f>VLOOKUP(A903,'Remote work mental helath'!$A$2:$T$1001,17,FALSE)</f>
        <v>1</v>
      </c>
    </row>
    <row r="904" spans="1:11" x14ac:dyDescent="0.3">
      <c r="A904" t="s">
        <v>953</v>
      </c>
      <c r="B904" t="str">
        <f>VLOOKUP(A904,'Remote work mental helath'!$A$2:$T$1001,12,)</f>
        <v>Depression</v>
      </c>
      <c r="C904" t="str">
        <f>VLOOKUP(A904,'Remote work mental helath'!$A$2:$T$1001,11,)</f>
        <v>Medium</v>
      </c>
      <c r="D904">
        <f>VLOOKUP('Mental Helath'!A904,'Remote work mental helath'!$A$2:$T$1001,10,)</f>
        <v>3</v>
      </c>
      <c r="E904" t="str">
        <f>VLOOKUP(A904,'Remote work mental helath'!A904:T1903,19,FALSE)</f>
        <v>Poor</v>
      </c>
      <c r="F904" t="str">
        <f>VLOOKUP(A904,'Remote work mental helath'!$A$2:$T$1001,18,)</f>
        <v>Weekly</v>
      </c>
      <c r="G904">
        <f>VLOOKUP(A904,'Remote work mental helath'!$A$2:$T$1001,15,FALSE)</f>
        <v>4</v>
      </c>
      <c r="H904" t="str">
        <f>VLOOKUP(A904,'Remote work mental helath'!$A$2:$T$1001,14,)</f>
        <v>Increase</v>
      </c>
      <c r="I904" t="str">
        <f>VLOOKUP(A904,'Remote work mental helath'!$A$2:$T$1001,16,)</f>
        <v>Satisfied</v>
      </c>
      <c r="J904" t="str">
        <f>VLOOKUP(A904,'Remote work mental helath'!$A$2:$T$1001,13,)</f>
        <v>Yes</v>
      </c>
      <c r="K904">
        <f>VLOOKUP(A904,'Remote work mental helath'!$A$2:$T$1001,17,FALSE)</f>
        <v>5</v>
      </c>
    </row>
    <row r="905" spans="1:11" x14ac:dyDescent="0.3">
      <c r="A905" t="s">
        <v>954</v>
      </c>
      <c r="B905" t="str">
        <f>VLOOKUP(A905,'Remote work mental helath'!$A$2:$T$1001,12,)</f>
        <v>Burnout</v>
      </c>
      <c r="C905" t="str">
        <f>VLOOKUP(A905,'Remote work mental helath'!$A$2:$T$1001,11,)</f>
        <v>High</v>
      </c>
      <c r="D905">
        <f>VLOOKUP('Mental Helath'!A905,'Remote work mental helath'!$A$2:$T$1001,10,)</f>
        <v>4</v>
      </c>
      <c r="E905" t="str">
        <f>VLOOKUP(A905,'Remote work mental helath'!A905:T1904,19,FALSE)</f>
        <v>Good</v>
      </c>
      <c r="F905" t="str">
        <f>VLOOKUP(A905,'Remote work mental helath'!$A$2:$T$1001,18,)</f>
        <v>Daily</v>
      </c>
      <c r="G905">
        <f>VLOOKUP(A905,'Remote work mental helath'!$A$2:$T$1001,15,FALSE)</f>
        <v>1</v>
      </c>
      <c r="H905" t="str">
        <f>VLOOKUP(A905,'Remote work mental helath'!$A$2:$T$1001,14,)</f>
        <v>No Change</v>
      </c>
      <c r="I905" t="str">
        <f>VLOOKUP(A905,'Remote work mental helath'!$A$2:$T$1001,16,)</f>
        <v>Neutral</v>
      </c>
      <c r="J905" t="str">
        <f>VLOOKUP(A905,'Remote work mental helath'!$A$2:$T$1001,13,)</f>
        <v>Yes</v>
      </c>
      <c r="K905">
        <f>VLOOKUP(A905,'Remote work mental helath'!$A$2:$T$1001,17,FALSE)</f>
        <v>1</v>
      </c>
    </row>
    <row r="906" spans="1:11" x14ac:dyDescent="0.3">
      <c r="A906" t="s">
        <v>955</v>
      </c>
      <c r="B906" t="str">
        <f>VLOOKUP(A906,'Remote work mental helath'!$A$2:$T$1001,12,)</f>
        <v>Anxiety</v>
      </c>
      <c r="C906" t="str">
        <f>VLOOKUP(A906,'Remote work mental helath'!$A$2:$T$1001,11,)</f>
        <v>High</v>
      </c>
      <c r="D906">
        <f>VLOOKUP('Mental Helath'!A906,'Remote work mental helath'!$A$2:$T$1001,10,)</f>
        <v>4</v>
      </c>
      <c r="E906" t="str">
        <f>VLOOKUP(A906,'Remote work mental helath'!A906:T1905,19,FALSE)</f>
        <v>Average</v>
      </c>
      <c r="F906" t="str">
        <f>VLOOKUP(A906,'Remote work mental helath'!$A$2:$T$1001,18,)</f>
        <v>Daily</v>
      </c>
      <c r="G906">
        <f>VLOOKUP(A906,'Remote work mental helath'!$A$2:$T$1001,15,FALSE)</f>
        <v>1</v>
      </c>
      <c r="H906" t="str">
        <f>VLOOKUP(A906,'Remote work mental helath'!$A$2:$T$1001,14,)</f>
        <v>Decrease</v>
      </c>
      <c r="I906" t="str">
        <f>VLOOKUP(A906,'Remote work mental helath'!$A$2:$T$1001,16,)</f>
        <v>Unsatisfied</v>
      </c>
      <c r="J906" t="str">
        <f>VLOOKUP(A906,'Remote work mental helath'!$A$2:$T$1001,13,)</f>
        <v>No</v>
      </c>
      <c r="K906">
        <f>VLOOKUP(A906,'Remote work mental helath'!$A$2:$T$1001,17,FALSE)</f>
        <v>1</v>
      </c>
    </row>
    <row r="907" spans="1:11" x14ac:dyDescent="0.3">
      <c r="A907" t="s">
        <v>956</v>
      </c>
      <c r="B907" t="str">
        <f>VLOOKUP(A907,'Remote work mental helath'!$A$2:$T$1001,12,)</f>
        <v>Burnout</v>
      </c>
      <c r="C907" t="str">
        <f>VLOOKUP(A907,'Remote work mental helath'!$A$2:$T$1001,11,)</f>
        <v>Low</v>
      </c>
      <c r="D907">
        <f>VLOOKUP('Mental Helath'!A907,'Remote work mental helath'!$A$2:$T$1001,10,)</f>
        <v>5</v>
      </c>
      <c r="E907" t="str">
        <f>VLOOKUP(A907,'Remote work mental helath'!A907:T1906,19,FALSE)</f>
        <v>Good</v>
      </c>
      <c r="F907" t="str">
        <f>VLOOKUP(A907,'Remote work mental helath'!$A$2:$T$1001,18,)</f>
        <v>Daily</v>
      </c>
      <c r="G907">
        <f>VLOOKUP(A907,'Remote work mental helath'!$A$2:$T$1001,15,FALSE)</f>
        <v>1</v>
      </c>
      <c r="H907" t="str">
        <f>VLOOKUP(A907,'Remote work mental helath'!$A$2:$T$1001,14,)</f>
        <v>No Change</v>
      </c>
      <c r="I907" t="str">
        <f>VLOOKUP(A907,'Remote work mental helath'!$A$2:$T$1001,16,)</f>
        <v>Neutral</v>
      </c>
      <c r="J907" t="str">
        <f>VLOOKUP(A907,'Remote work mental helath'!$A$2:$T$1001,13,)</f>
        <v>No</v>
      </c>
      <c r="K907">
        <f>VLOOKUP(A907,'Remote work mental helath'!$A$2:$T$1001,17,FALSE)</f>
        <v>1</v>
      </c>
    </row>
    <row r="908" spans="1:11" x14ac:dyDescent="0.3">
      <c r="A908" t="s">
        <v>957</v>
      </c>
      <c r="B908" t="str">
        <f>VLOOKUP(A908,'Remote work mental helath'!$A$2:$T$1001,12,)</f>
        <v>None</v>
      </c>
      <c r="C908" t="str">
        <f>VLOOKUP(A908,'Remote work mental helath'!$A$2:$T$1001,11,)</f>
        <v>Medium</v>
      </c>
      <c r="D908">
        <f>VLOOKUP('Mental Helath'!A908,'Remote work mental helath'!$A$2:$T$1001,10,)</f>
        <v>5</v>
      </c>
      <c r="E908" t="str">
        <f>VLOOKUP(A908,'Remote work mental helath'!A908:T1907,19,FALSE)</f>
        <v>Poor</v>
      </c>
      <c r="F908" t="str">
        <f>VLOOKUP(A908,'Remote work mental helath'!$A$2:$T$1001,18,)</f>
        <v>Daily</v>
      </c>
      <c r="G908">
        <f>VLOOKUP(A908,'Remote work mental helath'!$A$2:$T$1001,15,FALSE)</f>
        <v>5</v>
      </c>
      <c r="H908" t="str">
        <f>VLOOKUP(A908,'Remote work mental helath'!$A$2:$T$1001,14,)</f>
        <v>Decrease</v>
      </c>
      <c r="I908" t="str">
        <f>VLOOKUP(A908,'Remote work mental helath'!$A$2:$T$1001,16,)</f>
        <v>Neutral</v>
      </c>
      <c r="J908" t="str">
        <f>VLOOKUP(A908,'Remote work mental helath'!$A$2:$T$1001,13,)</f>
        <v>Yes</v>
      </c>
      <c r="K908">
        <f>VLOOKUP(A908,'Remote work mental helath'!$A$2:$T$1001,17,FALSE)</f>
        <v>3</v>
      </c>
    </row>
    <row r="909" spans="1:11" x14ac:dyDescent="0.3">
      <c r="A909" t="s">
        <v>958</v>
      </c>
      <c r="B909" t="str">
        <f>VLOOKUP(A909,'Remote work mental helath'!$A$2:$T$1001,12,)</f>
        <v>Anxiety</v>
      </c>
      <c r="C909" t="str">
        <f>VLOOKUP(A909,'Remote work mental helath'!$A$2:$T$1001,11,)</f>
        <v>Medium</v>
      </c>
      <c r="D909">
        <f>VLOOKUP('Mental Helath'!A909,'Remote work mental helath'!$A$2:$T$1001,10,)</f>
        <v>5</v>
      </c>
      <c r="E909" t="str">
        <f>VLOOKUP(A909,'Remote work mental helath'!A909:T1908,19,FALSE)</f>
        <v>Good</v>
      </c>
      <c r="F909" t="str">
        <f>VLOOKUP(A909,'Remote work mental helath'!$A$2:$T$1001,18,)</f>
        <v>Weekly</v>
      </c>
      <c r="G909">
        <f>VLOOKUP(A909,'Remote work mental helath'!$A$2:$T$1001,15,FALSE)</f>
        <v>1</v>
      </c>
      <c r="H909" t="str">
        <f>VLOOKUP(A909,'Remote work mental helath'!$A$2:$T$1001,14,)</f>
        <v>Increase</v>
      </c>
      <c r="I909" t="str">
        <f>VLOOKUP(A909,'Remote work mental helath'!$A$2:$T$1001,16,)</f>
        <v>Unsatisfied</v>
      </c>
      <c r="J909" t="str">
        <f>VLOOKUP(A909,'Remote work mental helath'!$A$2:$T$1001,13,)</f>
        <v>Yes</v>
      </c>
      <c r="K909">
        <f>VLOOKUP(A909,'Remote work mental helath'!$A$2:$T$1001,17,FALSE)</f>
        <v>3</v>
      </c>
    </row>
    <row r="910" spans="1:11" x14ac:dyDescent="0.3">
      <c r="A910" t="s">
        <v>959</v>
      </c>
      <c r="B910" t="str">
        <f>VLOOKUP(A910,'Remote work mental helath'!$A$2:$T$1001,12,)</f>
        <v>Burnout</v>
      </c>
      <c r="C910" t="str">
        <f>VLOOKUP(A910,'Remote work mental helath'!$A$2:$T$1001,11,)</f>
        <v>Low</v>
      </c>
      <c r="D910">
        <f>VLOOKUP('Mental Helath'!A910,'Remote work mental helath'!$A$2:$T$1001,10,)</f>
        <v>2</v>
      </c>
      <c r="E910" t="str">
        <f>VLOOKUP(A910,'Remote work mental helath'!A910:T1909,19,FALSE)</f>
        <v>Poor</v>
      </c>
      <c r="F910" t="str">
        <f>VLOOKUP(A910,'Remote work mental helath'!$A$2:$T$1001,18,)</f>
        <v>Weekly</v>
      </c>
      <c r="G910">
        <f>VLOOKUP(A910,'Remote work mental helath'!$A$2:$T$1001,15,FALSE)</f>
        <v>3</v>
      </c>
      <c r="H910" t="str">
        <f>VLOOKUP(A910,'Remote work mental helath'!$A$2:$T$1001,14,)</f>
        <v>Increase</v>
      </c>
      <c r="I910" t="str">
        <f>VLOOKUP(A910,'Remote work mental helath'!$A$2:$T$1001,16,)</f>
        <v>Satisfied</v>
      </c>
      <c r="J910" t="str">
        <f>VLOOKUP(A910,'Remote work mental helath'!$A$2:$T$1001,13,)</f>
        <v>No</v>
      </c>
      <c r="K910">
        <f>VLOOKUP(A910,'Remote work mental helath'!$A$2:$T$1001,17,FALSE)</f>
        <v>5</v>
      </c>
    </row>
    <row r="911" spans="1:11" x14ac:dyDescent="0.3">
      <c r="A911" t="s">
        <v>960</v>
      </c>
      <c r="B911" t="str">
        <f>VLOOKUP(A911,'Remote work mental helath'!$A$2:$T$1001,12,)</f>
        <v>Anxiety</v>
      </c>
      <c r="C911" t="str">
        <f>VLOOKUP(A911,'Remote work mental helath'!$A$2:$T$1001,11,)</f>
        <v>Low</v>
      </c>
      <c r="D911">
        <f>VLOOKUP('Mental Helath'!A911,'Remote work mental helath'!$A$2:$T$1001,10,)</f>
        <v>3</v>
      </c>
      <c r="E911" t="str">
        <f>VLOOKUP(A911,'Remote work mental helath'!A911:T1910,19,FALSE)</f>
        <v>Good</v>
      </c>
      <c r="F911" t="str">
        <f>VLOOKUP(A911,'Remote work mental helath'!$A$2:$T$1001,18,)</f>
        <v>Weekly</v>
      </c>
      <c r="G911">
        <f>VLOOKUP(A911,'Remote work mental helath'!$A$2:$T$1001,15,FALSE)</f>
        <v>3</v>
      </c>
      <c r="H911" t="str">
        <f>VLOOKUP(A911,'Remote work mental helath'!$A$2:$T$1001,14,)</f>
        <v>Decrease</v>
      </c>
      <c r="I911" t="str">
        <f>VLOOKUP(A911,'Remote work mental helath'!$A$2:$T$1001,16,)</f>
        <v>Neutral</v>
      </c>
      <c r="J911" t="str">
        <f>VLOOKUP(A911,'Remote work mental helath'!$A$2:$T$1001,13,)</f>
        <v>Yes</v>
      </c>
      <c r="K911">
        <f>VLOOKUP(A911,'Remote work mental helath'!$A$2:$T$1001,17,FALSE)</f>
        <v>2</v>
      </c>
    </row>
    <row r="912" spans="1:11" x14ac:dyDescent="0.3">
      <c r="A912" t="s">
        <v>961</v>
      </c>
      <c r="B912" t="str">
        <f>VLOOKUP(A912,'Remote work mental helath'!$A$2:$T$1001,12,)</f>
        <v>None</v>
      </c>
      <c r="C912" t="str">
        <f>VLOOKUP(A912,'Remote work mental helath'!$A$2:$T$1001,11,)</f>
        <v>Low</v>
      </c>
      <c r="D912">
        <f>VLOOKUP('Mental Helath'!A912,'Remote work mental helath'!$A$2:$T$1001,10,)</f>
        <v>5</v>
      </c>
      <c r="E912" t="str">
        <f>VLOOKUP(A912,'Remote work mental helath'!A912:T1911,19,FALSE)</f>
        <v>Good</v>
      </c>
      <c r="F912" t="str">
        <f>VLOOKUP(A912,'Remote work mental helath'!$A$2:$T$1001,18,)</f>
        <v>Weekly</v>
      </c>
      <c r="G912">
        <f>VLOOKUP(A912,'Remote work mental helath'!$A$2:$T$1001,15,FALSE)</f>
        <v>1</v>
      </c>
      <c r="H912" t="str">
        <f>VLOOKUP(A912,'Remote work mental helath'!$A$2:$T$1001,14,)</f>
        <v>No Change</v>
      </c>
      <c r="I912" t="str">
        <f>VLOOKUP(A912,'Remote work mental helath'!$A$2:$T$1001,16,)</f>
        <v>Unsatisfied</v>
      </c>
      <c r="J912" t="str">
        <f>VLOOKUP(A912,'Remote work mental helath'!$A$2:$T$1001,13,)</f>
        <v>Yes</v>
      </c>
      <c r="K912">
        <f>VLOOKUP(A912,'Remote work mental helath'!$A$2:$T$1001,17,FALSE)</f>
        <v>1</v>
      </c>
    </row>
    <row r="913" spans="1:11" x14ac:dyDescent="0.3">
      <c r="A913" t="s">
        <v>962</v>
      </c>
      <c r="B913" t="str">
        <f>VLOOKUP(A913,'Remote work mental helath'!$A$2:$T$1001,12,)</f>
        <v>Depression</v>
      </c>
      <c r="C913" t="str">
        <f>VLOOKUP(A913,'Remote work mental helath'!$A$2:$T$1001,11,)</f>
        <v>Medium</v>
      </c>
      <c r="D913">
        <f>VLOOKUP('Mental Helath'!A913,'Remote work mental helath'!$A$2:$T$1001,10,)</f>
        <v>5</v>
      </c>
      <c r="E913" t="str">
        <f>VLOOKUP(A913,'Remote work mental helath'!A913:T1912,19,FALSE)</f>
        <v>Good</v>
      </c>
      <c r="F913" t="str">
        <f>VLOOKUP(A913,'Remote work mental helath'!$A$2:$T$1001,18,)</f>
        <v>Weekly</v>
      </c>
      <c r="G913">
        <f>VLOOKUP(A913,'Remote work mental helath'!$A$2:$T$1001,15,FALSE)</f>
        <v>2</v>
      </c>
      <c r="H913" t="str">
        <f>VLOOKUP(A913,'Remote work mental helath'!$A$2:$T$1001,14,)</f>
        <v>No Change</v>
      </c>
      <c r="I913" t="str">
        <f>VLOOKUP(A913,'Remote work mental helath'!$A$2:$T$1001,16,)</f>
        <v>Satisfied</v>
      </c>
      <c r="J913" t="str">
        <f>VLOOKUP(A913,'Remote work mental helath'!$A$2:$T$1001,13,)</f>
        <v>Yes</v>
      </c>
      <c r="K913">
        <f>VLOOKUP(A913,'Remote work mental helath'!$A$2:$T$1001,17,FALSE)</f>
        <v>5</v>
      </c>
    </row>
    <row r="914" spans="1:11" x14ac:dyDescent="0.3">
      <c r="A914" t="s">
        <v>963</v>
      </c>
      <c r="B914" t="str">
        <f>VLOOKUP(A914,'Remote work mental helath'!$A$2:$T$1001,12,)</f>
        <v>Anxiety</v>
      </c>
      <c r="C914" t="str">
        <f>VLOOKUP(A914,'Remote work mental helath'!$A$2:$T$1001,11,)</f>
        <v>Low</v>
      </c>
      <c r="D914">
        <f>VLOOKUP('Mental Helath'!A914,'Remote work mental helath'!$A$2:$T$1001,10,)</f>
        <v>3</v>
      </c>
      <c r="E914" t="str">
        <f>VLOOKUP(A914,'Remote work mental helath'!A914:T1913,19,FALSE)</f>
        <v>Poor</v>
      </c>
      <c r="F914" t="str">
        <f>VLOOKUP(A914,'Remote work mental helath'!$A$2:$T$1001,18,)</f>
        <v>Daily</v>
      </c>
      <c r="G914">
        <f>VLOOKUP(A914,'Remote work mental helath'!$A$2:$T$1001,15,FALSE)</f>
        <v>4</v>
      </c>
      <c r="H914" t="str">
        <f>VLOOKUP(A914,'Remote work mental helath'!$A$2:$T$1001,14,)</f>
        <v>No Change</v>
      </c>
      <c r="I914" t="str">
        <f>VLOOKUP(A914,'Remote work mental helath'!$A$2:$T$1001,16,)</f>
        <v>Satisfied</v>
      </c>
      <c r="J914" t="str">
        <f>VLOOKUP(A914,'Remote work mental helath'!$A$2:$T$1001,13,)</f>
        <v>No</v>
      </c>
      <c r="K914">
        <f>VLOOKUP(A914,'Remote work mental helath'!$A$2:$T$1001,17,FALSE)</f>
        <v>1</v>
      </c>
    </row>
    <row r="915" spans="1:11" x14ac:dyDescent="0.3">
      <c r="A915" t="s">
        <v>964</v>
      </c>
      <c r="B915" t="str">
        <f>VLOOKUP(A915,'Remote work mental helath'!$A$2:$T$1001,12,)</f>
        <v>Burnout</v>
      </c>
      <c r="C915" t="str">
        <f>VLOOKUP(A915,'Remote work mental helath'!$A$2:$T$1001,11,)</f>
        <v>Medium</v>
      </c>
      <c r="D915">
        <f>VLOOKUP('Mental Helath'!A915,'Remote work mental helath'!$A$2:$T$1001,10,)</f>
        <v>5</v>
      </c>
      <c r="E915" t="str">
        <f>VLOOKUP(A915,'Remote work mental helath'!A915:T1914,19,FALSE)</f>
        <v>Poor</v>
      </c>
      <c r="F915" t="str">
        <f>VLOOKUP(A915,'Remote work mental helath'!$A$2:$T$1001,18,)</f>
        <v>Daily</v>
      </c>
      <c r="G915">
        <f>VLOOKUP(A915,'Remote work mental helath'!$A$2:$T$1001,15,FALSE)</f>
        <v>3</v>
      </c>
      <c r="H915" t="str">
        <f>VLOOKUP(A915,'Remote work mental helath'!$A$2:$T$1001,14,)</f>
        <v>No Change</v>
      </c>
      <c r="I915" t="str">
        <f>VLOOKUP(A915,'Remote work mental helath'!$A$2:$T$1001,16,)</f>
        <v>Satisfied</v>
      </c>
      <c r="J915" t="str">
        <f>VLOOKUP(A915,'Remote work mental helath'!$A$2:$T$1001,13,)</f>
        <v>Yes</v>
      </c>
      <c r="K915">
        <f>VLOOKUP(A915,'Remote work mental helath'!$A$2:$T$1001,17,FALSE)</f>
        <v>3</v>
      </c>
    </row>
    <row r="916" spans="1:11" x14ac:dyDescent="0.3">
      <c r="A916" t="s">
        <v>965</v>
      </c>
      <c r="B916" t="str">
        <f>VLOOKUP(A916,'Remote work mental helath'!$A$2:$T$1001,12,)</f>
        <v>Burnout</v>
      </c>
      <c r="C916" t="str">
        <f>VLOOKUP(A916,'Remote work mental helath'!$A$2:$T$1001,11,)</f>
        <v>Medium</v>
      </c>
      <c r="D916">
        <f>VLOOKUP('Mental Helath'!A916,'Remote work mental helath'!$A$2:$T$1001,10,)</f>
        <v>3</v>
      </c>
      <c r="E916" t="str">
        <f>VLOOKUP(A916,'Remote work mental helath'!A916:T1915,19,FALSE)</f>
        <v>Poor</v>
      </c>
      <c r="F916" t="str">
        <f>VLOOKUP(A916,'Remote work mental helath'!$A$2:$T$1001,18,)</f>
        <v>Daily</v>
      </c>
      <c r="G916">
        <f>VLOOKUP(A916,'Remote work mental helath'!$A$2:$T$1001,15,FALSE)</f>
        <v>3</v>
      </c>
      <c r="H916" t="str">
        <f>VLOOKUP(A916,'Remote work mental helath'!$A$2:$T$1001,14,)</f>
        <v>Decrease</v>
      </c>
      <c r="I916" t="str">
        <f>VLOOKUP(A916,'Remote work mental helath'!$A$2:$T$1001,16,)</f>
        <v>Satisfied</v>
      </c>
      <c r="J916" t="str">
        <f>VLOOKUP(A916,'Remote work mental helath'!$A$2:$T$1001,13,)</f>
        <v>Yes</v>
      </c>
      <c r="K916">
        <f>VLOOKUP(A916,'Remote work mental helath'!$A$2:$T$1001,17,FALSE)</f>
        <v>3</v>
      </c>
    </row>
    <row r="917" spans="1:11" x14ac:dyDescent="0.3">
      <c r="A917" t="s">
        <v>966</v>
      </c>
      <c r="B917" t="str">
        <f>VLOOKUP(A917,'Remote work mental helath'!$A$2:$T$1001,12,)</f>
        <v>None</v>
      </c>
      <c r="C917" t="str">
        <f>VLOOKUP(A917,'Remote work mental helath'!$A$2:$T$1001,11,)</f>
        <v>Low</v>
      </c>
      <c r="D917">
        <f>VLOOKUP('Mental Helath'!A917,'Remote work mental helath'!$A$2:$T$1001,10,)</f>
        <v>5</v>
      </c>
      <c r="E917" t="str">
        <f>VLOOKUP(A917,'Remote work mental helath'!A917:T1916,19,FALSE)</f>
        <v>Average</v>
      </c>
      <c r="F917" t="str">
        <f>VLOOKUP(A917,'Remote work mental helath'!$A$2:$T$1001,18,)</f>
        <v>None</v>
      </c>
      <c r="G917">
        <f>VLOOKUP(A917,'Remote work mental helath'!$A$2:$T$1001,15,FALSE)</f>
        <v>2</v>
      </c>
      <c r="H917" t="str">
        <f>VLOOKUP(A917,'Remote work mental helath'!$A$2:$T$1001,14,)</f>
        <v>Decrease</v>
      </c>
      <c r="I917" t="str">
        <f>VLOOKUP(A917,'Remote work mental helath'!$A$2:$T$1001,16,)</f>
        <v>Satisfied</v>
      </c>
      <c r="J917" t="str">
        <f>VLOOKUP(A917,'Remote work mental helath'!$A$2:$T$1001,13,)</f>
        <v>No</v>
      </c>
      <c r="K917">
        <f>VLOOKUP(A917,'Remote work mental helath'!$A$2:$T$1001,17,FALSE)</f>
        <v>1</v>
      </c>
    </row>
    <row r="918" spans="1:11" x14ac:dyDescent="0.3">
      <c r="A918" t="s">
        <v>967</v>
      </c>
      <c r="B918" t="str">
        <f>VLOOKUP(A918,'Remote work mental helath'!$A$2:$T$1001,12,)</f>
        <v>Burnout</v>
      </c>
      <c r="C918" t="str">
        <f>VLOOKUP(A918,'Remote work mental helath'!$A$2:$T$1001,11,)</f>
        <v>Medium</v>
      </c>
      <c r="D918">
        <f>VLOOKUP('Mental Helath'!A918,'Remote work mental helath'!$A$2:$T$1001,10,)</f>
        <v>5</v>
      </c>
      <c r="E918" t="str">
        <f>VLOOKUP(A918,'Remote work mental helath'!A918:T1917,19,FALSE)</f>
        <v>Average</v>
      </c>
      <c r="F918" t="str">
        <f>VLOOKUP(A918,'Remote work mental helath'!$A$2:$T$1001,18,)</f>
        <v>Weekly</v>
      </c>
      <c r="G918">
        <f>VLOOKUP(A918,'Remote work mental helath'!$A$2:$T$1001,15,FALSE)</f>
        <v>3</v>
      </c>
      <c r="H918" t="str">
        <f>VLOOKUP(A918,'Remote work mental helath'!$A$2:$T$1001,14,)</f>
        <v>Increase</v>
      </c>
      <c r="I918" t="str">
        <f>VLOOKUP(A918,'Remote work mental helath'!$A$2:$T$1001,16,)</f>
        <v>Neutral</v>
      </c>
      <c r="J918" t="str">
        <f>VLOOKUP(A918,'Remote work mental helath'!$A$2:$T$1001,13,)</f>
        <v>No</v>
      </c>
      <c r="K918">
        <f>VLOOKUP(A918,'Remote work mental helath'!$A$2:$T$1001,17,FALSE)</f>
        <v>5</v>
      </c>
    </row>
    <row r="919" spans="1:11" x14ac:dyDescent="0.3">
      <c r="A919" t="s">
        <v>968</v>
      </c>
      <c r="B919" t="str">
        <f>VLOOKUP(A919,'Remote work mental helath'!$A$2:$T$1001,12,)</f>
        <v>None</v>
      </c>
      <c r="C919" t="str">
        <f>VLOOKUP(A919,'Remote work mental helath'!$A$2:$T$1001,11,)</f>
        <v>High</v>
      </c>
      <c r="D919">
        <f>VLOOKUP('Mental Helath'!A919,'Remote work mental helath'!$A$2:$T$1001,10,)</f>
        <v>5</v>
      </c>
      <c r="E919" t="str">
        <f>VLOOKUP(A919,'Remote work mental helath'!A919:T1918,19,FALSE)</f>
        <v>Average</v>
      </c>
      <c r="F919" t="str">
        <f>VLOOKUP(A919,'Remote work mental helath'!$A$2:$T$1001,18,)</f>
        <v>Daily</v>
      </c>
      <c r="G919">
        <f>VLOOKUP(A919,'Remote work mental helath'!$A$2:$T$1001,15,FALSE)</f>
        <v>1</v>
      </c>
      <c r="H919" t="str">
        <f>VLOOKUP(A919,'Remote work mental helath'!$A$2:$T$1001,14,)</f>
        <v>Decrease</v>
      </c>
      <c r="I919" t="str">
        <f>VLOOKUP(A919,'Remote work mental helath'!$A$2:$T$1001,16,)</f>
        <v>Neutral</v>
      </c>
      <c r="J919" t="str">
        <f>VLOOKUP(A919,'Remote work mental helath'!$A$2:$T$1001,13,)</f>
        <v>No</v>
      </c>
      <c r="K919">
        <f>VLOOKUP(A919,'Remote work mental helath'!$A$2:$T$1001,17,FALSE)</f>
        <v>1</v>
      </c>
    </row>
    <row r="920" spans="1:11" x14ac:dyDescent="0.3">
      <c r="A920" t="s">
        <v>969</v>
      </c>
      <c r="B920" t="str">
        <f>VLOOKUP(A920,'Remote work mental helath'!$A$2:$T$1001,12,)</f>
        <v>Anxiety</v>
      </c>
      <c r="C920" t="str">
        <f>VLOOKUP(A920,'Remote work mental helath'!$A$2:$T$1001,11,)</f>
        <v>Low</v>
      </c>
      <c r="D920">
        <f>VLOOKUP('Mental Helath'!A920,'Remote work mental helath'!$A$2:$T$1001,10,)</f>
        <v>5</v>
      </c>
      <c r="E920" t="str">
        <f>VLOOKUP(A920,'Remote work mental helath'!A920:T1919,19,FALSE)</f>
        <v>Average</v>
      </c>
      <c r="F920" t="str">
        <f>VLOOKUP(A920,'Remote work mental helath'!$A$2:$T$1001,18,)</f>
        <v>Daily</v>
      </c>
      <c r="G920">
        <f>VLOOKUP(A920,'Remote work mental helath'!$A$2:$T$1001,15,FALSE)</f>
        <v>1</v>
      </c>
      <c r="H920" t="str">
        <f>VLOOKUP(A920,'Remote work mental helath'!$A$2:$T$1001,14,)</f>
        <v>Increase</v>
      </c>
      <c r="I920" t="str">
        <f>VLOOKUP(A920,'Remote work mental helath'!$A$2:$T$1001,16,)</f>
        <v>Unsatisfied</v>
      </c>
      <c r="J920" t="str">
        <f>VLOOKUP(A920,'Remote work mental helath'!$A$2:$T$1001,13,)</f>
        <v>Yes</v>
      </c>
      <c r="K920">
        <f>VLOOKUP(A920,'Remote work mental helath'!$A$2:$T$1001,17,FALSE)</f>
        <v>3</v>
      </c>
    </row>
    <row r="921" spans="1:11" x14ac:dyDescent="0.3">
      <c r="A921" t="s">
        <v>970</v>
      </c>
      <c r="B921" t="str">
        <f>VLOOKUP(A921,'Remote work mental helath'!$A$2:$T$1001,12,)</f>
        <v>Burnout</v>
      </c>
      <c r="C921" t="str">
        <f>VLOOKUP(A921,'Remote work mental helath'!$A$2:$T$1001,11,)</f>
        <v>Low</v>
      </c>
      <c r="D921">
        <f>VLOOKUP('Mental Helath'!A921,'Remote work mental helath'!$A$2:$T$1001,10,)</f>
        <v>1</v>
      </c>
      <c r="E921" t="str">
        <f>VLOOKUP(A921,'Remote work mental helath'!A921:T1920,19,FALSE)</f>
        <v>Good</v>
      </c>
      <c r="F921" t="str">
        <f>VLOOKUP(A921,'Remote work mental helath'!$A$2:$T$1001,18,)</f>
        <v>Weekly</v>
      </c>
      <c r="G921">
        <f>VLOOKUP(A921,'Remote work mental helath'!$A$2:$T$1001,15,FALSE)</f>
        <v>4</v>
      </c>
      <c r="H921" t="str">
        <f>VLOOKUP(A921,'Remote work mental helath'!$A$2:$T$1001,14,)</f>
        <v>Increase</v>
      </c>
      <c r="I921" t="str">
        <f>VLOOKUP(A921,'Remote work mental helath'!$A$2:$T$1001,16,)</f>
        <v>Unsatisfied</v>
      </c>
      <c r="J921" t="str">
        <f>VLOOKUP(A921,'Remote work mental helath'!$A$2:$T$1001,13,)</f>
        <v>Yes</v>
      </c>
      <c r="K921">
        <f>VLOOKUP(A921,'Remote work mental helath'!$A$2:$T$1001,17,FALSE)</f>
        <v>2</v>
      </c>
    </row>
    <row r="922" spans="1:11" x14ac:dyDescent="0.3">
      <c r="A922" t="s">
        <v>971</v>
      </c>
      <c r="B922" t="str">
        <f>VLOOKUP(A922,'Remote work mental helath'!$A$2:$T$1001,12,)</f>
        <v>Depression</v>
      </c>
      <c r="C922" t="str">
        <f>VLOOKUP(A922,'Remote work mental helath'!$A$2:$T$1001,11,)</f>
        <v>Medium</v>
      </c>
      <c r="D922">
        <f>VLOOKUP('Mental Helath'!A922,'Remote work mental helath'!$A$2:$T$1001,10,)</f>
        <v>4</v>
      </c>
      <c r="E922" t="str">
        <f>VLOOKUP(A922,'Remote work mental helath'!A922:T1921,19,FALSE)</f>
        <v>Average</v>
      </c>
      <c r="F922" t="str">
        <f>VLOOKUP(A922,'Remote work mental helath'!$A$2:$T$1001,18,)</f>
        <v>Daily</v>
      </c>
      <c r="G922">
        <f>VLOOKUP(A922,'Remote work mental helath'!$A$2:$T$1001,15,FALSE)</f>
        <v>1</v>
      </c>
      <c r="H922" t="str">
        <f>VLOOKUP(A922,'Remote work mental helath'!$A$2:$T$1001,14,)</f>
        <v>Increase</v>
      </c>
      <c r="I922" t="str">
        <f>VLOOKUP(A922,'Remote work mental helath'!$A$2:$T$1001,16,)</f>
        <v>Neutral</v>
      </c>
      <c r="J922" t="str">
        <f>VLOOKUP(A922,'Remote work mental helath'!$A$2:$T$1001,13,)</f>
        <v>No</v>
      </c>
      <c r="K922">
        <f>VLOOKUP(A922,'Remote work mental helath'!$A$2:$T$1001,17,FALSE)</f>
        <v>1</v>
      </c>
    </row>
    <row r="923" spans="1:11" x14ac:dyDescent="0.3">
      <c r="A923" t="s">
        <v>972</v>
      </c>
      <c r="B923" t="str">
        <f>VLOOKUP(A923,'Remote work mental helath'!$A$2:$T$1001,12,)</f>
        <v>Depression</v>
      </c>
      <c r="C923" t="str">
        <f>VLOOKUP(A923,'Remote work mental helath'!$A$2:$T$1001,11,)</f>
        <v>Medium</v>
      </c>
      <c r="D923">
        <f>VLOOKUP('Mental Helath'!A923,'Remote work mental helath'!$A$2:$T$1001,10,)</f>
        <v>5</v>
      </c>
      <c r="E923" t="str">
        <f>VLOOKUP(A923,'Remote work mental helath'!A923:T1922,19,FALSE)</f>
        <v>Average</v>
      </c>
      <c r="F923" t="str">
        <f>VLOOKUP(A923,'Remote work mental helath'!$A$2:$T$1001,18,)</f>
        <v>Weekly</v>
      </c>
      <c r="G923">
        <f>VLOOKUP(A923,'Remote work mental helath'!$A$2:$T$1001,15,FALSE)</f>
        <v>2</v>
      </c>
      <c r="H923" t="str">
        <f>VLOOKUP(A923,'Remote work mental helath'!$A$2:$T$1001,14,)</f>
        <v>Decrease</v>
      </c>
      <c r="I923" t="str">
        <f>VLOOKUP(A923,'Remote work mental helath'!$A$2:$T$1001,16,)</f>
        <v>Satisfied</v>
      </c>
      <c r="J923" t="str">
        <f>VLOOKUP(A923,'Remote work mental helath'!$A$2:$T$1001,13,)</f>
        <v>Yes</v>
      </c>
      <c r="K923">
        <f>VLOOKUP(A923,'Remote work mental helath'!$A$2:$T$1001,17,FALSE)</f>
        <v>5</v>
      </c>
    </row>
    <row r="924" spans="1:11" x14ac:dyDescent="0.3">
      <c r="A924" t="s">
        <v>973</v>
      </c>
      <c r="B924" t="str">
        <f>VLOOKUP(A924,'Remote work mental helath'!$A$2:$T$1001,12,)</f>
        <v>Anxiety</v>
      </c>
      <c r="C924" t="str">
        <f>VLOOKUP(A924,'Remote work mental helath'!$A$2:$T$1001,11,)</f>
        <v>Low</v>
      </c>
      <c r="D924">
        <f>VLOOKUP('Mental Helath'!A924,'Remote work mental helath'!$A$2:$T$1001,10,)</f>
        <v>5</v>
      </c>
      <c r="E924" t="str">
        <f>VLOOKUP(A924,'Remote work mental helath'!A924:T1923,19,FALSE)</f>
        <v>Average</v>
      </c>
      <c r="F924" t="str">
        <f>VLOOKUP(A924,'Remote work mental helath'!$A$2:$T$1001,18,)</f>
        <v>Weekly</v>
      </c>
      <c r="G924">
        <f>VLOOKUP(A924,'Remote work mental helath'!$A$2:$T$1001,15,FALSE)</f>
        <v>2</v>
      </c>
      <c r="H924" t="str">
        <f>VLOOKUP(A924,'Remote work mental helath'!$A$2:$T$1001,14,)</f>
        <v>Increase</v>
      </c>
      <c r="I924" t="str">
        <f>VLOOKUP(A924,'Remote work mental helath'!$A$2:$T$1001,16,)</f>
        <v>Satisfied</v>
      </c>
      <c r="J924" t="str">
        <f>VLOOKUP(A924,'Remote work mental helath'!$A$2:$T$1001,13,)</f>
        <v>No</v>
      </c>
      <c r="K924">
        <f>VLOOKUP(A924,'Remote work mental helath'!$A$2:$T$1001,17,FALSE)</f>
        <v>1</v>
      </c>
    </row>
    <row r="925" spans="1:11" x14ac:dyDescent="0.3">
      <c r="A925" t="s">
        <v>974</v>
      </c>
      <c r="B925" t="str">
        <f>VLOOKUP(A925,'Remote work mental helath'!$A$2:$T$1001,12,)</f>
        <v>Depression</v>
      </c>
      <c r="C925" t="str">
        <f>VLOOKUP(A925,'Remote work mental helath'!$A$2:$T$1001,11,)</f>
        <v>High</v>
      </c>
      <c r="D925">
        <f>VLOOKUP('Mental Helath'!A925,'Remote work mental helath'!$A$2:$T$1001,10,)</f>
        <v>3</v>
      </c>
      <c r="E925" t="str">
        <f>VLOOKUP(A925,'Remote work mental helath'!A925:T1924,19,FALSE)</f>
        <v>Poor</v>
      </c>
      <c r="F925" t="str">
        <f>VLOOKUP(A925,'Remote work mental helath'!$A$2:$T$1001,18,)</f>
        <v>None</v>
      </c>
      <c r="G925">
        <f>VLOOKUP(A925,'Remote work mental helath'!$A$2:$T$1001,15,FALSE)</f>
        <v>3</v>
      </c>
      <c r="H925" t="str">
        <f>VLOOKUP(A925,'Remote work mental helath'!$A$2:$T$1001,14,)</f>
        <v>Decrease</v>
      </c>
      <c r="I925" t="str">
        <f>VLOOKUP(A925,'Remote work mental helath'!$A$2:$T$1001,16,)</f>
        <v>Satisfied</v>
      </c>
      <c r="J925" t="str">
        <f>VLOOKUP(A925,'Remote work mental helath'!$A$2:$T$1001,13,)</f>
        <v>Yes</v>
      </c>
      <c r="K925">
        <f>VLOOKUP(A925,'Remote work mental helath'!$A$2:$T$1001,17,FALSE)</f>
        <v>4</v>
      </c>
    </row>
    <row r="926" spans="1:11" x14ac:dyDescent="0.3">
      <c r="A926" t="s">
        <v>975</v>
      </c>
      <c r="B926" t="str">
        <f>VLOOKUP(A926,'Remote work mental helath'!$A$2:$T$1001,12,)</f>
        <v>Anxiety</v>
      </c>
      <c r="C926" t="str">
        <f>VLOOKUP(A926,'Remote work mental helath'!$A$2:$T$1001,11,)</f>
        <v>High</v>
      </c>
      <c r="D926">
        <f>VLOOKUP('Mental Helath'!A926,'Remote work mental helath'!$A$2:$T$1001,10,)</f>
        <v>3</v>
      </c>
      <c r="E926" t="str">
        <f>VLOOKUP(A926,'Remote work mental helath'!A926:T1925,19,FALSE)</f>
        <v>Good</v>
      </c>
      <c r="F926" t="str">
        <f>VLOOKUP(A926,'Remote work mental helath'!$A$2:$T$1001,18,)</f>
        <v>Daily</v>
      </c>
      <c r="G926">
        <f>VLOOKUP(A926,'Remote work mental helath'!$A$2:$T$1001,15,FALSE)</f>
        <v>5</v>
      </c>
      <c r="H926" t="str">
        <f>VLOOKUP(A926,'Remote work mental helath'!$A$2:$T$1001,14,)</f>
        <v>Increase</v>
      </c>
      <c r="I926" t="str">
        <f>VLOOKUP(A926,'Remote work mental helath'!$A$2:$T$1001,16,)</f>
        <v>Unsatisfied</v>
      </c>
      <c r="J926" t="str">
        <f>VLOOKUP(A926,'Remote work mental helath'!$A$2:$T$1001,13,)</f>
        <v>Yes</v>
      </c>
      <c r="K926">
        <f>VLOOKUP(A926,'Remote work mental helath'!$A$2:$T$1001,17,FALSE)</f>
        <v>5</v>
      </c>
    </row>
    <row r="927" spans="1:11" x14ac:dyDescent="0.3">
      <c r="A927" t="s">
        <v>976</v>
      </c>
      <c r="B927" t="str">
        <f>VLOOKUP(A927,'Remote work mental helath'!$A$2:$T$1001,12,)</f>
        <v>None</v>
      </c>
      <c r="C927" t="str">
        <f>VLOOKUP(A927,'Remote work mental helath'!$A$2:$T$1001,11,)</f>
        <v>Medium</v>
      </c>
      <c r="D927">
        <f>VLOOKUP('Mental Helath'!A927,'Remote work mental helath'!$A$2:$T$1001,10,)</f>
        <v>5</v>
      </c>
      <c r="E927" t="str">
        <f>VLOOKUP(A927,'Remote work mental helath'!A927:T1926,19,FALSE)</f>
        <v>Poor</v>
      </c>
      <c r="F927" t="str">
        <f>VLOOKUP(A927,'Remote work mental helath'!$A$2:$T$1001,18,)</f>
        <v>Daily</v>
      </c>
      <c r="G927">
        <f>VLOOKUP(A927,'Remote work mental helath'!$A$2:$T$1001,15,FALSE)</f>
        <v>2</v>
      </c>
      <c r="H927" t="str">
        <f>VLOOKUP(A927,'Remote work mental helath'!$A$2:$T$1001,14,)</f>
        <v>No Change</v>
      </c>
      <c r="I927" t="str">
        <f>VLOOKUP(A927,'Remote work mental helath'!$A$2:$T$1001,16,)</f>
        <v>Unsatisfied</v>
      </c>
      <c r="J927" t="str">
        <f>VLOOKUP(A927,'Remote work mental helath'!$A$2:$T$1001,13,)</f>
        <v>No</v>
      </c>
      <c r="K927">
        <f>VLOOKUP(A927,'Remote work mental helath'!$A$2:$T$1001,17,FALSE)</f>
        <v>3</v>
      </c>
    </row>
    <row r="928" spans="1:11" x14ac:dyDescent="0.3">
      <c r="A928" t="s">
        <v>977</v>
      </c>
      <c r="B928" t="str">
        <f>VLOOKUP(A928,'Remote work mental helath'!$A$2:$T$1001,12,)</f>
        <v>Depression</v>
      </c>
      <c r="C928" t="str">
        <f>VLOOKUP(A928,'Remote work mental helath'!$A$2:$T$1001,11,)</f>
        <v>High</v>
      </c>
      <c r="D928">
        <f>VLOOKUP('Mental Helath'!A928,'Remote work mental helath'!$A$2:$T$1001,10,)</f>
        <v>5</v>
      </c>
      <c r="E928" t="str">
        <f>VLOOKUP(A928,'Remote work mental helath'!A928:T1927,19,FALSE)</f>
        <v>Average</v>
      </c>
      <c r="F928" t="str">
        <f>VLOOKUP(A928,'Remote work mental helath'!$A$2:$T$1001,18,)</f>
        <v>Daily</v>
      </c>
      <c r="G928">
        <f>VLOOKUP(A928,'Remote work mental helath'!$A$2:$T$1001,15,FALSE)</f>
        <v>2</v>
      </c>
      <c r="H928" t="str">
        <f>VLOOKUP(A928,'Remote work mental helath'!$A$2:$T$1001,14,)</f>
        <v>Decrease</v>
      </c>
      <c r="I928" t="str">
        <f>VLOOKUP(A928,'Remote work mental helath'!$A$2:$T$1001,16,)</f>
        <v>Satisfied</v>
      </c>
      <c r="J928" t="str">
        <f>VLOOKUP(A928,'Remote work mental helath'!$A$2:$T$1001,13,)</f>
        <v>Yes</v>
      </c>
      <c r="K928">
        <f>VLOOKUP(A928,'Remote work mental helath'!$A$2:$T$1001,17,FALSE)</f>
        <v>3</v>
      </c>
    </row>
    <row r="929" spans="1:11" x14ac:dyDescent="0.3">
      <c r="A929" t="s">
        <v>978</v>
      </c>
      <c r="B929" t="str">
        <f>VLOOKUP(A929,'Remote work mental helath'!$A$2:$T$1001,12,)</f>
        <v>Depression</v>
      </c>
      <c r="C929" t="str">
        <f>VLOOKUP(A929,'Remote work mental helath'!$A$2:$T$1001,11,)</f>
        <v>Medium</v>
      </c>
      <c r="D929">
        <f>VLOOKUP('Mental Helath'!A929,'Remote work mental helath'!$A$2:$T$1001,10,)</f>
        <v>4</v>
      </c>
      <c r="E929" t="str">
        <f>VLOOKUP(A929,'Remote work mental helath'!A929:T1928,19,FALSE)</f>
        <v>Good</v>
      </c>
      <c r="F929" t="str">
        <f>VLOOKUP(A929,'Remote work mental helath'!$A$2:$T$1001,18,)</f>
        <v>Weekly</v>
      </c>
      <c r="G929">
        <f>VLOOKUP(A929,'Remote work mental helath'!$A$2:$T$1001,15,FALSE)</f>
        <v>3</v>
      </c>
      <c r="H929" t="str">
        <f>VLOOKUP(A929,'Remote work mental helath'!$A$2:$T$1001,14,)</f>
        <v>Decrease</v>
      </c>
      <c r="I929" t="str">
        <f>VLOOKUP(A929,'Remote work mental helath'!$A$2:$T$1001,16,)</f>
        <v>Neutral</v>
      </c>
      <c r="J929" t="str">
        <f>VLOOKUP(A929,'Remote work mental helath'!$A$2:$T$1001,13,)</f>
        <v>No</v>
      </c>
      <c r="K929">
        <f>VLOOKUP(A929,'Remote work mental helath'!$A$2:$T$1001,17,FALSE)</f>
        <v>4</v>
      </c>
    </row>
    <row r="930" spans="1:11" x14ac:dyDescent="0.3">
      <c r="A930" t="s">
        <v>979</v>
      </c>
      <c r="B930" t="str">
        <f>VLOOKUP(A930,'Remote work mental helath'!$A$2:$T$1001,12,)</f>
        <v>Anxiety</v>
      </c>
      <c r="C930" t="str">
        <f>VLOOKUP(A930,'Remote work mental helath'!$A$2:$T$1001,11,)</f>
        <v>Low</v>
      </c>
      <c r="D930">
        <f>VLOOKUP('Mental Helath'!A930,'Remote work mental helath'!$A$2:$T$1001,10,)</f>
        <v>4</v>
      </c>
      <c r="E930" t="str">
        <f>VLOOKUP(A930,'Remote work mental helath'!A930:T1929,19,FALSE)</f>
        <v>Good</v>
      </c>
      <c r="F930" t="str">
        <f>VLOOKUP(A930,'Remote work mental helath'!$A$2:$T$1001,18,)</f>
        <v>None</v>
      </c>
      <c r="G930">
        <f>VLOOKUP(A930,'Remote work mental helath'!$A$2:$T$1001,15,FALSE)</f>
        <v>1</v>
      </c>
      <c r="H930" t="str">
        <f>VLOOKUP(A930,'Remote work mental helath'!$A$2:$T$1001,14,)</f>
        <v>Increase</v>
      </c>
      <c r="I930" t="str">
        <f>VLOOKUP(A930,'Remote work mental helath'!$A$2:$T$1001,16,)</f>
        <v>Satisfied</v>
      </c>
      <c r="J930" t="str">
        <f>VLOOKUP(A930,'Remote work mental helath'!$A$2:$T$1001,13,)</f>
        <v>No</v>
      </c>
      <c r="K930">
        <f>VLOOKUP(A930,'Remote work mental helath'!$A$2:$T$1001,17,FALSE)</f>
        <v>4</v>
      </c>
    </row>
    <row r="931" spans="1:11" x14ac:dyDescent="0.3">
      <c r="A931" t="s">
        <v>980</v>
      </c>
      <c r="B931" t="str">
        <f>VLOOKUP(A931,'Remote work mental helath'!$A$2:$T$1001,12,)</f>
        <v>Anxiety</v>
      </c>
      <c r="C931" t="str">
        <f>VLOOKUP(A931,'Remote work mental helath'!$A$2:$T$1001,11,)</f>
        <v>Low</v>
      </c>
      <c r="D931">
        <f>VLOOKUP('Mental Helath'!A931,'Remote work mental helath'!$A$2:$T$1001,10,)</f>
        <v>4</v>
      </c>
      <c r="E931" t="str">
        <f>VLOOKUP(A931,'Remote work mental helath'!A931:T1930,19,FALSE)</f>
        <v>Average</v>
      </c>
      <c r="F931" t="str">
        <f>VLOOKUP(A931,'Remote work mental helath'!$A$2:$T$1001,18,)</f>
        <v>Weekly</v>
      </c>
      <c r="G931">
        <f>VLOOKUP(A931,'Remote work mental helath'!$A$2:$T$1001,15,FALSE)</f>
        <v>4</v>
      </c>
      <c r="H931" t="str">
        <f>VLOOKUP(A931,'Remote work mental helath'!$A$2:$T$1001,14,)</f>
        <v>No Change</v>
      </c>
      <c r="I931" t="str">
        <f>VLOOKUP(A931,'Remote work mental helath'!$A$2:$T$1001,16,)</f>
        <v>Neutral</v>
      </c>
      <c r="J931" t="str">
        <f>VLOOKUP(A931,'Remote work mental helath'!$A$2:$T$1001,13,)</f>
        <v>No</v>
      </c>
      <c r="K931">
        <f>VLOOKUP(A931,'Remote work mental helath'!$A$2:$T$1001,17,FALSE)</f>
        <v>1</v>
      </c>
    </row>
    <row r="932" spans="1:11" x14ac:dyDescent="0.3">
      <c r="A932" t="s">
        <v>981</v>
      </c>
      <c r="B932" t="str">
        <f>VLOOKUP(A932,'Remote work mental helath'!$A$2:$T$1001,12,)</f>
        <v>Depression</v>
      </c>
      <c r="C932" t="str">
        <f>VLOOKUP(A932,'Remote work mental helath'!$A$2:$T$1001,11,)</f>
        <v>Low</v>
      </c>
      <c r="D932">
        <f>VLOOKUP('Mental Helath'!A932,'Remote work mental helath'!$A$2:$T$1001,10,)</f>
        <v>1</v>
      </c>
      <c r="E932" t="str">
        <f>VLOOKUP(A932,'Remote work mental helath'!A932:T1931,19,FALSE)</f>
        <v>Poor</v>
      </c>
      <c r="F932" t="str">
        <f>VLOOKUP(A932,'Remote work mental helath'!$A$2:$T$1001,18,)</f>
        <v>Weekly</v>
      </c>
      <c r="G932">
        <f>VLOOKUP(A932,'Remote work mental helath'!$A$2:$T$1001,15,FALSE)</f>
        <v>2</v>
      </c>
      <c r="H932" t="str">
        <f>VLOOKUP(A932,'Remote work mental helath'!$A$2:$T$1001,14,)</f>
        <v>No Change</v>
      </c>
      <c r="I932" t="str">
        <f>VLOOKUP(A932,'Remote work mental helath'!$A$2:$T$1001,16,)</f>
        <v>Neutral</v>
      </c>
      <c r="J932" t="str">
        <f>VLOOKUP(A932,'Remote work mental helath'!$A$2:$T$1001,13,)</f>
        <v>No</v>
      </c>
      <c r="K932">
        <f>VLOOKUP(A932,'Remote work mental helath'!$A$2:$T$1001,17,FALSE)</f>
        <v>2</v>
      </c>
    </row>
    <row r="933" spans="1:11" x14ac:dyDescent="0.3">
      <c r="A933" t="s">
        <v>982</v>
      </c>
      <c r="B933" t="str">
        <f>VLOOKUP(A933,'Remote work mental helath'!$A$2:$T$1001,12,)</f>
        <v>Anxiety</v>
      </c>
      <c r="C933" t="str">
        <f>VLOOKUP(A933,'Remote work mental helath'!$A$2:$T$1001,11,)</f>
        <v>Low</v>
      </c>
      <c r="D933">
        <f>VLOOKUP('Mental Helath'!A933,'Remote work mental helath'!$A$2:$T$1001,10,)</f>
        <v>2</v>
      </c>
      <c r="E933" t="str">
        <f>VLOOKUP(A933,'Remote work mental helath'!A933:T1932,19,FALSE)</f>
        <v>Poor</v>
      </c>
      <c r="F933" t="str">
        <f>VLOOKUP(A933,'Remote work mental helath'!$A$2:$T$1001,18,)</f>
        <v>Weekly</v>
      </c>
      <c r="G933">
        <f>VLOOKUP(A933,'Remote work mental helath'!$A$2:$T$1001,15,FALSE)</f>
        <v>4</v>
      </c>
      <c r="H933" t="str">
        <f>VLOOKUP(A933,'Remote work mental helath'!$A$2:$T$1001,14,)</f>
        <v>Increase</v>
      </c>
      <c r="I933" t="str">
        <f>VLOOKUP(A933,'Remote work mental helath'!$A$2:$T$1001,16,)</f>
        <v>Neutral</v>
      </c>
      <c r="J933" t="str">
        <f>VLOOKUP(A933,'Remote work mental helath'!$A$2:$T$1001,13,)</f>
        <v>No</v>
      </c>
      <c r="K933">
        <f>VLOOKUP(A933,'Remote work mental helath'!$A$2:$T$1001,17,FALSE)</f>
        <v>3</v>
      </c>
    </row>
    <row r="934" spans="1:11" x14ac:dyDescent="0.3">
      <c r="A934" t="s">
        <v>983</v>
      </c>
      <c r="B934" t="str">
        <f>VLOOKUP(A934,'Remote work mental helath'!$A$2:$T$1001,12,)</f>
        <v>Depression</v>
      </c>
      <c r="C934" t="str">
        <f>VLOOKUP(A934,'Remote work mental helath'!$A$2:$T$1001,11,)</f>
        <v>Low</v>
      </c>
      <c r="D934">
        <f>VLOOKUP('Mental Helath'!A934,'Remote work mental helath'!$A$2:$T$1001,10,)</f>
        <v>4</v>
      </c>
      <c r="E934" t="str">
        <f>VLOOKUP(A934,'Remote work mental helath'!A934:T1933,19,FALSE)</f>
        <v>Poor</v>
      </c>
      <c r="F934" t="str">
        <f>VLOOKUP(A934,'Remote work mental helath'!$A$2:$T$1001,18,)</f>
        <v>Weekly</v>
      </c>
      <c r="G934">
        <f>VLOOKUP(A934,'Remote work mental helath'!$A$2:$T$1001,15,FALSE)</f>
        <v>4</v>
      </c>
      <c r="H934" t="str">
        <f>VLOOKUP(A934,'Remote work mental helath'!$A$2:$T$1001,14,)</f>
        <v>No Change</v>
      </c>
      <c r="I934" t="str">
        <f>VLOOKUP(A934,'Remote work mental helath'!$A$2:$T$1001,16,)</f>
        <v>Neutral</v>
      </c>
      <c r="J934" t="str">
        <f>VLOOKUP(A934,'Remote work mental helath'!$A$2:$T$1001,13,)</f>
        <v>Yes</v>
      </c>
      <c r="K934">
        <f>VLOOKUP(A934,'Remote work mental helath'!$A$2:$T$1001,17,FALSE)</f>
        <v>3</v>
      </c>
    </row>
    <row r="935" spans="1:11" x14ac:dyDescent="0.3">
      <c r="A935" t="s">
        <v>984</v>
      </c>
      <c r="B935" t="str">
        <f>VLOOKUP(A935,'Remote work mental helath'!$A$2:$T$1001,12,)</f>
        <v>Depression</v>
      </c>
      <c r="C935" t="str">
        <f>VLOOKUP(A935,'Remote work mental helath'!$A$2:$T$1001,11,)</f>
        <v>Medium</v>
      </c>
      <c r="D935">
        <f>VLOOKUP('Mental Helath'!A935,'Remote work mental helath'!$A$2:$T$1001,10,)</f>
        <v>2</v>
      </c>
      <c r="E935" t="str">
        <f>VLOOKUP(A935,'Remote work mental helath'!A935:T1934,19,FALSE)</f>
        <v>Good</v>
      </c>
      <c r="F935" t="str">
        <f>VLOOKUP(A935,'Remote work mental helath'!$A$2:$T$1001,18,)</f>
        <v>None</v>
      </c>
      <c r="G935">
        <f>VLOOKUP(A935,'Remote work mental helath'!$A$2:$T$1001,15,FALSE)</f>
        <v>1</v>
      </c>
      <c r="H935" t="str">
        <f>VLOOKUP(A935,'Remote work mental helath'!$A$2:$T$1001,14,)</f>
        <v>Increase</v>
      </c>
      <c r="I935" t="str">
        <f>VLOOKUP(A935,'Remote work mental helath'!$A$2:$T$1001,16,)</f>
        <v>Satisfied</v>
      </c>
      <c r="J935" t="str">
        <f>VLOOKUP(A935,'Remote work mental helath'!$A$2:$T$1001,13,)</f>
        <v>No</v>
      </c>
      <c r="K935">
        <f>VLOOKUP(A935,'Remote work mental helath'!$A$2:$T$1001,17,FALSE)</f>
        <v>5</v>
      </c>
    </row>
    <row r="936" spans="1:11" x14ac:dyDescent="0.3">
      <c r="A936" t="s">
        <v>985</v>
      </c>
      <c r="B936" t="str">
        <f>VLOOKUP(A936,'Remote work mental helath'!$A$2:$T$1001,12,)</f>
        <v>Anxiety</v>
      </c>
      <c r="C936" t="str">
        <f>VLOOKUP(A936,'Remote work mental helath'!$A$2:$T$1001,11,)</f>
        <v>Medium</v>
      </c>
      <c r="D936">
        <f>VLOOKUP('Mental Helath'!A936,'Remote work mental helath'!$A$2:$T$1001,10,)</f>
        <v>2</v>
      </c>
      <c r="E936" t="str">
        <f>VLOOKUP(A936,'Remote work mental helath'!A936:T1935,19,FALSE)</f>
        <v>Average</v>
      </c>
      <c r="F936" t="str">
        <f>VLOOKUP(A936,'Remote work mental helath'!$A$2:$T$1001,18,)</f>
        <v>Daily</v>
      </c>
      <c r="G936">
        <f>VLOOKUP(A936,'Remote work mental helath'!$A$2:$T$1001,15,FALSE)</f>
        <v>4</v>
      </c>
      <c r="H936" t="str">
        <f>VLOOKUP(A936,'Remote work mental helath'!$A$2:$T$1001,14,)</f>
        <v>Decrease</v>
      </c>
      <c r="I936" t="str">
        <f>VLOOKUP(A936,'Remote work mental helath'!$A$2:$T$1001,16,)</f>
        <v>Satisfied</v>
      </c>
      <c r="J936" t="str">
        <f>VLOOKUP(A936,'Remote work mental helath'!$A$2:$T$1001,13,)</f>
        <v>No</v>
      </c>
      <c r="K936">
        <f>VLOOKUP(A936,'Remote work mental helath'!$A$2:$T$1001,17,FALSE)</f>
        <v>2</v>
      </c>
    </row>
    <row r="937" spans="1:11" x14ac:dyDescent="0.3">
      <c r="A937" t="s">
        <v>986</v>
      </c>
      <c r="B937" t="str">
        <f>VLOOKUP(A937,'Remote work mental helath'!$A$2:$T$1001,12,)</f>
        <v>None</v>
      </c>
      <c r="C937" t="str">
        <f>VLOOKUP(A937,'Remote work mental helath'!$A$2:$T$1001,11,)</f>
        <v>Low</v>
      </c>
      <c r="D937">
        <f>VLOOKUP('Mental Helath'!A937,'Remote work mental helath'!$A$2:$T$1001,10,)</f>
        <v>1</v>
      </c>
      <c r="E937" t="str">
        <f>VLOOKUP(A937,'Remote work mental helath'!A937:T1936,19,FALSE)</f>
        <v>Good</v>
      </c>
      <c r="F937" t="str">
        <f>VLOOKUP(A937,'Remote work mental helath'!$A$2:$T$1001,18,)</f>
        <v>Weekly</v>
      </c>
      <c r="G937">
        <f>VLOOKUP(A937,'Remote work mental helath'!$A$2:$T$1001,15,FALSE)</f>
        <v>2</v>
      </c>
      <c r="H937" t="str">
        <f>VLOOKUP(A937,'Remote work mental helath'!$A$2:$T$1001,14,)</f>
        <v>No Change</v>
      </c>
      <c r="I937" t="str">
        <f>VLOOKUP(A937,'Remote work mental helath'!$A$2:$T$1001,16,)</f>
        <v>Satisfied</v>
      </c>
      <c r="J937" t="str">
        <f>VLOOKUP(A937,'Remote work mental helath'!$A$2:$T$1001,13,)</f>
        <v>No</v>
      </c>
      <c r="K937">
        <f>VLOOKUP(A937,'Remote work mental helath'!$A$2:$T$1001,17,FALSE)</f>
        <v>5</v>
      </c>
    </row>
    <row r="938" spans="1:11" x14ac:dyDescent="0.3">
      <c r="A938" t="s">
        <v>987</v>
      </c>
      <c r="B938" t="str">
        <f>VLOOKUP(A938,'Remote work mental helath'!$A$2:$T$1001,12,)</f>
        <v>Burnout</v>
      </c>
      <c r="C938" t="str">
        <f>VLOOKUP(A938,'Remote work mental helath'!$A$2:$T$1001,11,)</f>
        <v>Medium</v>
      </c>
      <c r="D938">
        <f>VLOOKUP('Mental Helath'!A938,'Remote work mental helath'!$A$2:$T$1001,10,)</f>
        <v>3</v>
      </c>
      <c r="E938" t="str">
        <f>VLOOKUP(A938,'Remote work mental helath'!A938:T1937,19,FALSE)</f>
        <v>Average</v>
      </c>
      <c r="F938" t="str">
        <f>VLOOKUP(A938,'Remote work mental helath'!$A$2:$T$1001,18,)</f>
        <v>None</v>
      </c>
      <c r="G938">
        <f>VLOOKUP(A938,'Remote work mental helath'!$A$2:$T$1001,15,FALSE)</f>
        <v>3</v>
      </c>
      <c r="H938" t="str">
        <f>VLOOKUP(A938,'Remote work mental helath'!$A$2:$T$1001,14,)</f>
        <v>Increase</v>
      </c>
      <c r="I938" t="str">
        <f>VLOOKUP(A938,'Remote work mental helath'!$A$2:$T$1001,16,)</f>
        <v>Unsatisfied</v>
      </c>
      <c r="J938" t="str">
        <f>VLOOKUP(A938,'Remote work mental helath'!$A$2:$T$1001,13,)</f>
        <v>Yes</v>
      </c>
      <c r="K938">
        <f>VLOOKUP(A938,'Remote work mental helath'!$A$2:$T$1001,17,FALSE)</f>
        <v>4</v>
      </c>
    </row>
    <row r="939" spans="1:11" x14ac:dyDescent="0.3">
      <c r="A939" t="s">
        <v>988</v>
      </c>
      <c r="B939" t="str">
        <f>VLOOKUP(A939,'Remote work mental helath'!$A$2:$T$1001,12,)</f>
        <v>Anxiety</v>
      </c>
      <c r="C939" t="str">
        <f>VLOOKUP(A939,'Remote work mental helath'!$A$2:$T$1001,11,)</f>
        <v>Low</v>
      </c>
      <c r="D939">
        <f>VLOOKUP('Mental Helath'!A939,'Remote work mental helath'!$A$2:$T$1001,10,)</f>
        <v>1</v>
      </c>
      <c r="E939" t="str">
        <f>VLOOKUP(A939,'Remote work mental helath'!A939:T1938,19,FALSE)</f>
        <v>Good</v>
      </c>
      <c r="F939" t="str">
        <f>VLOOKUP(A939,'Remote work mental helath'!$A$2:$T$1001,18,)</f>
        <v>None</v>
      </c>
      <c r="G939">
        <f>VLOOKUP(A939,'Remote work mental helath'!$A$2:$T$1001,15,FALSE)</f>
        <v>1</v>
      </c>
      <c r="H939" t="str">
        <f>VLOOKUP(A939,'Remote work mental helath'!$A$2:$T$1001,14,)</f>
        <v>Increase</v>
      </c>
      <c r="I939" t="str">
        <f>VLOOKUP(A939,'Remote work mental helath'!$A$2:$T$1001,16,)</f>
        <v>Satisfied</v>
      </c>
      <c r="J939" t="str">
        <f>VLOOKUP(A939,'Remote work mental helath'!$A$2:$T$1001,13,)</f>
        <v>No</v>
      </c>
      <c r="K939">
        <f>VLOOKUP(A939,'Remote work mental helath'!$A$2:$T$1001,17,FALSE)</f>
        <v>5</v>
      </c>
    </row>
    <row r="940" spans="1:11" x14ac:dyDescent="0.3">
      <c r="A940" t="s">
        <v>989</v>
      </c>
      <c r="B940" t="str">
        <f>VLOOKUP(A940,'Remote work mental helath'!$A$2:$T$1001,12,)</f>
        <v>Anxiety</v>
      </c>
      <c r="C940" t="str">
        <f>VLOOKUP(A940,'Remote work mental helath'!$A$2:$T$1001,11,)</f>
        <v>High</v>
      </c>
      <c r="D940">
        <f>VLOOKUP('Mental Helath'!A940,'Remote work mental helath'!$A$2:$T$1001,10,)</f>
        <v>2</v>
      </c>
      <c r="E940" t="str">
        <f>VLOOKUP(A940,'Remote work mental helath'!A940:T1939,19,FALSE)</f>
        <v>Average</v>
      </c>
      <c r="F940" t="str">
        <f>VLOOKUP(A940,'Remote work mental helath'!$A$2:$T$1001,18,)</f>
        <v>Weekly</v>
      </c>
      <c r="G940">
        <f>VLOOKUP(A940,'Remote work mental helath'!$A$2:$T$1001,15,FALSE)</f>
        <v>3</v>
      </c>
      <c r="H940" t="str">
        <f>VLOOKUP(A940,'Remote work mental helath'!$A$2:$T$1001,14,)</f>
        <v>Decrease</v>
      </c>
      <c r="I940" t="str">
        <f>VLOOKUP(A940,'Remote work mental helath'!$A$2:$T$1001,16,)</f>
        <v>Neutral</v>
      </c>
      <c r="J940" t="str">
        <f>VLOOKUP(A940,'Remote work mental helath'!$A$2:$T$1001,13,)</f>
        <v>Yes</v>
      </c>
      <c r="K940">
        <f>VLOOKUP(A940,'Remote work mental helath'!$A$2:$T$1001,17,FALSE)</f>
        <v>5</v>
      </c>
    </row>
    <row r="941" spans="1:11" x14ac:dyDescent="0.3">
      <c r="A941" t="s">
        <v>990</v>
      </c>
      <c r="B941" t="str">
        <f>VLOOKUP(A941,'Remote work mental helath'!$A$2:$T$1001,12,)</f>
        <v>None</v>
      </c>
      <c r="C941" t="str">
        <f>VLOOKUP(A941,'Remote work mental helath'!$A$2:$T$1001,11,)</f>
        <v>Medium</v>
      </c>
      <c r="D941">
        <f>VLOOKUP('Mental Helath'!A941,'Remote work mental helath'!$A$2:$T$1001,10,)</f>
        <v>4</v>
      </c>
      <c r="E941" t="str">
        <f>VLOOKUP(A941,'Remote work mental helath'!A941:T1940,19,FALSE)</f>
        <v>Good</v>
      </c>
      <c r="F941" t="str">
        <f>VLOOKUP(A941,'Remote work mental helath'!$A$2:$T$1001,18,)</f>
        <v>Daily</v>
      </c>
      <c r="G941">
        <f>VLOOKUP(A941,'Remote work mental helath'!$A$2:$T$1001,15,FALSE)</f>
        <v>5</v>
      </c>
      <c r="H941" t="str">
        <f>VLOOKUP(A941,'Remote work mental helath'!$A$2:$T$1001,14,)</f>
        <v>Increase</v>
      </c>
      <c r="I941" t="str">
        <f>VLOOKUP(A941,'Remote work mental helath'!$A$2:$T$1001,16,)</f>
        <v>Neutral</v>
      </c>
      <c r="J941" t="str">
        <f>VLOOKUP(A941,'Remote work mental helath'!$A$2:$T$1001,13,)</f>
        <v>No</v>
      </c>
      <c r="K941">
        <f>VLOOKUP(A941,'Remote work mental helath'!$A$2:$T$1001,17,FALSE)</f>
        <v>3</v>
      </c>
    </row>
    <row r="942" spans="1:11" x14ac:dyDescent="0.3">
      <c r="A942" t="s">
        <v>991</v>
      </c>
      <c r="B942" t="str">
        <f>VLOOKUP(A942,'Remote work mental helath'!$A$2:$T$1001,12,)</f>
        <v>Burnout</v>
      </c>
      <c r="C942" t="str">
        <f>VLOOKUP(A942,'Remote work mental helath'!$A$2:$T$1001,11,)</f>
        <v>High</v>
      </c>
      <c r="D942">
        <f>VLOOKUP('Mental Helath'!A942,'Remote work mental helath'!$A$2:$T$1001,10,)</f>
        <v>2</v>
      </c>
      <c r="E942" t="str">
        <f>VLOOKUP(A942,'Remote work mental helath'!A942:T1941,19,FALSE)</f>
        <v>Good</v>
      </c>
      <c r="F942" t="str">
        <f>VLOOKUP(A942,'Remote work mental helath'!$A$2:$T$1001,18,)</f>
        <v>None</v>
      </c>
      <c r="G942">
        <f>VLOOKUP(A942,'Remote work mental helath'!$A$2:$T$1001,15,FALSE)</f>
        <v>3</v>
      </c>
      <c r="H942" t="str">
        <f>VLOOKUP(A942,'Remote work mental helath'!$A$2:$T$1001,14,)</f>
        <v>Decrease</v>
      </c>
      <c r="I942" t="str">
        <f>VLOOKUP(A942,'Remote work mental helath'!$A$2:$T$1001,16,)</f>
        <v>Neutral</v>
      </c>
      <c r="J942" t="str">
        <f>VLOOKUP(A942,'Remote work mental helath'!$A$2:$T$1001,13,)</f>
        <v>Yes</v>
      </c>
      <c r="K942">
        <f>VLOOKUP(A942,'Remote work mental helath'!$A$2:$T$1001,17,FALSE)</f>
        <v>4</v>
      </c>
    </row>
    <row r="943" spans="1:11" x14ac:dyDescent="0.3">
      <c r="A943" t="s">
        <v>992</v>
      </c>
      <c r="B943" t="str">
        <f>VLOOKUP(A943,'Remote work mental helath'!$A$2:$T$1001,12,)</f>
        <v>Anxiety</v>
      </c>
      <c r="C943" t="str">
        <f>VLOOKUP(A943,'Remote work mental helath'!$A$2:$T$1001,11,)</f>
        <v>Medium</v>
      </c>
      <c r="D943">
        <f>VLOOKUP('Mental Helath'!A943,'Remote work mental helath'!$A$2:$T$1001,10,)</f>
        <v>3</v>
      </c>
      <c r="E943" t="str">
        <f>VLOOKUP(A943,'Remote work mental helath'!A943:T1942,19,FALSE)</f>
        <v>Average</v>
      </c>
      <c r="F943" t="str">
        <f>VLOOKUP(A943,'Remote work mental helath'!$A$2:$T$1001,18,)</f>
        <v>Weekly</v>
      </c>
      <c r="G943">
        <f>VLOOKUP(A943,'Remote work mental helath'!$A$2:$T$1001,15,FALSE)</f>
        <v>5</v>
      </c>
      <c r="H943" t="str">
        <f>VLOOKUP(A943,'Remote work mental helath'!$A$2:$T$1001,14,)</f>
        <v>Decrease</v>
      </c>
      <c r="I943" t="str">
        <f>VLOOKUP(A943,'Remote work mental helath'!$A$2:$T$1001,16,)</f>
        <v>Neutral</v>
      </c>
      <c r="J943" t="str">
        <f>VLOOKUP(A943,'Remote work mental helath'!$A$2:$T$1001,13,)</f>
        <v>Yes</v>
      </c>
      <c r="K943">
        <f>VLOOKUP(A943,'Remote work mental helath'!$A$2:$T$1001,17,FALSE)</f>
        <v>1</v>
      </c>
    </row>
    <row r="944" spans="1:11" x14ac:dyDescent="0.3">
      <c r="A944" t="s">
        <v>993</v>
      </c>
      <c r="B944" t="str">
        <f>VLOOKUP(A944,'Remote work mental helath'!$A$2:$T$1001,12,)</f>
        <v>Burnout</v>
      </c>
      <c r="C944" t="str">
        <f>VLOOKUP(A944,'Remote work mental helath'!$A$2:$T$1001,11,)</f>
        <v>High</v>
      </c>
      <c r="D944">
        <f>VLOOKUP('Mental Helath'!A944,'Remote work mental helath'!$A$2:$T$1001,10,)</f>
        <v>3</v>
      </c>
      <c r="E944" t="str">
        <f>VLOOKUP(A944,'Remote work mental helath'!A944:T1943,19,FALSE)</f>
        <v>Average</v>
      </c>
      <c r="F944" t="str">
        <f>VLOOKUP(A944,'Remote work mental helath'!$A$2:$T$1001,18,)</f>
        <v>None</v>
      </c>
      <c r="G944">
        <f>VLOOKUP(A944,'Remote work mental helath'!$A$2:$T$1001,15,FALSE)</f>
        <v>4</v>
      </c>
      <c r="H944" t="str">
        <f>VLOOKUP(A944,'Remote work mental helath'!$A$2:$T$1001,14,)</f>
        <v>No Change</v>
      </c>
      <c r="I944" t="str">
        <f>VLOOKUP(A944,'Remote work mental helath'!$A$2:$T$1001,16,)</f>
        <v>Satisfied</v>
      </c>
      <c r="J944" t="str">
        <f>VLOOKUP(A944,'Remote work mental helath'!$A$2:$T$1001,13,)</f>
        <v>Yes</v>
      </c>
      <c r="K944">
        <f>VLOOKUP(A944,'Remote work mental helath'!$A$2:$T$1001,17,FALSE)</f>
        <v>1</v>
      </c>
    </row>
    <row r="945" spans="1:11" x14ac:dyDescent="0.3">
      <c r="A945" t="s">
        <v>994</v>
      </c>
      <c r="B945" t="str">
        <f>VLOOKUP(A945,'Remote work mental helath'!$A$2:$T$1001,12,)</f>
        <v>None</v>
      </c>
      <c r="C945" t="str">
        <f>VLOOKUP(A945,'Remote work mental helath'!$A$2:$T$1001,11,)</f>
        <v>Medium</v>
      </c>
      <c r="D945">
        <f>VLOOKUP('Mental Helath'!A945,'Remote work mental helath'!$A$2:$T$1001,10,)</f>
        <v>5</v>
      </c>
      <c r="E945" t="str">
        <f>VLOOKUP(A945,'Remote work mental helath'!A945:T1944,19,FALSE)</f>
        <v>Good</v>
      </c>
      <c r="F945" t="str">
        <f>VLOOKUP(A945,'Remote work mental helath'!$A$2:$T$1001,18,)</f>
        <v>Daily</v>
      </c>
      <c r="G945">
        <f>VLOOKUP(A945,'Remote work mental helath'!$A$2:$T$1001,15,FALSE)</f>
        <v>2</v>
      </c>
      <c r="H945" t="str">
        <f>VLOOKUP(A945,'Remote work mental helath'!$A$2:$T$1001,14,)</f>
        <v>No Change</v>
      </c>
      <c r="I945" t="str">
        <f>VLOOKUP(A945,'Remote work mental helath'!$A$2:$T$1001,16,)</f>
        <v>Satisfied</v>
      </c>
      <c r="J945" t="str">
        <f>VLOOKUP(A945,'Remote work mental helath'!$A$2:$T$1001,13,)</f>
        <v>No</v>
      </c>
      <c r="K945">
        <f>VLOOKUP(A945,'Remote work mental helath'!$A$2:$T$1001,17,FALSE)</f>
        <v>2</v>
      </c>
    </row>
    <row r="946" spans="1:11" x14ac:dyDescent="0.3">
      <c r="A946" t="s">
        <v>995</v>
      </c>
      <c r="B946" t="str">
        <f>VLOOKUP(A946,'Remote work mental helath'!$A$2:$T$1001,12,)</f>
        <v>Anxiety</v>
      </c>
      <c r="C946" t="str">
        <f>VLOOKUP(A946,'Remote work mental helath'!$A$2:$T$1001,11,)</f>
        <v>High</v>
      </c>
      <c r="D946">
        <f>VLOOKUP('Mental Helath'!A946,'Remote work mental helath'!$A$2:$T$1001,10,)</f>
        <v>2</v>
      </c>
      <c r="E946" t="str">
        <f>VLOOKUP(A946,'Remote work mental helath'!A946:T1945,19,FALSE)</f>
        <v>Good</v>
      </c>
      <c r="F946" t="str">
        <f>VLOOKUP(A946,'Remote work mental helath'!$A$2:$T$1001,18,)</f>
        <v>Weekly</v>
      </c>
      <c r="G946">
        <f>VLOOKUP(A946,'Remote work mental helath'!$A$2:$T$1001,15,FALSE)</f>
        <v>3</v>
      </c>
      <c r="H946" t="str">
        <f>VLOOKUP(A946,'Remote work mental helath'!$A$2:$T$1001,14,)</f>
        <v>Increase</v>
      </c>
      <c r="I946" t="str">
        <f>VLOOKUP(A946,'Remote work mental helath'!$A$2:$T$1001,16,)</f>
        <v>Satisfied</v>
      </c>
      <c r="J946" t="str">
        <f>VLOOKUP(A946,'Remote work mental helath'!$A$2:$T$1001,13,)</f>
        <v>No</v>
      </c>
      <c r="K946">
        <f>VLOOKUP(A946,'Remote work mental helath'!$A$2:$T$1001,17,FALSE)</f>
        <v>3</v>
      </c>
    </row>
    <row r="947" spans="1:11" x14ac:dyDescent="0.3">
      <c r="A947" t="s">
        <v>996</v>
      </c>
      <c r="B947" t="str">
        <f>VLOOKUP(A947,'Remote work mental helath'!$A$2:$T$1001,12,)</f>
        <v>None</v>
      </c>
      <c r="C947" t="str">
        <f>VLOOKUP(A947,'Remote work mental helath'!$A$2:$T$1001,11,)</f>
        <v>High</v>
      </c>
      <c r="D947">
        <f>VLOOKUP('Mental Helath'!A947,'Remote work mental helath'!$A$2:$T$1001,10,)</f>
        <v>1</v>
      </c>
      <c r="E947" t="str">
        <f>VLOOKUP(A947,'Remote work mental helath'!A947:T1946,19,FALSE)</f>
        <v>Average</v>
      </c>
      <c r="F947" t="str">
        <f>VLOOKUP(A947,'Remote work mental helath'!$A$2:$T$1001,18,)</f>
        <v>Daily</v>
      </c>
      <c r="G947">
        <f>VLOOKUP(A947,'Remote work mental helath'!$A$2:$T$1001,15,FALSE)</f>
        <v>5</v>
      </c>
      <c r="H947" t="str">
        <f>VLOOKUP(A947,'Remote work mental helath'!$A$2:$T$1001,14,)</f>
        <v>Increase</v>
      </c>
      <c r="I947" t="str">
        <f>VLOOKUP(A947,'Remote work mental helath'!$A$2:$T$1001,16,)</f>
        <v>Neutral</v>
      </c>
      <c r="J947" t="str">
        <f>VLOOKUP(A947,'Remote work mental helath'!$A$2:$T$1001,13,)</f>
        <v>Yes</v>
      </c>
      <c r="K947">
        <f>VLOOKUP(A947,'Remote work mental helath'!$A$2:$T$1001,17,FALSE)</f>
        <v>2</v>
      </c>
    </row>
    <row r="948" spans="1:11" x14ac:dyDescent="0.3">
      <c r="A948" t="s">
        <v>997</v>
      </c>
      <c r="B948" t="str">
        <f>VLOOKUP(A948,'Remote work mental helath'!$A$2:$T$1001,12,)</f>
        <v>None</v>
      </c>
      <c r="C948" t="str">
        <f>VLOOKUP(A948,'Remote work mental helath'!$A$2:$T$1001,11,)</f>
        <v>Medium</v>
      </c>
      <c r="D948">
        <f>VLOOKUP('Mental Helath'!A948,'Remote work mental helath'!$A$2:$T$1001,10,)</f>
        <v>2</v>
      </c>
      <c r="E948" t="str">
        <f>VLOOKUP(A948,'Remote work mental helath'!A948:T1947,19,FALSE)</f>
        <v>Average</v>
      </c>
      <c r="F948" t="str">
        <f>VLOOKUP(A948,'Remote work mental helath'!$A$2:$T$1001,18,)</f>
        <v>Daily</v>
      </c>
      <c r="G948">
        <f>VLOOKUP(A948,'Remote work mental helath'!$A$2:$T$1001,15,FALSE)</f>
        <v>4</v>
      </c>
      <c r="H948" t="str">
        <f>VLOOKUP(A948,'Remote work mental helath'!$A$2:$T$1001,14,)</f>
        <v>No Change</v>
      </c>
      <c r="I948" t="str">
        <f>VLOOKUP(A948,'Remote work mental helath'!$A$2:$T$1001,16,)</f>
        <v>Satisfied</v>
      </c>
      <c r="J948" t="str">
        <f>VLOOKUP(A948,'Remote work mental helath'!$A$2:$T$1001,13,)</f>
        <v>Yes</v>
      </c>
      <c r="K948">
        <f>VLOOKUP(A948,'Remote work mental helath'!$A$2:$T$1001,17,FALSE)</f>
        <v>5</v>
      </c>
    </row>
    <row r="949" spans="1:11" x14ac:dyDescent="0.3">
      <c r="A949" t="s">
        <v>998</v>
      </c>
      <c r="B949" t="str">
        <f>VLOOKUP(A949,'Remote work mental helath'!$A$2:$T$1001,12,)</f>
        <v>Burnout</v>
      </c>
      <c r="C949" t="str">
        <f>VLOOKUP(A949,'Remote work mental helath'!$A$2:$T$1001,11,)</f>
        <v>Medium</v>
      </c>
      <c r="D949">
        <f>VLOOKUP('Mental Helath'!A949,'Remote work mental helath'!$A$2:$T$1001,10,)</f>
        <v>5</v>
      </c>
      <c r="E949" t="str">
        <f>VLOOKUP(A949,'Remote work mental helath'!A949:T1948,19,FALSE)</f>
        <v>Poor</v>
      </c>
      <c r="F949" t="str">
        <f>VLOOKUP(A949,'Remote work mental helath'!$A$2:$T$1001,18,)</f>
        <v>Weekly</v>
      </c>
      <c r="G949">
        <f>VLOOKUP(A949,'Remote work mental helath'!$A$2:$T$1001,15,FALSE)</f>
        <v>1</v>
      </c>
      <c r="H949" t="str">
        <f>VLOOKUP(A949,'Remote work mental helath'!$A$2:$T$1001,14,)</f>
        <v>Decrease</v>
      </c>
      <c r="I949" t="str">
        <f>VLOOKUP(A949,'Remote work mental helath'!$A$2:$T$1001,16,)</f>
        <v>Unsatisfied</v>
      </c>
      <c r="J949" t="str">
        <f>VLOOKUP(A949,'Remote work mental helath'!$A$2:$T$1001,13,)</f>
        <v>No</v>
      </c>
      <c r="K949">
        <f>VLOOKUP(A949,'Remote work mental helath'!$A$2:$T$1001,17,FALSE)</f>
        <v>5</v>
      </c>
    </row>
    <row r="950" spans="1:11" x14ac:dyDescent="0.3">
      <c r="A950" t="s">
        <v>999</v>
      </c>
      <c r="B950" t="str">
        <f>VLOOKUP(A950,'Remote work mental helath'!$A$2:$T$1001,12,)</f>
        <v>Anxiety</v>
      </c>
      <c r="C950" t="str">
        <f>VLOOKUP(A950,'Remote work mental helath'!$A$2:$T$1001,11,)</f>
        <v>Low</v>
      </c>
      <c r="D950">
        <f>VLOOKUP('Mental Helath'!A950,'Remote work mental helath'!$A$2:$T$1001,10,)</f>
        <v>4</v>
      </c>
      <c r="E950" t="str">
        <f>VLOOKUP(A950,'Remote work mental helath'!A950:T1949,19,FALSE)</f>
        <v>Good</v>
      </c>
      <c r="F950" t="str">
        <f>VLOOKUP(A950,'Remote work mental helath'!$A$2:$T$1001,18,)</f>
        <v>None</v>
      </c>
      <c r="G950">
        <f>VLOOKUP(A950,'Remote work mental helath'!$A$2:$T$1001,15,FALSE)</f>
        <v>4</v>
      </c>
      <c r="H950" t="str">
        <f>VLOOKUP(A950,'Remote work mental helath'!$A$2:$T$1001,14,)</f>
        <v>Decrease</v>
      </c>
      <c r="I950" t="str">
        <f>VLOOKUP(A950,'Remote work mental helath'!$A$2:$T$1001,16,)</f>
        <v>Neutral</v>
      </c>
      <c r="J950" t="str">
        <f>VLOOKUP(A950,'Remote work mental helath'!$A$2:$T$1001,13,)</f>
        <v>No</v>
      </c>
      <c r="K950">
        <f>VLOOKUP(A950,'Remote work mental helath'!$A$2:$T$1001,17,FALSE)</f>
        <v>2</v>
      </c>
    </row>
    <row r="951" spans="1:11" x14ac:dyDescent="0.3">
      <c r="A951" t="s">
        <v>1000</v>
      </c>
      <c r="B951" t="str">
        <f>VLOOKUP(A951,'Remote work mental helath'!$A$2:$T$1001,12,)</f>
        <v>Anxiety</v>
      </c>
      <c r="C951" t="str">
        <f>VLOOKUP(A951,'Remote work mental helath'!$A$2:$T$1001,11,)</f>
        <v>Low</v>
      </c>
      <c r="D951">
        <f>VLOOKUP('Mental Helath'!A951,'Remote work mental helath'!$A$2:$T$1001,10,)</f>
        <v>4</v>
      </c>
      <c r="E951" t="str">
        <f>VLOOKUP(A951,'Remote work mental helath'!A951:T1950,19,FALSE)</f>
        <v>Good</v>
      </c>
      <c r="F951" t="str">
        <f>VLOOKUP(A951,'Remote work mental helath'!$A$2:$T$1001,18,)</f>
        <v>Daily</v>
      </c>
      <c r="G951">
        <f>VLOOKUP(A951,'Remote work mental helath'!$A$2:$T$1001,15,FALSE)</f>
        <v>1</v>
      </c>
      <c r="H951" t="str">
        <f>VLOOKUP(A951,'Remote work mental helath'!$A$2:$T$1001,14,)</f>
        <v>Decrease</v>
      </c>
      <c r="I951" t="str">
        <f>VLOOKUP(A951,'Remote work mental helath'!$A$2:$T$1001,16,)</f>
        <v>Satisfied</v>
      </c>
      <c r="J951" t="str">
        <f>VLOOKUP(A951,'Remote work mental helath'!$A$2:$T$1001,13,)</f>
        <v>No</v>
      </c>
      <c r="K951">
        <f>VLOOKUP(A951,'Remote work mental helath'!$A$2:$T$1001,17,FALSE)</f>
        <v>5</v>
      </c>
    </row>
    <row r="952" spans="1:11" x14ac:dyDescent="0.3">
      <c r="A952" t="s">
        <v>1001</v>
      </c>
      <c r="B952" t="str">
        <f>VLOOKUP(A952,'Remote work mental helath'!$A$2:$T$1001,12,)</f>
        <v>None</v>
      </c>
      <c r="C952" t="str">
        <f>VLOOKUP(A952,'Remote work mental helath'!$A$2:$T$1001,11,)</f>
        <v>Medium</v>
      </c>
      <c r="D952">
        <f>VLOOKUP('Mental Helath'!A952,'Remote work mental helath'!$A$2:$T$1001,10,)</f>
        <v>4</v>
      </c>
      <c r="E952" t="str">
        <f>VLOOKUP(A952,'Remote work mental helath'!A952:T1951,19,FALSE)</f>
        <v>Good</v>
      </c>
      <c r="F952" t="str">
        <f>VLOOKUP(A952,'Remote work mental helath'!$A$2:$T$1001,18,)</f>
        <v>Daily</v>
      </c>
      <c r="G952">
        <f>VLOOKUP(A952,'Remote work mental helath'!$A$2:$T$1001,15,FALSE)</f>
        <v>1</v>
      </c>
      <c r="H952" t="str">
        <f>VLOOKUP(A952,'Remote work mental helath'!$A$2:$T$1001,14,)</f>
        <v>Decrease</v>
      </c>
      <c r="I952" t="str">
        <f>VLOOKUP(A952,'Remote work mental helath'!$A$2:$T$1001,16,)</f>
        <v>Unsatisfied</v>
      </c>
      <c r="J952" t="str">
        <f>VLOOKUP(A952,'Remote work mental helath'!$A$2:$T$1001,13,)</f>
        <v>No</v>
      </c>
      <c r="K952">
        <f>VLOOKUP(A952,'Remote work mental helath'!$A$2:$T$1001,17,FALSE)</f>
        <v>2</v>
      </c>
    </row>
    <row r="953" spans="1:11" x14ac:dyDescent="0.3">
      <c r="A953" t="s">
        <v>1002</v>
      </c>
      <c r="B953" t="str">
        <f>VLOOKUP(A953,'Remote work mental helath'!$A$2:$T$1001,12,)</f>
        <v>Depression</v>
      </c>
      <c r="C953" t="str">
        <f>VLOOKUP(A953,'Remote work mental helath'!$A$2:$T$1001,11,)</f>
        <v>Low</v>
      </c>
      <c r="D953">
        <f>VLOOKUP('Mental Helath'!A953,'Remote work mental helath'!$A$2:$T$1001,10,)</f>
        <v>5</v>
      </c>
      <c r="E953" t="str">
        <f>VLOOKUP(A953,'Remote work mental helath'!A953:T1952,19,FALSE)</f>
        <v>Good</v>
      </c>
      <c r="F953" t="str">
        <f>VLOOKUP(A953,'Remote work mental helath'!$A$2:$T$1001,18,)</f>
        <v>Daily</v>
      </c>
      <c r="G953">
        <f>VLOOKUP(A953,'Remote work mental helath'!$A$2:$T$1001,15,FALSE)</f>
        <v>2</v>
      </c>
      <c r="H953" t="str">
        <f>VLOOKUP(A953,'Remote work mental helath'!$A$2:$T$1001,14,)</f>
        <v>Decrease</v>
      </c>
      <c r="I953" t="str">
        <f>VLOOKUP(A953,'Remote work mental helath'!$A$2:$T$1001,16,)</f>
        <v>Neutral</v>
      </c>
      <c r="J953" t="str">
        <f>VLOOKUP(A953,'Remote work mental helath'!$A$2:$T$1001,13,)</f>
        <v>Yes</v>
      </c>
      <c r="K953">
        <f>VLOOKUP(A953,'Remote work mental helath'!$A$2:$T$1001,17,FALSE)</f>
        <v>2</v>
      </c>
    </row>
    <row r="954" spans="1:11" x14ac:dyDescent="0.3">
      <c r="A954" t="s">
        <v>1003</v>
      </c>
      <c r="B954" t="str">
        <f>VLOOKUP(A954,'Remote work mental helath'!$A$2:$T$1001,12,)</f>
        <v>Anxiety</v>
      </c>
      <c r="C954" t="str">
        <f>VLOOKUP(A954,'Remote work mental helath'!$A$2:$T$1001,11,)</f>
        <v>High</v>
      </c>
      <c r="D954">
        <f>VLOOKUP('Mental Helath'!A954,'Remote work mental helath'!$A$2:$T$1001,10,)</f>
        <v>3</v>
      </c>
      <c r="E954" t="str">
        <f>VLOOKUP(A954,'Remote work mental helath'!A954:T1953,19,FALSE)</f>
        <v>Good</v>
      </c>
      <c r="F954" t="str">
        <f>VLOOKUP(A954,'Remote work mental helath'!$A$2:$T$1001,18,)</f>
        <v>None</v>
      </c>
      <c r="G954">
        <f>VLOOKUP(A954,'Remote work mental helath'!$A$2:$T$1001,15,FALSE)</f>
        <v>1</v>
      </c>
      <c r="H954" t="str">
        <f>VLOOKUP(A954,'Remote work mental helath'!$A$2:$T$1001,14,)</f>
        <v>No Change</v>
      </c>
      <c r="I954" t="str">
        <f>VLOOKUP(A954,'Remote work mental helath'!$A$2:$T$1001,16,)</f>
        <v>Unsatisfied</v>
      </c>
      <c r="J954" t="str">
        <f>VLOOKUP(A954,'Remote work mental helath'!$A$2:$T$1001,13,)</f>
        <v>Yes</v>
      </c>
      <c r="K954">
        <f>VLOOKUP(A954,'Remote work mental helath'!$A$2:$T$1001,17,FALSE)</f>
        <v>2</v>
      </c>
    </row>
    <row r="955" spans="1:11" x14ac:dyDescent="0.3">
      <c r="A955" t="s">
        <v>1004</v>
      </c>
      <c r="B955" t="str">
        <f>VLOOKUP(A955,'Remote work mental helath'!$A$2:$T$1001,12,)</f>
        <v>Depression</v>
      </c>
      <c r="C955" t="str">
        <f>VLOOKUP(A955,'Remote work mental helath'!$A$2:$T$1001,11,)</f>
        <v>Low</v>
      </c>
      <c r="D955">
        <f>VLOOKUP('Mental Helath'!A955,'Remote work mental helath'!$A$2:$T$1001,10,)</f>
        <v>5</v>
      </c>
      <c r="E955" t="str">
        <f>VLOOKUP(A955,'Remote work mental helath'!A955:T1954,19,FALSE)</f>
        <v>Poor</v>
      </c>
      <c r="F955" t="str">
        <f>VLOOKUP(A955,'Remote work mental helath'!$A$2:$T$1001,18,)</f>
        <v>Weekly</v>
      </c>
      <c r="G955">
        <f>VLOOKUP(A955,'Remote work mental helath'!$A$2:$T$1001,15,FALSE)</f>
        <v>1</v>
      </c>
      <c r="H955" t="str">
        <f>VLOOKUP(A955,'Remote work mental helath'!$A$2:$T$1001,14,)</f>
        <v>Decrease</v>
      </c>
      <c r="I955" t="str">
        <f>VLOOKUP(A955,'Remote work mental helath'!$A$2:$T$1001,16,)</f>
        <v>Satisfied</v>
      </c>
      <c r="J955" t="str">
        <f>VLOOKUP(A955,'Remote work mental helath'!$A$2:$T$1001,13,)</f>
        <v>No</v>
      </c>
      <c r="K955">
        <f>VLOOKUP(A955,'Remote work mental helath'!$A$2:$T$1001,17,FALSE)</f>
        <v>3</v>
      </c>
    </row>
    <row r="956" spans="1:11" x14ac:dyDescent="0.3">
      <c r="A956" t="s">
        <v>1005</v>
      </c>
      <c r="B956" t="str">
        <f>VLOOKUP(A956,'Remote work mental helath'!$A$2:$T$1001,12,)</f>
        <v>None</v>
      </c>
      <c r="C956" t="str">
        <f>VLOOKUP(A956,'Remote work mental helath'!$A$2:$T$1001,11,)</f>
        <v>Medium</v>
      </c>
      <c r="D956">
        <f>VLOOKUP('Mental Helath'!A956,'Remote work mental helath'!$A$2:$T$1001,10,)</f>
        <v>2</v>
      </c>
      <c r="E956" t="str">
        <f>VLOOKUP(A956,'Remote work mental helath'!A956:T1955,19,FALSE)</f>
        <v>Good</v>
      </c>
      <c r="F956" t="str">
        <f>VLOOKUP(A956,'Remote work mental helath'!$A$2:$T$1001,18,)</f>
        <v>Weekly</v>
      </c>
      <c r="G956">
        <f>VLOOKUP(A956,'Remote work mental helath'!$A$2:$T$1001,15,FALSE)</f>
        <v>2</v>
      </c>
      <c r="H956" t="str">
        <f>VLOOKUP(A956,'Remote work mental helath'!$A$2:$T$1001,14,)</f>
        <v>Increase</v>
      </c>
      <c r="I956" t="str">
        <f>VLOOKUP(A956,'Remote work mental helath'!$A$2:$T$1001,16,)</f>
        <v>Neutral</v>
      </c>
      <c r="J956" t="str">
        <f>VLOOKUP(A956,'Remote work mental helath'!$A$2:$T$1001,13,)</f>
        <v>Yes</v>
      </c>
      <c r="K956">
        <f>VLOOKUP(A956,'Remote work mental helath'!$A$2:$T$1001,17,FALSE)</f>
        <v>1</v>
      </c>
    </row>
    <row r="957" spans="1:11" x14ac:dyDescent="0.3">
      <c r="A957" t="s">
        <v>1006</v>
      </c>
      <c r="B957" t="str">
        <f>VLOOKUP(A957,'Remote work mental helath'!$A$2:$T$1001,12,)</f>
        <v>None</v>
      </c>
      <c r="C957" t="str">
        <f>VLOOKUP(A957,'Remote work mental helath'!$A$2:$T$1001,11,)</f>
        <v>High</v>
      </c>
      <c r="D957">
        <f>VLOOKUP('Mental Helath'!A957,'Remote work mental helath'!$A$2:$T$1001,10,)</f>
        <v>2</v>
      </c>
      <c r="E957" t="str">
        <f>VLOOKUP(A957,'Remote work mental helath'!A957:T1956,19,FALSE)</f>
        <v>Good</v>
      </c>
      <c r="F957" t="str">
        <f>VLOOKUP(A957,'Remote work mental helath'!$A$2:$T$1001,18,)</f>
        <v>None</v>
      </c>
      <c r="G957">
        <f>VLOOKUP(A957,'Remote work mental helath'!$A$2:$T$1001,15,FALSE)</f>
        <v>5</v>
      </c>
      <c r="H957" t="str">
        <f>VLOOKUP(A957,'Remote work mental helath'!$A$2:$T$1001,14,)</f>
        <v>Increase</v>
      </c>
      <c r="I957" t="str">
        <f>VLOOKUP(A957,'Remote work mental helath'!$A$2:$T$1001,16,)</f>
        <v>Neutral</v>
      </c>
      <c r="J957" t="str">
        <f>VLOOKUP(A957,'Remote work mental helath'!$A$2:$T$1001,13,)</f>
        <v>No</v>
      </c>
      <c r="K957">
        <f>VLOOKUP(A957,'Remote work mental helath'!$A$2:$T$1001,17,FALSE)</f>
        <v>1</v>
      </c>
    </row>
    <row r="958" spans="1:11" x14ac:dyDescent="0.3">
      <c r="A958" t="s">
        <v>1007</v>
      </c>
      <c r="B958" t="str">
        <f>VLOOKUP(A958,'Remote work mental helath'!$A$2:$T$1001,12,)</f>
        <v>Depression</v>
      </c>
      <c r="C958" t="str">
        <f>VLOOKUP(A958,'Remote work mental helath'!$A$2:$T$1001,11,)</f>
        <v>Low</v>
      </c>
      <c r="D958">
        <f>VLOOKUP('Mental Helath'!A958,'Remote work mental helath'!$A$2:$T$1001,10,)</f>
        <v>2</v>
      </c>
      <c r="E958" t="str">
        <f>VLOOKUP(A958,'Remote work mental helath'!A958:T1957,19,FALSE)</f>
        <v>Average</v>
      </c>
      <c r="F958" t="str">
        <f>VLOOKUP(A958,'Remote work mental helath'!$A$2:$T$1001,18,)</f>
        <v>None</v>
      </c>
      <c r="G958">
        <f>VLOOKUP(A958,'Remote work mental helath'!$A$2:$T$1001,15,FALSE)</f>
        <v>3</v>
      </c>
      <c r="H958" t="str">
        <f>VLOOKUP(A958,'Remote work mental helath'!$A$2:$T$1001,14,)</f>
        <v>No Change</v>
      </c>
      <c r="I958" t="str">
        <f>VLOOKUP(A958,'Remote work mental helath'!$A$2:$T$1001,16,)</f>
        <v>Unsatisfied</v>
      </c>
      <c r="J958" t="str">
        <f>VLOOKUP(A958,'Remote work mental helath'!$A$2:$T$1001,13,)</f>
        <v>Yes</v>
      </c>
      <c r="K958">
        <f>VLOOKUP(A958,'Remote work mental helath'!$A$2:$T$1001,17,FALSE)</f>
        <v>3</v>
      </c>
    </row>
    <row r="959" spans="1:11" x14ac:dyDescent="0.3">
      <c r="A959" t="s">
        <v>1008</v>
      </c>
      <c r="B959" t="str">
        <f>VLOOKUP(A959,'Remote work mental helath'!$A$2:$T$1001,12,)</f>
        <v>None</v>
      </c>
      <c r="C959" t="str">
        <f>VLOOKUP(A959,'Remote work mental helath'!$A$2:$T$1001,11,)</f>
        <v>Low</v>
      </c>
      <c r="D959">
        <f>VLOOKUP('Mental Helath'!A959,'Remote work mental helath'!$A$2:$T$1001,10,)</f>
        <v>5</v>
      </c>
      <c r="E959" t="str">
        <f>VLOOKUP(A959,'Remote work mental helath'!A959:T1958,19,FALSE)</f>
        <v>Poor</v>
      </c>
      <c r="F959" t="str">
        <f>VLOOKUP(A959,'Remote work mental helath'!$A$2:$T$1001,18,)</f>
        <v>Daily</v>
      </c>
      <c r="G959">
        <f>VLOOKUP(A959,'Remote work mental helath'!$A$2:$T$1001,15,FALSE)</f>
        <v>5</v>
      </c>
      <c r="H959" t="str">
        <f>VLOOKUP(A959,'Remote work mental helath'!$A$2:$T$1001,14,)</f>
        <v>Increase</v>
      </c>
      <c r="I959" t="str">
        <f>VLOOKUP(A959,'Remote work mental helath'!$A$2:$T$1001,16,)</f>
        <v>Neutral</v>
      </c>
      <c r="J959" t="str">
        <f>VLOOKUP(A959,'Remote work mental helath'!$A$2:$T$1001,13,)</f>
        <v>Yes</v>
      </c>
      <c r="K959">
        <f>VLOOKUP(A959,'Remote work mental helath'!$A$2:$T$1001,17,FALSE)</f>
        <v>1</v>
      </c>
    </row>
    <row r="960" spans="1:11" x14ac:dyDescent="0.3">
      <c r="A960" t="s">
        <v>1009</v>
      </c>
      <c r="B960" t="str">
        <f>VLOOKUP(A960,'Remote work mental helath'!$A$2:$T$1001,12,)</f>
        <v>Depression</v>
      </c>
      <c r="C960" t="str">
        <f>VLOOKUP(A960,'Remote work mental helath'!$A$2:$T$1001,11,)</f>
        <v>High</v>
      </c>
      <c r="D960">
        <f>VLOOKUP('Mental Helath'!A960,'Remote work mental helath'!$A$2:$T$1001,10,)</f>
        <v>3</v>
      </c>
      <c r="E960" t="str">
        <f>VLOOKUP(A960,'Remote work mental helath'!A960:T1959,19,FALSE)</f>
        <v>Good</v>
      </c>
      <c r="F960" t="str">
        <f>VLOOKUP(A960,'Remote work mental helath'!$A$2:$T$1001,18,)</f>
        <v>Daily</v>
      </c>
      <c r="G960">
        <f>VLOOKUP(A960,'Remote work mental helath'!$A$2:$T$1001,15,FALSE)</f>
        <v>4</v>
      </c>
      <c r="H960" t="str">
        <f>VLOOKUP(A960,'Remote work mental helath'!$A$2:$T$1001,14,)</f>
        <v>Decrease</v>
      </c>
      <c r="I960" t="str">
        <f>VLOOKUP(A960,'Remote work mental helath'!$A$2:$T$1001,16,)</f>
        <v>Satisfied</v>
      </c>
      <c r="J960" t="str">
        <f>VLOOKUP(A960,'Remote work mental helath'!$A$2:$T$1001,13,)</f>
        <v>Yes</v>
      </c>
      <c r="K960">
        <f>VLOOKUP(A960,'Remote work mental helath'!$A$2:$T$1001,17,FALSE)</f>
        <v>4</v>
      </c>
    </row>
    <row r="961" spans="1:11" x14ac:dyDescent="0.3">
      <c r="A961" t="s">
        <v>1010</v>
      </c>
      <c r="B961" t="str">
        <f>VLOOKUP(A961,'Remote work mental helath'!$A$2:$T$1001,12,)</f>
        <v>Depression</v>
      </c>
      <c r="C961" t="str">
        <f>VLOOKUP(A961,'Remote work mental helath'!$A$2:$T$1001,11,)</f>
        <v>High</v>
      </c>
      <c r="D961">
        <f>VLOOKUP('Mental Helath'!A961,'Remote work mental helath'!$A$2:$T$1001,10,)</f>
        <v>4</v>
      </c>
      <c r="E961" t="str">
        <f>VLOOKUP(A961,'Remote work mental helath'!A961:T1960,19,FALSE)</f>
        <v>Good</v>
      </c>
      <c r="F961" t="str">
        <f>VLOOKUP(A961,'Remote work mental helath'!$A$2:$T$1001,18,)</f>
        <v>Weekly</v>
      </c>
      <c r="G961">
        <f>VLOOKUP(A961,'Remote work mental helath'!$A$2:$T$1001,15,FALSE)</f>
        <v>3</v>
      </c>
      <c r="H961" t="str">
        <f>VLOOKUP(A961,'Remote work mental helath'!$A$2:$T$1001,14,)</f>
        <v>Increase</v>
      </c>
      <c r="I961" t="str">
        <f>VLOOKUP(A961,'Remote work mental helath'!$A$2:$T$1001,16,)</f>
        <v>Neutral</v>
      </c>
      <c r="J961" t="str">
        <f>VLOOKUP(A961,'Remote work mental helath'!$A$2:$T$1001,13,)</f>
        <v>Yes</v>
      </c>
      <c r="K961">
        <f>VLOOKUP(A961,'Remote work mental helath'!$A$2:$T$1001,17,FALSE)</f>
        <v>2</v>
      </c>
    </row>
    <row r="962" spans="1:11" x14ac:dyDescent="0.3">
      <c r="A962" t="s">
        <v>1011</v>
      </c>
      <c r="B962" t="str">
        <f>VLOOKUP(A962,'Remote work mental helath'!$A$2:$T$1001,12,)</f>
        <v>None</v>
      </c>
      <c r="C962" t="str">
        <f>VLOOKUP(A962,'Remote work mental helath'!$A$2:$T$1001,11,)</f>
        <v>Medium</v>
      </c>
      <c r="D962">
        <f>VLOOKUP('Mental Helath'!A962,'Remote work mental helath'!$A$2:$T$1001,10,)</f>
        <v>1</v>
      </c>
      <c r="E962" t="str">
        <f>VLOOKUP(A962,'Remote work mental helath'!A962:T1961,19,FALSE)</f>
        <v>Average</v>
      </c>
      <c r="F962" t="str">
        <f>VLOOKUP(A962,'Remote work mental helath'!$A$2:$T$1001,18,)</f>
        <v>Daily</v>
      </c>
      <c r="G962">
        <f>VLOOKUP(A962,'Remote work mental helath'!$A$2:$T$1001,15,FALSE)</f>
        <v>4</v>
      </c>
      <c r="H962" t="str">
        <f>VLOOKUP(A962,'Remote work mental helath'!$A$2:$T$1001,14,)</f>
        <v>Increase</v>
      </c>
      <c r="I962" t="str">
        <f>VLOOKUP(A962,'Remote work mental helath'!$A$2:$T$1001,16,)</f>
        <v>Satisfied</v>
      </c>
      <c r="J962" t="str">
        <f>VLOOKUP(A962,'Remote work mental helath'!$A$2:$T$1001,13,)</f>
        <v>Yes</v>
      </c>
      <c r="K962">
        <f>VLOOKUP(A962,'Remote work mental helath'!$A$2:$T$1001,17,FALSE)</f>
        <v>2</v>
      </c>
    </row>
    <row r="963" spans="1:11" x14ac:dyDescent="0.3">
      <c r="A963" t="s">
        <v>1012</v>
      </c>
      <c r="B963" t="str">
        <f>VLOOKUP(A963,'Remote work mental helath'!$A$2:$T$1001,12,)</f>
        <v>Burnout</v>
      </c>
      <c r="C963" t="str">
        <f>VLOOKUP(A963,'Remote work mental helath'!$A$2:$T$1001,11,)</f>
        <v>Medium</v>
      </c>
      <c r="D963">
        <f>VLOOKUP('Mental Helath'!A963,'Remote work mental helath'!$A$2:$T$1001,10,)</f>
        <v>2</v>
      </c>
      <c r="E963" t="str">
        <f>VLOOKUP(A963,'Remote work mental helath'!A963:T1962,19,FALSE)</f>
        <v>Poor</v>
      </c>
      <c r="F963" t="str">
        <f>VLOOKUP(A963,'Remote work mental helath'!$A$2:$T$1001,18,)</f>
        <v>Daily</v>
      </c>
      <c r="G963">
        <f>VLOOKUP(A963,'Remote work mental helath'!$A$2:$T$1001,15,FALSE)</f>
        <v>5</v>
      </c>
      <c r="H963" t="str">
        <f>VLOOKUP(A963,'Remote work mental helath'!$A$2:$T$1001,14,)</f>
        <v>Increase</v>
      </c>
      <c r="I963" t="str">
        <f>VLOOKUP(A963,'Remote work mental helath'!$A$2:$T$1001,16,)</f>
        <v>Unsatisfied</v>
      </c>
      <c r="J963" t="str">
        <f>VLOOKUP(A963,'Remote work mental helath'!$A$2:$T$1001,13,)</f>
        <v>Yes</v>
      </c>
      <c r="K963">
        <f>VLOOKUP(A963,'Remote work mental helath'!$A$2:$T$1001,17,FALSE)</f>
        <v>2</v>
      </c>
    </row>
    <row r="964" spans="1:11" x14ac:dyDescent="0.3">
      <c r="A964" t="s">
        <v>1013</v>
      </c>
      <c r="B964" t="str">
        <f>VLOOKUP(A964,'Remote work mental helath'!$A$2:$T$1001,12,)</f>
        <v>Anxiety</v>
      </c>
      <c r="C964" t="str">
        <f>VLOOKUP(A964,'Remote work mental helath'!$A$2:$T$1001,11,)</f>
        <v>High</v>
      </c>
      <c r="D964">
        <f>VLOOKUP('Mental Helath'!A964,'Remote work mental helath'!$A$2:$T$1001,10,)</f>
        <v>4</v>
      </c>
      <c r="E964" t="str">
        <f>VLOOKUP(A964,'Remote work mental helath'!A964:T1963,19,FALSE)</f>
        <v>Average</v>
      </c>
      <c r="F964" t="str">
        <f>VLOOKUP(A964,'Remote work mental helath'!$A$2:$T$1001,18,)</f>
        <v>Daily</v>
      </c>
      <c r="G964">
        <f>VLOOKUP(A964,'Remote work mental helath'!$A$2:$T$1001,15,FALSE)</f>
        <v>3</v>
      </c>
      <c r="H964" t="str">
        <f>VLOOKUP(A964,'Remote work mental helath'!$A$2:$T$1001,14,)</f>
        <v>Increase</v>
      </c>
      <c r="I964" t="str">
        <f>VLOOKUP(A964,'Remote work mental helath'!$A$2:$T$1001,16,)</f>
        <v>Unsatisfied</v>
      </c>
      <c r="J964" t="str">
        <f>VLOOKUP(A964,'Remote work mental helath'!$A$2:$T$1001,13,)</f>
        <v>Yes</v>
      </c>
      <c r="K964">
        <f>VLOOKUP(A964,'Remote work mental helath'!$A$2:$T$1001,17,FALSE)</f>
        <v>3</v>
      </c>
    </row>
    <row r="965" spans="1:11" x14ac:dyDescent="0.3">
      <c r="A965" t="s">
        <v>1014</v>
      </c>
      <c r="B965" t="str">
        <f>VLOOKUP(A965,'Remote work mental helath'!$A$2:$T$1001,12,)</f>
        <v>Depression</v>
      </c>
      <c r="C965" t="str">
        <f>VLOOKUP(A965,'Remote work mental helath'!$A$2:$T$1001,11,)</f>
        <v>High</v>
      </c>
      <c r="D965">
        <f>VLOOKUP('Mental Helath'!A965,'Remote work mental helath'!$A$2:$T$1001,10,)</f>
        <v>3</v>
      </c>
      <c r="E965" t="str">
        <f>VLOOKUP(A965,'Remote work mental helath'!A965:T1964,19,FALSE)</f>
        <v>Average</v>
      </c>
      <c r="F965" t="str">
        <f>VLOOKUP(A965,'Remote work mental helath'!$A$2:$T$1001,18,)</f>
        <v>None</v>
      </c>
      <c r="G965">
        <f>VLOOKUP(A965,'Remote work mental helath'!$A$2:$T$1001,15,FALSE)</f>
        <v>1</v>
      </c>
      <c r="H965" t="str">
        <f>VLOOKUP(A965,'Remote work mental helath'!$A$2:$T$1001,14,)</f>
        <v>Increase</v>
      </c>
      <c r="I965" t="str">
        <f>VLOOKUP(A965,'Remote work mental helath'!$A$2:$T$1001,16,)</f>
        <v>Unsatisfied</v>
      </c>
      <c r="J965" t="str">
        <f>VLOOKUP(A965,'Remote work mental helath'!$A$2:$T$1001,13,)</f>
        <v>Yes</v>
      </c>
      <c r="K965">
        <f>VLOOKUP(A965,'Remote work mental helath'!$A$2:$T$1001,17,FALSE)</f>
        <v>2</v>
      </c>
    </row>
    <row r="966" spans="1:11" x14ac:dyDescent="0.3">
      <c r="A966" t="s">
        <v>1015</v>
      </c>
      <c r="B966" t="str">
        <f>VLOOKUP(A966,'Remote work mental helath'!$A$2:$T$1001,12,)</f>
        <v>Anxiety</v>
      </c>
      <c r="C966" t="str">
        <f>VLOOKUP(A966,'Remote work mental helath'!$A$2:$T$1001,11,)</f>
        <v>Medium</v>
      </c>
      <c r="D966">
        <f>VLOOKUP('Mental Helath'!A966,'Remote work mental helath'!$A$2:$T$1001,10,)</f>
        <v>4</v>
      </c>
      <c r="E966" t="str">
        <f>VLOOKUP(A966,'Remote work mental helath'!A966:T1965,19,FALSE)</f>
        <v>Poor</v>
      </c>
      <c r="F966" t="str">
        <f>VLOOKUP(A966,'Remote work mental helath'!$A$2:$T$1001,18,)</f>
        <v>Weekly</v>
      </c>
      <c r="G966">
        <f>VLOOKUP(A966,'Remote work mental helath'!$A$2:$T$1001,15,FALSE)</f>
        <v>2</v>
      </c>
      <c r="H966" t="str">
        <f>VLOOKUP(A966,'Remote work mental helath'!$A$2:$T$1001,14,)</f>
        <v>No Change</v>
      </c>
      <c r="I966" t="str">
        <f>VLOOKUP(A966,'Remote work mental helath'!$A$2:$T$1001,16,)</f>
        <v>Satisfied</v>
      </c>
      <c r="J966" t="str">
        <f>VLOOKUP(A966,'Remote work mental helath'!$A$2:$T$1001,13,)</f>
        <v>No</v>
      </c>
      <c r="K966">
        <f>VLOOKUP(A966,'Remote work mental helath'!$A$2:$T$1001,17,FALSE)</f>
        <v>4</v>
      </c>
    </row>
    <row r="967" spans="1:11" x14ac:dyDescent="0.3">
      <c r="A967" t="s">
        <v>1016</v>
      </c>
      <c r="B967" t="str">
        <f>VLOOKUP(A967,'Remote work mental helath'!$A$2:$T$1001,12,)</f>
        <v>Burnout</v>
      </c>
      <c r="C967" t="str">
        <f>VLOOKUP(A967,'Remote work mental helath'!$A$2:$T$1001,11,)</f>
        <v>Low</v>
      </c>
      <c r="D967">
        <f>VLOOKUP('Mental Helath'!A967,'Remote work mental helath'!$A$2:$T$1001,10,)</f>
        <v>3</v>
      </c>
      <c r="E967" t="str">
        <f>VLOOKUP(A967,'Remote work mental helath'!A967:T1966,19,FALSE)</f>
        <v>Average</v>
      </c>
      <c r="F967" t="str">
        <f>VLOOKUP(A967,'Remote work mental helath'!$A$2:$T$1001,18,)</f>
        <v>Weekly</v>
      </c>
      <c r="G967">
        <f>VLOOKUP(A967,'Remote work mental helath'!$A$2:$T$1001,15,FALSE)</f>
        <v>3</v>
      </c>
      <c r="H967" t="str">
        <f>VLOOKUP(A967,'Remote work mental helath'!$A$2:$T$1001,14,)</f>
        <v>Decrease</v>
      </c>
      <c r="I967" t="str">
        <f>VLOOKUP(A967,'Remote work mental helath'!$A$2:$T$1001,16,)</f>
        <v>Satisfied</v>
      </c>
      <c r="J967" t="str">
        <f>VLOOKUP(A967,'Remote work mental helath'!$A$2:$T$1001,13,)</f>
        <v>No</v>
      </c>
      <c r="K967">
        <f>VLOOKUP(A967,'Remote work mental helath'!$A$2:$T$1001,17,FALSE)</f>
        <v>3</v>
      </c>
    </row>
    <row r="968" spans="1:11" x14ac:dyDescent="0.3">
      <c r="A968" t="s">
        <v>1017</v>
      </c>
      <c r="B968" t="str">
        <f>VLOOKUP(A968,'Remote work mental helath'!$A$2:$T$1001,12,)</f>
        <v>None</v>
      </c>
      <c r="C968" t="str">
        <f>VLOOKUP(A968,'Remote work mental helath'!$A$2:$T$1001,11,)</f>
        <v>High</v>
      </c>
      <c r="D968">
        <f>VLOOKUP('Mental Helath'!A968,'Remote work mental helath'!$A$2:$T$1001,10,)</f>
        <v>2</v>
      </c>
      <c r="E968" t="str">
        <f>VLOOKUP(A968,'Remote work mental helath'!A968:T1967,19,FALSE)</f>
        <v>Poor</v>
      </c>
      <c r="F968" t="str">
        <f>VLOOKUP(A968,'Remote work mental helath'!$A$2:$T$1001,18,)</f>
        <v>Daily</v>
      </c>
      <c r="G968">
        <f>VLOOKUP(A968,'Remote work mental helath'!$A$2:$T$1001,15,FALSE)</f>
        <v>3</v>
      </c>
      <c r="H968" t="str">
        <f>VLOOKUP(A968,'Remote work mental helath'!$A$2:$T$1001,14,)</f>
        <v>Decrease</v>
      </c>
      <c r="I968" t="str">
        <f>VLOOKUP(A968,'Remote work mental helath'!$A$2:$T$1001,16,)</f>
        <v>Unsatisfied</v>
      </c>
      <c r="J968" t="str">
        <f>VLOOKUP(A968,'Remote work mental helath'!$A$2:$T$1001,13,)</f>
        <v>No</v>
      </c>
      <c r="K968">
        <f>VLOOKUP(A968,'Remote work mental helath'!$A$2:$T$1001,17,FALSE)</f>
        <v>1</v>
      </c>
    </row>
    <row r="969" spans="1:11" x14ac:dyDescent="0.3">
      <c r="A969" t="s">
        <v>1018</v>
      </c>
      <c r="B969" t="str">
        <f>VLOOKUP(A969,'Remote work mental helath'!$A$2:$T$1001,12,)</f>
        <v>Depression</v>
      </c>
      <c r="C969" t="str">
        <f>VLOOKUP(A969,'Remote work mental helath'!$A$2:$T$1001,11,)</f>
        <v>Medium</v>
      </c>
      <c r="D969">
        <f>VLOOKUP('Mental Helath'!A969,'Remote work mental helath'!$A$2:$T$1001,10,)</f>
        <v>2</v>
      </c>
      <c r="E969" t="str">
        <f>VLOOKUP(A969,'Remote work mental helath'!A969:T1968,19,FALSE)</f>
        <v>Average</v>
      </c>
      <c r="F969" t="str">
        <f>VLOOKUP(A969,'Remote work mental helath'!$A$2:$T$1001,18,)</f>
        <v>None</v>
      </c>
      <c r="G969">
        <f>VLOOKUP(A969,'Remote work mental helath'!$A$2:$T$1001,15,FALSE)</f>
        <v>2</v>
      </c>
      <c r="H969" t="str">
        <f>VLOOKUP(A969,'Remote work mental helath'!$A$2:$T$1001,14,)</f>
        <v>No Change</v>
      </c>
      <c r="I969" t="str">
        <f>VLOOKUP(A969,'Remote work mental helath'!$A$2:$T$1001,16,)</f>
        <v>Neutral</v>
      </c>
      <c r="J969" t="str">
        <f>VLOOKUP(A969,'Remote work mental helath'!$A$2:$T$1001,13,)</f>
        <v>No</v>
      </c>
      <c r="K969">
        <f>VLOOKUP(A969,'Remote work mental helath'!$A$2:$T$1001,17,FALSE)</f>
        <v>3</v>
      </c>
    </row>
    <row r="970" spans="1:11" x14ac:dyDescent="0.3">
      <c r="A970" t="s">
        <v>1019</v>
      </c>
      <c r="B970" t="str">
        <f>VLOOKUP(A970,'Remote work mental helath'!$A$2:$T$1001,12,)</f>
        <v>Depression</v>
      </c>
      <c r="C970" t="str">
        <f>VLOOKUP(A970,'Remote work mental helath'!$A$2:$T$1001,11,)</f>
        <v>Low</v>
      </c>
      <c r="D970">
        <f>VLOOKUP('Mental Helath'!A970,'Remote work mental helath'!$A$2:$T$1001,10,)</f>
        <v>1</v>
      </c>
      <c r="E970" t="str">
        <f>VLOOKUP(A970,'Remote work mental helath'!A970:T1969,19,FALSE)</f>
        <v>Average</v>
      </c>
      <c r="F970" t="str">
        <f>VLOOKUP(A970,'Remote work mental helath'!$A$2:$T$1001,18,)</f>
        <v>Weekly</v>
      </c>
      <c r="G970">
        <f>VLOOKUP(A970,'Remote work mental helath'!$A$2:$T$1001,15,FALSE)</f>
        <v>3</v>
      </c>
      <c r="H970" t="str">
        <f>VLOOKUP(A970,'Remote work mental helath'!$A$2:$T$1001,14,)</f>
        <v>Decrease</v>
      </c>
      <c r="I970" t="str">
        <f>VLOOKUP(A970,'Remote work mental helath'!$A$2:$T$1001,16,)</f>
        <v>Neutral</v>
      </c>
      <c r="J970" t="str">
        <f>VLOOKUP(A970,'Remote work mental helath'!$A$2:$T$1001,13,)</f>
        <v>Yes</v>
      </c>
      <c r="K970">
        <f>VLOOKUP(A970,'Remote work mental helath'!$A$2:$T$1001,17,FALSE)</f>
        <v>5</v>
      </c>
    </row>
    <row r="971" spans="1:11" x14ac:dyDescent="0.3">
      <c r="A971" t="s">
        <v>1020</v>
      </c>
      <c r="B971" t="str">
        <f>VLOOKUP(A971,'Remote work mental helath'!$A$2:$T$1001,12,)</f>
        <v>Burnout</v>
      </c>
      <c r="C971" t="str">
        <f>VLOOKUP(A971,'Remote work mental helath'!$A$2:$T$1001,11,)</f>
        <v>High</v>
      </c>
      <c r="D971">
        <f>VLOOKUP('Mental Helath'!A971,'Remote work mental helath'!$A$2:$T$1001,10,)</f>
        <v>3</v>
      </c>
      <c r="E971" t="str">
        <f>VLOOKUP(A971,'Remote work mental helath'!A971:T1970,19,FALSE)</f>
        <v>Poor</v>
      </c>
      <c r="F971" t="str">
        <f>VLOOKUP(A971,'Remote work mental helath'!$A$2:$T$1001,18,)</f>
        <v>Daily</v>
      </c>
      <c r="G971">
        <f>VLOOKUP(A971,'Remote work mental helath'!$A$2:$T$1001,15,FALSE)</f>
        <v>3</v>
      </c>
      <c r="H971" t="str">
        <f>VLOOKUP(A971,'Remote work mental helath'!$A$2:$T$1001,14,)</f>
        <v>Increase</v>
      </c>
      <c r="I971" t="str">
        <f>VLOOKUP(A971,'Remote work mental helath'!$A$2:$T$1001,16,)</f>
        <v>Neutral</v>
      </c>
      <c r="J971" t="str">
        <f>VLOOKUP(A971,'Remote work mental helath'!$A$2:$T$1001,13,)</f>
        <v>Yes</v>
      </c>
      <c r="K971">
        <f>VLOOKUP(A971,'Remote work mental helath'!$A$2:$T$1001,17,FALSE)</f>
        <v>1</v>
      </c>
    </row>
    <row r="972" spans="1:11" x14ac:dyDescent="0.3">
      <c r="A972" t="s">
        <v>1021</v>
      </c>
      <c r="B972" t="str">
        <f>VLOOKUP(A972,'Remote work mental helath'!$A$2:$T$1001,12,)</f>
        <v>None</v>
      </c>
      <c r="C972" t="str">
        <f>VLOOKUP(A972,'Remote work mental helath'!$A$2:$T$1001,11,)</f>
        <v>Medium</v>
      </c>
      <c r="D972">
        <f>VLOOKUP('Mental Helath'!A972,'Remote work mental helath'!$A$2:$T$1001,10,)</f>
        <v>4</v>
      </c>
      <c r="E972" t="str">
        <f>VLOOKUP(A972,'Remote work mental helath'!A972:T1971,19,FALSE)</f>
        <v>Good</v>
      </c>
      <c r="F972" t="str">
        <f>VLOOKUP(A972,'Remote work mental helath'!$A$2:$T$1001,18,)</f>
        <v>None</v>
      </c>
      <c r="G972">
        <f>VLOOKUP(A972,'Remote work mental helath'!$A$2:$T$1001,15,FALSE)</f>
        <v>4</v>
      </c>
      <c r="H972" t="str">
        <f>VLOOKUP(A972,'Remote work mental helath'!$A$2:$T$1001,14,)</f>
        <v>Decrease</v>
      </c>
      <c r="I972" t="str">
        <f>VLOOKUP(A972,'Remote work mental helath'!$A$2:$T$1001,16,)</f>
        <v>Unsatisfied</v>
      </c>
      <c r="J972" t="str">
        <f>VLOOKUP(A972,'Remote work mental helath'!$A$2:$T$1001,13,)</f>
        <v>Yes</v>
      </c>
      <c r="K972">
        <f>VLOOKUP(A972,'Remote work mental helath'!$A$2:$T$1001,17,FALSE)</f>
        <v>3</v>
      </c>
    </row>
    <row r="973" spans="1:11" x14ac:dyDescent="0.3">
      <c r="A973" t="s">
        <v>1022</v>
      </c>
      <c r="B973" t="str">
        <f>VLOOKUP(A973,'Remote work mental helath'!$A$2:$T$1001,12,)</f>
        <v>Burnout</v>
      </c>
      <c r="C973" t="str">
        <f>VLOOKUP(A973,'Remote work mental helath'!$A$2:$T$1001,11,)</f>
        <v>Medium</v>
      </c>
      <c r="D973">
        <f>VLOOKUP('Mental Helath'!A973,'Remote work mental helath'!$A$2:$T$1001,10,)</f>
        <v>1</v>
      </c>
      <c r="E973" t="str">
        <f>VLOOKUP(A973,'Remote work mental helath'!A973:T1972,19,FALSE)</f>
        <v>Good</v>
      </c>
      <c r="F973" t="str">
        <f>VLOOKUP(A973,'Remote work mental helath'!$A$2:$T$1001,18,)</f>
        <v>Daily</v>
      </c>
      <c r="G973">
        <f>VLOOKUP(A973,'Remote work mental helath'!$A$2:$T$1001,15,FALSE)</f>
        <v>3</v>
      </c>
      <c r="H973" t="str">
        <f>VLOOKUP(A973,'Remote work mental helath'!$A$2:$T$1001,14,)</f>
        <v>Increase</v>
      </c>
      <c r="I973" t="str">
        <f>VLOOKUP(A973,'Remote work mental helath'!$A$2:$T$1001,16,)</f>
        <v>Satisfied</v>
      </c>
      <c r="J973" t="str">
        <f>VLOOKUP(A973,'Remote work mental helath'!$A$2:$T$1001,13,)</f>
        <v>No</v>
      </c>
      <c r="K973">
        <f>VLOOKUP(A973,'Remote work mental helath'!$A$2:$T$1001,17,FALSE)</f>
        <v>3</v>
      </c>
    </row>
    <row r="974" spans="1:11" x14ac:dyDescent="0.3">
      <c r="A974" t="s">
        <v>1023</v>
      </c>
      <c r="B974" t="str">
        <f>VLOOKUP(A974,'Remote work mental helath'!$A$2:$T$1001,12,)</f>
        <v>Burnout</v>
      </c>
      <c r="C974" t="str">
        <f>VLOOKUP(A974,'Remote work mental helath'!$A$2:$T$1001,11,)</f>
        <v>Low</v>
      </c>
      <c r="D974">
        <f>VLOOKUP('Mental Helath'!A974,'Remote work mental helath'!$A$2:$T$1001,10,)</f>
        <v>3</v>
      </c>
      <c r="E974" t="str">
        <f>VLOOKUP(A974,'Remote work mental helath'!A974:T1973,19,FALSE)</f>
        <v>Average</v>
      </c>
      <c r="F974" t="str">
        <f>VLOOKUP(A974,'Remote work mental helath'!$A$2:$T$1001,18,)</f>
        <v>Daily</v>
      </c>
      <c r="G974">
        <f>VLOOKUP(A974,'Remote work mental helath'!$A$2:$T$1001,15,FALSE)</f>
        <v>2</v>
      </c>
      <c r="H974" t="str">
        <f>VLOOKUP(A974,'Remote work mental helath'!$A$2:$T$1001,14,)</f>
        <v>Increase</v>
      </c>
      <c r="I974" t="str">
        <f>VLOOKUP(A974,'Remote work mental helath'!$A$2:$T$1001,16,)</f>
        <v>Unsatisfied</v>
      </c>
      <c r="J974" t="str">
        <f>VLOOKUP(A974,'Remote work mental helath'!$A$2:$T$1001,13,)</f>
        <v>No</v>
      </c>
      <c r="K974">
        <f>VLOOKUP(A974,'Remote work mental helath'!$A$2:$T$1001,17,FALSE)</f>
        <v>4</v>
      </c>
    </row>
    <row r="975" spans="1:11" x14ac:dyDescent="0.3">
      <c r="A975" t="s">
        <v>1024</v>
      </c>
      <c r="B975" t="str">
        <f>VLOOKUP(A975,'Remote work mental helath'!$A$2:$T$1001,12,)</f>
        <v>Depression</v>
      </c>
      <c r="C975" t="str">
        <f>VLOOKUP(A975,'Remote work mental helath'!$A$2:$T$1001,11,)</f>
        <v>High</v>
      </c>
      <c r="D975">
        <f>VLOOKUP('Mental Helath'!A975,'Remote work mental helath'!$A$2:$T$1001,10,)</f>
        <v>2</v>
      </c>
      <c r="E975" t="str">
        <f>VLOOKUP(A975,'Remote work mental helath'!A975:T1974,19,FALSE)</f>
        <v>Poor</v>
      </c>
      <c r="F975" t="str">
        <f>VLOOKUP(A975,'Remote work mental helath'!$A$2:$T$1001,18,)</f>
        <v>Daily</v>
      </c>
      <c r="G975">
        <f>VLOOKUP(A975,'Remote work mental helath'!$A$2:$T$1001,15,FALSE)</f>
        <v>3</v>
      </c>
      <c r="H975" t="str">
        <f>VLOOKUP(A975,'Remote work mental helath'!$A$2:$T$1001,14,)</f>
        <v>Decrease</v>
      </c>
      <c r="I975" t="str">
        <f>VLOOKUP(A975,'Remote work mental helath'!$A$2:$T$1001,16,)</f>
        <v>Unsatisfied</v>
      </c>
      <c r="J975" t="str">
        <f>VLOOKUP(A975,'Remote work mental helath'!$A$2:$T$1001,13,)</f>
        <v>No</v>
      </c>
      <c r="K975">
        <f>VLOOKUP(A975,'Remote work mental helath'!$A$2:$T$1001,17,FALSE)</f>
        <v>3</v>
      </c>
    </row>
    <row r="976" spans="1:11" x14ac:dyDescent="0.3">
      <c r="A976" t="s">
        <v>1025</v>
      </c>
      <c r="B976" t="str">
        <f>VLOOKUP(A976,'Remote work mental helath'!$A$2:$T$1001,12,)</f>
        <v>Burnout</v>
      </c>
      <c r="C976" t="str">
        <f>VLOOKUP(A976,'Remote work mental helath'!$A$2:$T$1001,11,)</f>
        <v>High</v>
      </c>
      <c r="D976">
        <f>VLOOKUP('Mental Helath'!A976,'Remote work mental helath'!$A$2:$T$1001,10,)</f>
        <v>4</v>
      </c>
      <c r="E976" t="str">
        <f>VLOOKUP(A976,'Remote work mental helath'!A976:T1975,19,FALSE)</f>
        <v>Average</v>
      </c>
      <c r="F976" t="str">
        <f>VLOOKUP(A976,'Remote work mental helath'!$A$2:$T$1001,18,)</f>
        <v>None</v>
      </c>
      <c r="G976">
        <f>VLOOKUP(A976,'Remote work mental helath'!$A$2:$T$1001,15,FALSE)</f>
        <v>3</v>
      </c>
      <c r="H976" t="str">
        <f>VLOOKUP(A976,'Remote work mental helath'!$A$2:$T$1001,14,)</f>
        <v>Increase</v>
      </c>
      <c r="I976" t="str">
        <f>VLOOKUP(A976,'Remote work mental helath'!$A$2:$T$1001,16,)</f>
        <v>Satisfied</v>
      </c>
      <c r="J976" t="str">
        <f>VLOOKUP(A976,'Remote work mental helath'!$A$2:$T$1001,13,)</f>
        <v>Yes</v>
      </c>
      <c r="K976">
        <f>VLOOKUP(A976,'Remote work mental helath'!$A$2:$T$1001,17,FALSE)</f>
        <v>5</v>
      </c>
    </row>
    <row r="977" spans="1:11" x14ac:dyDescent="0.3">
      <c r="A977" t="s">
        <v>1026</v>
      </c>
      <c r="B977" t="str">
        <f>VLOOKUP(A977,'Remote work mental helath'!$A$2:$T$1001,12,)</f>
        <v>Burnout</v>
      </c>
      <c r="C977" t="str">
        <f>VLOOKUP(A977,'Remote work mental helath'!$A$2:$T$1001,11,)</f>
        <v>Medium</v>
      </c>
      <c r="D977">
        <f>VLOOKUP('Mental Helath'!A977,'Remote work mental helath'!$A$2:$T$1001,10,)</f>
        <v>4</v>
      </c>
      <c r="E977" t="str">
        <f>VLOOKUP(A977,'Remote work mental helath'!A977:T1976,19,FALSE)</f>
        <v>Average</v>
      </c>
      <c r="F977" t="str">
        <f>VLOOKUP(A977,'Remote work mental helath'!$A$2:$T$1001,18,)</f>
        <v>Daily</v>
      </c>
      <c r="G977">
        <f>VLOOKUP(A977,'Remote work mental helath'!$A$2:$T$1001,15,FALSE)</f>
        <v>4</v>
      </c>
      <c r="H977" t="str">
        <f>VLOOKUP(A977,'Remote work mental helath'!$A$2:$T$1001,14,)</f>
        <v>Increase</v>
      </c>
      <c r="I977" t="str">
        <f>VLOOKUP(A977,'Remote work mental helath'!$A$2:$T$1001,16,)</f>
        <v>Satisfied</v>
      </c>
      <c r="J977" t="str">
        <f>VLOOKUP(A977,'Remote work mental helath'!$A$2:$T$1001,13,)</f>
        <v>Yes</v>
      </c>
      <c r="K977">
        <f>VLOOKUP(A977,'Remote work mental helath'!$A$2:$T$1001,17,FALSE)</f>
        <v>2</v>
      </c>
    </row>
    <row r="978" spans="1:11" x14ac:dyDescent="0.3">
      <c r="A978" t="s">
        <v>1027</v>
      </c>
      <c r="B978" t="str">
        <f>VLOOKUP(A978,'Remote work mental helath'!$A$2:$T$1001,12,)</f>
        <v>Depression</v>
      </c>
      <c r="C978" t="str">
        <f>VLOOKUP(A978,'Remote work mental helath'!$A$2:$T$1001,11,)</f>
        <v>High</v>
      </c>
      <c r="D978">
        <f>VLOOKUP('Mental Helath'!A978,'Remote work mental helath'!$A$2:$T$1001,10,)</f>
        <v>3</v>
      </c>
      <c r="E978" t="str">
        <f>VLOOKUP(A978,'Remote work mental helath'!A978:T1977,19,FALSE)</f>
        <v>Good</v>
      </c>
      <c r="F978" t="str">
        <f>VLOOKUP(A978,'Remote work mental helath'!$A$2:$T$1001,18,)</f>
        <v>Weekly</v>
      </c>
      <c r="G978">
        <f>VLOOKUP(A978,'Remote work mental helath'!$A$2:$T$1001,15,FALSE)</f>
        <v>1</v>
      </c>
      <c r="H978" t="str">
        <f>VLOOKUP(A978,'Remote work mental helath'!$A$2:$T$1001,14,)</f>
        <v>Increase</v>
      </c>
      <c r="I978" t="str">
        <f>VLOOKUP(A978,'Remote work mental helath'!$A$2:$T$1001,16,)</f>
        <v>Satisfied</v>
      </c>
      <c r="J978" t="str">
        <f>VLOOKUP(A978,'Remote work mental helath'!$A$2:$T$1001,13,)</f>
        <v>Yes</v>
      </c>
      <c r="K978">
        <f>VLOOKUP(A978,'Remote work mental helath'!$A$2:$T$1001,17,FALSE)</f>
        <v>5</v>
      </c>
    </row>
    <row r="979" spans="1:11" x14ac:dyDescent="0.3">
      <c r="A979" t="s">
        <v>1028</v>
      </c>
      <c r="B979" t="str">
        <f>VLOOKUP(A979,'Remote work mental helath'!$A$2:$T$1001,12,)</f>
        <v>Burnout</v>
      </c>
      <c r="C979" t="str">
        <f>VLOOKUP(A979,'Remote work mental helath'!$A$2:$T$1001,11,)</f>
        <v>Medium</v>
      </c>
      <c r="D979">
        <f>VLOOKUP('Mental Helath'!A979,'Remote work mental helath'!$A$2:$T$1001,10,)</f>
        <v>4</v>
      </c>
      <c r="E979" t="str">
        <f>VLOOKUP(A979,'Remote work mental helath'!A979:T1978,19,FALSE)</f>
        <v>Average</v>
      </c>
      <c r="F979" t="str">
        <f>VLOOKUP(A979,'Remote work mental helath'!$A$2:$T$1001,18,)</f>
        <v>None</v>
      </c>
      <c r="G979">
        <f>VLOOKUP(A979,'Remote work mental helath'!$A$2:$T$1001,15,FALSE)</f>
        <v>1</v>
      </c>
      <c r="H979" t="str">
        <f>VLOOKUP(A979,'Remote work mental helath'!$A$2:$T$1001,14,)</f>
        <v>Increase</v>
      </c>
      <c r="I979" t="str">
        <f>VLOOKUP(A979,'Remote work mental helath'!$A$2:$T$1001,16,)</f>
        <v>Unsatisfied</v>
      </c>
      <c r="J979" t="str">
        <f>VLOOKUP(A979,'Remote work mental helath'!$A$2:$T$1001,13,)</f>
        <v>No</v>
      </c>
      <c r="K979">
        <f>VLOOKUP(A979,'Remote work mental helath'!$A$2:$T$1001,17,FALSE)</f>
        <v>2</v>
      </c>
    </row>
    <row r="980" spans="1:11" x14ac:dyDescent="0.3">
      <c r="A980" t="s">
        <v>1029</v>
      </c>
      <c r="B980" t="str">
        <f>VLOOKUP(A980,'Remote work mental helath'!$A$2:$T$1001,12,)</f>
        <v>Burnout</v>
      </c>
      <c r="C980" t="str">
        <f>VLOOKUP(A980,'Remote work mental helath'!$A$2:$T$1001,11,)</f>
        <v>Low</v>
      </c>
      <c r="D980">
        <f>VLOOKUP('Mental Helath'!A980,'Remote work mental helath'!$A$2:$T$1001,10,)</f>
        <v>3</v>
      </c>
      <c r="E980" t="str">
        <f>VLOOKUP(A980,'Remote work mental helath'!A980:T1979,19,FALSE)</f>
        <v>Average</v>
      </c>
      <c r="F980" t="str">
        <f>VLOOKUP(A980,'Remote work mental helath'!$A$2:$T$1001,18,)</f>
        <v>Weekly</v>
      </c>
      <c r="G980">
        <f>VLOOKUP(A980,'Remote work mental helath'!$A$2:$T$1001,15,FALSE)</f>
        <v>1</v>
      </c>
      <c r="H980" t="str">
        <f>VLOOKUP(A980,'Remote work mental helath'!$A$2:$T$1001,14,)</f>
        <v>Increase</v>
      </c>
      <c r="I980" t="str">
        <f>VLOOKUP(A980,'Remote work mental helath'!$A$2:$T$1001,16,)</f>
        <v>Satisfied</v>
      </c>
      <c r="J980" t="str">
        <f>VLOOKUP(A980,'Remote work mental helath'!$A$2:$T$1001,13,)</f>
        <v>Yes</v>
      </c>
      <c r="K980">
        <f>VLOOKUP(A980,'Remote work mental helath'!$A$2:$T$1001,17,FALSE)</f>
        <v>3</v>
      </c>
    </row>
    <row r="981" spans="1:11" x14ac:dyDescent="0.3">
      <c r="A981" t="s">
        <v>1030</v>
      </c>
      <c r="B981" t="str">
        <f>VLOOKUP(A981,'Remote work mental helath'!$A$2:$T$1001,12,)</f>
        <v>Depression</v>
      </c>
      <c r="C981" t="str">
        <f>VLOOKUP(A981,'Remote work mental helath'!$A$2:$T$1001,11,)</f>
        <v>Low</v>
      </c>
      <c r="D981">
        <f>VLOOKUP('Mental Helath'!A981,'Remote work mental helath'!$A$2:$T$1001,10,)</f>
        <v>5</v>
      </c>
      <c r="E981" t="str">
        <f>VLOOKUP(A981,'Remote work mental helath'!A981:T1980,19,FALSE)</f>
        <v>Poor</v>
      </c>
      <c r="F981" t="str">
        <f>VLOOKUP(A981,'Remote work mental helath'!$A$2:$T$1001,18,)</f>
        <v>Weekly</v>
      </c>
      <c r="G981">
        <f>VLOOKUP(A981,'Remote work mental helath'!$A$2:$T$1001,15,FALSE)</f>
        <v>1</v>
      </c>
      <c r="H981" t="str">
        <f>VLOOKUP(A981,'Remote work mental helath'!$A$2:$T$1001,14,)</f>
        <v>No Change</v>
      </c>
      <c r="I981" t="str">
        <f>VLOOKUP(A981,'Remote work mental helath'!$A$2:$T$1001,16,)</f>
        <v>Unsatisfied</v>
      </c>
      <c r="J981" t="str">
        <f>VLOOKUP(A981,'Remote work mental helath'!$A$2:$T$1001,13,)</f>
        <v>Yes</v>
      </c>
      <c r="K981">
        <f>VLOOKUP(A981,'Remote work mental helath'!$A$2:$T$1001,17,FALSE)</f>
        <v>3</v>
      </c>
    </row>
    <row r="982" spans="1:11" x14ac:dyDescent="0.3">
      <c r="A982" t="s">
        <v>1031</v>
      </c>
      <c r="B982" t="str">
        <f>VLOOKUP(A982,'Remote work mental helath'!$A$2:$T$1001,12,)</f>
        <v>None</v>
      </c>
      <c r="C982" t="str">
        <f>VLOOKUP(A982,'Remote work mental helath'!$A$2:$T$1001,11,)</f>
        <v>High</v>
      </c>
      <c r="D982">
        <f>VLOOKUP('Mental Helath'!A982,'Remote work mental helath'!$A$2:$T$1001,10,)</f>
        <v>2</v>
      </c>
      <c r="E982" t="str">
        <f>VLOOKUP(A982,'Remote work mental helath'!A982:T1981,19,FALSE)</f>
        <v>Average</v>
      </c>
      <c r="F982" t="str">
        <f>VLOOKUP(A982,'Remote work mental helath'!$A$2:$T$1001,18,)</f>
        <v>Weekly</v>
      </c>
      <c r="G982">
        <f>VLOOKUP(A982,'Remote work mental helath'!$A$2:$T$1001,15,FALSE)</f>
        <v>2</v>
      </c>
      <c r="H982" t="str">
        <f>VLOOKUP(A982,'Remote work mental helath'!$A$2:$T$1001,14,)</f>
        <v>Decrease</v>
      </c>
      <c r="I982" t="str">
        <f>VLOOKUP(A982,'Remote work mental helath'!$A$2:$T$1001,16,)</f>
        <v>Neutral</v>
      </c>
      <c r="J982" t="str">
        <f>VLOOKUP(A982,'Remote work mental helath'!$A$2:$T$1001,13,)</f>
        <v>Yes</v>
      </c>
      <c r="K982">
        <f>VLOOKUP(A982,'Remote work mental helath'!$A$2:$T$1001,17,FALSE)</f>
        <v>4</v>
      </c>
    </row>
    <row r="983" spans="1:11" x14ac:dyDescent="0.3">
      <c r="A983" t="s">
        <v>1032</v>
      </c>
      <c r="B983" t="str">
        <f>VLOOKUP(A983,'Remote work mental helath'!$A$2:$T$1001,12,)</f>
        <v>None</v>
      </c>
      <c r="C983" t="str">
        <f>VLOOKUP(A983,'Remote work mental helath'!$A$2:$T$1001,11,)</f>
        <v>High</v>
      </c>
      <c r="D983">
        <f>VLOOKUP('Mental Helath'!A983,'Remote work mental helath'!$A$2:$T$1001,10,)</f>
        <v>3</v>
      </c>
      <c r="E983" t="str">
        <f>VLOOKUP(A983,'Remote work mental helath'!A983:T1982,19,FALSE)</f>
        <v>Poor</v>
      </c>
      <c r="F983" t="str">
        <f>VLOOKUP(A983,'Remote work mental helath'!$A$2:$T$1001,18,)</f>
        <v>Weekly</v>
      </c>
      <c r="G983">
        <f>VLOOKUP(A983,'Remote work mental helath'!$A$2:$T$1001,15,FALSE)</f>
        <v>5</v>
      </c>
      <c r="H983" t="str">
        <f>VLOOKUP(A983,'Remote work mental helath'!$A$2:$T$1001,14,)</f>
        <v>Decrease</v>
      </c>
      <c r="I983" t="str">
        <f>VLOOKUP(A983,'Remote work mental helath'!$A$2:$T$1001,16,)</f>
        <v>Unsatisfied</v>
      </c>
      <c r="J983" t="str">
        <f>VLOOKUP(A983,'Remote work mental helath'!$A$2:$T$1001,13,)</f>
        <v>Yes</v>
      </c>
      <c r="K983">
        <f>VLOOKUP(A983,'Remote work mental helath'!$A$2:$T$1001,17,FALSE)</f>
        <v>1</v>
      </c>
    </row>
    <row r="984" spans="1:11" x14ac:dyDescent="0.3">
      <c r="A984" t="s">
        <v>1033</v>
      </c>
      <c r="B984" t="str">
        <f>VLOOKUP(A984,'Remote work mental helath'!$A$2:$T$1001,12,)</f>
        <v>None</v>
      </c>
      <c r="C984" t="str">
        <f>VLOOKUP(A984,'Remote work mental helath'!$A$2:$T$1001,11,)</f>
        <v>High</v>
      </c>
      <c r="D984">
        <f>VLOOKUP('Mental Helath'!A984,'Remote work mental helath'!$A$2:$T$1001,10,)</f>
        <v>2</v>
      </c>
      <c r="E984" t="str">
        <f>VLOOKUP(A984,'Remote work mental helath'!A984:T1983,19,FALSE)</f>
        <v>Average</v>
      </c>
      <c r="F984" t="str">
        <f>VLOOKUP(A984,'Remote work mental helath'!$A$2:$T$1001,18,)</f>
        <v>Weekly</v>
      </c>
      <c r="G984">
        <f>VLOOKUP(A984,'Remote work mental helath'!$A$2:$T$1001,15,FALSE)</f>
        <v>1</v>
      </c>
      <c r="H984" t="str">
        <f>VLOOKUP(A984,'Remote work mental helath'!$A$2:$T$1001,14,)</f>
        <v>No Change</v>
      </c>
      <c r="I984" t="str">
        <f>VLOOKUP(A984,'Remote work mental helath'!$A$2:$T$1001,16,)</f>
        <v>Unsatisfied</v>
      </c>
      <c r="J984" t="str">
        <f>VLOOKUP(A984,'Remote work mental helath'!$A$2:$T$1001,13,)</f>
        <v>No</v>
      </c>
      <c r="K984">
        <f>VLOOKUP(A984,'Remote work mental helath'!$A$2:$T$1001,17,FALSE)</f>
        <v>3</v>
      </c>
    </row>
    <row r="985" spans="1:11" x14ac:dyDescent="0.3">
      <c r="A985" t="s">
        <v>1034</v>
      </c>
      <c r="B985" t="str">
        <f>VLOOKUP(A985,'Remote work mental helath'!$A$2:$T$1001,12,)</f>
        <v>None</v>
      </c>
      <c r="C985" t="str">
        <f>VLOOKUP(A985,'Remote work mental helath'!$A$2:$T$1001,11,)</f>
        <v>High</v>
      </c>
      <c r="D985">
        <f>VLOOKUP('Mental Helath'!A985,'Remote work mental helath'!$A$2:$T$1001,10,)</f>
        <v>3</v>
      </c>
      <c r="E985" t="str">
        <f>VLOOKUP(A985,'Remote work mental helath'!A985:T1984,19,FALSE)</f>
        <v>Good</v>
      </c>
      <c r="F985" t="str">
        <f>VLOOKUP(A985,'Remote work mental helath'!$A$2:$T$1001,18,)</f>
        <v>None</v>
      </c>
      <c r="G985">
        <f>VLOOKUP(A985,'Remote work mental helath'!$A$2:$T$1001,15,FALSE)</f>
        <v>4</v>
      </c>
      <c r="H985" t="str">
        <f>VLOOKUP(A985,'Remote work mental helath'!$A$2:$T$1001,14,)</f>
        <v>No Change</v>
      </c>
      <c r="I985" t="str">
        <f>VLOOKUP(A985,'Remote work mental helath'!$A$2:$T$1001,16,)</f>
        <v>Satisfied</v>
      </c>
      <c r="J985" t="str">
        <f>VLOOKUP(A985,'Remote work mental helath'!$A$2:$T$1001,13,)</f>
        <v>Yes</v>
      </c>
      <c r="K985">
        <f>VLOOKUP(A985,'Remote work mental helath'!$A$2:$T$1001,17,FALSE)</f>
        <v>2</v>
      </c>
    </row>
    <row r="986" spans="1:11" x14ac:dyDescent="0.3">
      <c r="A986" t="s">
        <v>1035</v>
      </c>
      <c r="B986" t="str">
        <f>VLOOKUP(A986,'Remote work mental helath'!$A$2:$T$1001,12,)</f>
        <v>Anxiety</v>
      </c>
      <c r="C986" t="str">
        <f>VLOOKUP(A986,'Remote work mental helath'!$A$2:$T$1001,11,)</f>
        <v>Medium</v>
      </c>
      <c r="D986">
        <f>VLOOKUP('Mental Helath'!A986,'Remote work mental helath'!$A$2:$T$1001,10,)</f>
        <v>4</v>
      </c>
      <c r="E986" t="str">
        <f>VLOOKUP(A986,'Remote work mental helath'!A986:T1985,19,FALSE)</f>
        <v>Average</v>
      </c>
      <c r="F986" t="str">
        <f>VLOOKUP(A986,'Remote work mental helath'!$A$2:$T$1001,18,)</f>
        <v>Daily</v>
      </c>
      <c r="G986">
        <f>VLOOKUP(A986,'Remote work mental helath'!$A$2:$T$1001,15,FALSE)</f>
        <v>3</v>
      </c>
      <c r="H986" t="str">
        <f>VLOOKUP(A986,'Remote work mental helath'!$A$2:$T$1001,14,)</f>
        <v>No Change</v>
      </c>
      <c r="I986" t="str">
        <f>VLOOKUP(A986,'Remote work mental helath'!$A$2:$T$1001,16,)</f>
        <v>Unsatisfied</v>
      </c>
      <c r="J986" t="str">
        <f>VLOOKUP(A986,'Remote work mental helath'!$A$2:$T$1001,13,)</f>
        <v>Yes</v>
      </c>
      <c r="K986">
        <f>VLOOKUP(A986,'Remote work mental helath'!$A$2:$T$1001,17,FALSE)</f>
        <v>3</v>
      </c>
    </row>
    <row r="987" spans="1:11" x14ac:dyDescent="0.3">
      <c r="A987" t="s">
        <v>1036</v>
      </c>
      <c r="B987" t="str">
        <f>VLOOKUP(A987,'Remote work mental helath'!$A$2:$T$1001,12,)</f>
        <v>Depression</v>
      </c>
      <c r="C987" t="str">
        <f>VLOOKUP(A987,'Remote work mental helath'!$A$2:$T$1001,11,)</f>
        <v>Low</v>
      </c>
      <c r="D987">
        <f>VLOOKUP('Mental Helath'!A987,'Remote work mental helath'!$A$2:$T$1001,10,)</f>
        <v>5</v>
      </c>
      <c r="E987" t="str">
        <f>VLOOKUP(A987,'Remote work mental helath'!A987:T1986,19,FALSE)</f>
        <v>Good</v>
      </c>
      <c r="F987" t="str">
        <f>VLOOKUP(A987,'Remote work mental helath'!$A$2:$T$1001,18,)</f>
        <v>None</v>
      </c>
      <c r="G987">
        <f>VLOOKUP(A987,'Remote work mental helath'!$A$2:$T$1001,15,FALSE)</f>
        <v>2</v>
      </c>
      <c r="H987" t="str">
        <f>VLOOKUP(A987,'Remote work mental helath'!$A$2:$T$1001,14,)</f>
        <v>No Change</v>
      </c>
      <c r="I987" t="str">
        <f>VLOOKUP(A987,'Remote work mental helath'!$A$2:$T$1001,16,)</f>
        <v>Unsatisfied</v>
      </c>
      <c r="J987" t="str">
        <f>VLOOKUP(A987,'Remote work mental helath'!$A$2:$T$1001,13,)</f>
        <v>No</v>
      </c>
      <c r="K987">
        <f>VLOOKUP(A987,'Remote work mental helath'!$A$2:$T$1001,17,FALSE)</f>
        <v>5</v>
      </c>
    </row>
    <row r="988" spans="1:11" x14ac:dyDescent="0.3">
      <c r="A988" t="s">
        <v>1037</v>
      </c>
      <c r="B988" t="str">
        <f>VLOOKUP(A988,'Remote work mental helath'!$A$2:$T$1001,12,)</f>
        <v>Anxiety</v>
      </c>
      <c r="C988" t="str">
        <f>VLOOKUP(A988,'Remote work mental helath'!$A$2:$T$1001,11,)</f>
        <v>Medium</v>
      </c>
      <c r="D988">
        <f>VLOOKUP('Mental Helath'!A988,'Remote work mental helath'!$A$2:$T$1001,10,)</f>
        <v>2</v>
      </c>
      <c r="E988" t="str">
        <f>VLOOKUP(A988,'Remote work mental helath'!A988:T1987,19,FALSE)</f>
        <v>Poor</v>
      </c>
      <c r="F988" t="str">
        <f>VLOOKUP(A988,'Remote work mental helath'!$A$2:$T$1001,18,)</f>
        <v>None</v>
      </c>
      <c r="G988">
        <f>VLOOKUP(A988,'Remote work mental helath'!$A$2:$T$1001,15,FALSE)</f>
        <v>3</v>
      </c>
      <c r="H988" t="str">
        <f>VLOOKUP(A988,'Remote work mental helath'!$A$2:$T$1001,14,)</f>
        <v>Increase</v>
      </c>
      <c r="I988" t="str">
        <f>VLOOKUP(A988,'Remote work mental helath'!$A$2:$T$1001,16,)</f>
        <v>Neutral</v>
      </c>
      <c r="J988" t="str">
        <f>VLOOKUP(A988,'Remote work mental helath'!$A$2:$T$1001,13,)</f>
        <v>No</v>
      </c>
      <c r="K988">
        <f>VLOOKUP(A988,'Remote work mental helath'!$A$2:$T$1001,17,FALSE)</f>
        <v>5</v>
      </c>
    </row>
    <row r="989" spans="1:11" x14ac:dyDescent="0.3">
      <c r="A989" t="s">
        <v>1038</v>
      </c>
      <c r="B989" t="str">
        <f>VLOOKUP(A989,'Remote work mental helath'!$A$2:$T$1001,12,)</f>
        <v>Burnout</v>
      </c>
      <c r="C989" t="str">
        <f>VLOOKUP(A989,'Remote work mental helath'!$A$2:$T$1001,11,)</f>
        <v>Low</v>
      </c>
      <c r="D989">
        <f>VLOOKUP('Mental Helath'!A989,'Remote work mental helath'!$A$2:$T$1001,10,)</f>
        <v>5</v>
      </c>
      <c r="E989" t="str">
        <f>VLOOKUP(A989,'Remote work mental helath'!A989:T1988,19,FALSE)</f>
        <v>Average</v>
      </c>
      <c r="F989" t="str">
        <f>VLOOKUP(A989,'Remote work mental helath'!$A$2:$T$1001,18,)</f>
        <v>Weekly</v>
      </c>
      <c r="G989">
        <f>VLOOKUP(A989,'Remote work mental helath'!$A$2:$T$1001,15,FALSE)</f>
        <v>2</v>
      </c>
      <c r="H989" t="str">
        <f>VLOOKUP(A989,'Remote work mental helath'!$A$2:$T$1001,14,)</f>
        <v>Increase</v>
      </c>
      <c r="I989" t="str">
        <f>VLOOKUP(A989,'Remote work mental helath'!$A$2:$T$1001,16,)</f>
        <v>Unsatisfied</v>
      </c>
      <c r="J989" t="str">
        <f>VLOOKUP(A989,'Remote work mental helath'!$A$2:$T$1001,13,)</f>
        <v>No</v>
      </c>
      <c r="K989">
        <f>VLOOKUP(A989,'Remote work mental helath'!$A$2:$T$1001,17,FALSE)</f>
        <v>1</v>
      </c>
    </row>
    <row r="990" spans="1:11" x14ac:dyDescent="0.3">
      <c r="A990" t="s">
        <v>1039</v>
      </c>
      <c r="B990" t="str">
        <f>VLOOKUP(A990,'Remote work mental helath'!$A$2:$T$1001,12,)</f>
        <v>None</v>
      </c>
      <c r="C990" t="str">
        <f>VLOOKUP(A990,'Remote work mental helath'!$A$2:$T$1001,11,)</f>
        <v>High</v>
      </c>
      <c r="D990">
        <f>VLOOKUP('Mental Helath'!A990,'Remote work mental helath'!$A$2:$T$1001,10,)</f>
        <v>2</v>
      </c>
      <c r="E990" t="str">
        <f>VLOOKUP(A990,'Remote work mental helath'!A990:T1989,19,FALSE)</f>
        <v>Good</v>
      </c>
      <c r="F990" t="str">
        <f>VLOOKUP(A990,'Remote work mental helath'!$A$2:$T$1001,18,)</f>
        <v>Weekly</v>
      </c>
      <c r="G990">
        <f>VLOOKUP(A990,'Remote work mental helath'!$A$2:$T$1001,15,FALSE)</f>
        <v>4</v>
      </c>
      <c r="H990" t="str">
        <f>VLOOKUP(A990,'Remote work mental helath'!$A$2:$T$1001,14,)</f>
        <v>No Change</v>
      </c>
      <c r="I990" t="str">
        <f>VLOOKUP(A990,'Remote work mental helath'!$A$2:$T$1001,16,)</f>
        <v>Neutral</v>
      </c>
      <c r="J990" t="str">
        <f>VLOOKUP(A990,'Remote work mental helath'!$A$2:$T$1001,13,)</f>
        <v>No</v>
      </c>
      <c r="K990">
        <f>VLOOKUP(A990,'Remote work mental helath'!$A$2:$T$1001,17,FALSE)</f>
        <v>3</v>
      </c>
    </row>
    <row r="991" spans="1:11" x14ac:dyDescent="0.3">
      <c r="A991" t="s">
        <v>1040</v>
      </c>
      <c r="B991" t="str">
        <f>VLOOKUP(A991,'Remote work mental helath'!$A$2:$T$1001,12,)</f>
        <v>Anxiety</v>
      </c>
      <c r="C991" t="str">
        <f>VLOOKUP(A991,'Remote work mental helath'!$A$2:$T$1001,11,)</f>
        <v>Medium</v>
      </c>
      <c r="D991">
        <f>VLOOKUP('Mental Helath'!A991,'Remote work mental helath'!$A$2:$T$1001,10,)</f>
        <v>3</v>
      </c>
      <c r="E991" t="str">
        <f>VLOOKUP(A991,'Remote work mental helath'!A991:T1990,19,FALSE)</f>
        <v>Good</v>
      </c>
      <c r="F991" t="str">
        <f>VLOOKUP(A991,'Remote work mental helath'!$A$2:$T$1001,18,)</f>
        <v>Weekly</v>
      </c>
      <c r="G991">
        <f>VLOOKUP(A991,'Remote work mental helath'!$A$2:$T$1001,15,FALSE)</f>
        <v>3</v>
      </c>
      <c r="H991" t="str">
        <f>VLOOKUP(A991,'Remote work mental helath'!$A$2:$T$1001,14,)</f>
        <v>Increase</v>
      </c>
      <c r="I991" t="str">
        <f>VLOOKUP(A991,'Remote work mental helath'!$A$2:$T$1001,16,)</f>
        <v>Satisfied</v>
      </c>
      <c r="J991" t="str">
        <f>VLOOKUP(A991,'Remote work mental helath'!$A$2:$T$1001,13,)</f>
        <v>Yes</v>
      </c>
      <c r="K991">
        <f>VLOOKUP(A991,'Remote work mental helath'!$A$2:$T$1001,17,FALSE)</f>
        <v>4</v>
      </c>
    </row>
    <row r="992" spans="1:11" x14ac:dyDescent="0.3">
      <c r="A992" t="s">
        <v>1041</v>
      </c>
      <c r="B992" t="str">
        <f>VLOOKUP(A992,'Remote work mental helath'!$A$2:$T$1001,12,)</f>
        <v>Burnout</v>
      </c>
      <c r="C992" t="str">
        <f>VLOOKUP(A992,'Remote work mental helath'!$A$2:$T$1001,11,)</f>
        <v>Medium</v>
      </c>
      <c r="D992">
        <f>VLOOKUP('Mental Helath'!A992,'Remote work mental helath'!$A$2:$T$1001,10,)</f>
        <v>4</v>
      </c>
      <c r="E992" t="str">
        <f>VLOOKUP(A992,'Remote work mental helath'!A992:T1991,19,FALSE)</f>
        <v>Poor</v>
      </c>
      <c r="F992" t="str">
        <f>VLOOKUP(A992,'Remote work mental helath'!$A$2:$T$1001,18,)</f>
        <v>None</v>
      </c>
      <c r="G992">
        <f>VLOOKUP(A992,'Remote work mental helath'!$A$2:$T$1001,15,FALSE)</f>
        <v>5</v>
      </c>
      <c r="H992" t="str">
        <f>VLOOKUP(A992,'Remote work mental helath'!$A$2:$T$1001,14,)</f>
        <v>Decrease</v>
      </c>
      <c r="I992" t="str">
        <f>VLOOKUP(A992,'Remote work mental helath'!$A$2:$T$1001,16,)</f>
        <v>Unsatisfied</v>
      </c>
      <c r="J992" t="str">
        <f>VLOOKUP(A992,'Remote work mental helath'!$A$2:$T$1001,13,)</f>
        <v>Yes</v>
      </c>
      <c r="K992">
        <f>VLOOKUP(A992,'Remote work mental helath'!$A$2:$T$1001,17,FALSE)</f>
        <v>5</v>
      </c>
    </row>
    <row r="993" spans="1:11" x14ac:dyDescent="0.3">
      <c r="A993" t="s">
        <v>1042</v>
      </c>
      <c r="B993" t="str">
        <f>VLOOKUP(A993,'Remote work mental helath'!$A$2:$T$1001,12,)</f>
        <v>Depression</v>
      </c>
      <c r="C993" t="str">
        <f>VLOOKUP(A993,'Remote work mental helath'!$A$2:$T$1001,11,)</f>
        <v>Medium</v>
      </c>
      <c r="D993">
        <f>VLOOKUP('Mental Helath'!A993,'Remote work mental helath'!$A$2:$T$1001,10,)</f>
        <v>5</v>
      </c>
      <c r="E993" t="str">
        <f>VLOOKUP(A993,'Remote work mental helath'!A993:T1992,19,FALSE)</f>
        <v>Poor</v>
      </c>
      <c r="F993" t="str">
        <f>VLOOKUP(A993,'Remote work mental helath'!$A$2:$T$1001,18,)</f>
        <v>Weekly</v>
      </c>
      <c r="G993">
        <f>VLOOKUP(A993,'Remote work mental helath'!$A$2:$T$1001,15,FALSE)</f>
        <v>1</v>
      </c>
      <c r="H993" t="str">
        <f>VLOOKUP(A993,'Remote work mental helath'!$A$2:$T$1001,14,)</f>
        <v>Increase</v>
      </c>
      <c r="I993" t="str">
        <f>VLOOKUP(A993,'Remote work mental helath'!$A$2:$T$1001,16,)</f>
        <v>Satisfied</v>
      </c>
      <c r="J993" t="str">
        <f>VLOOKUP(A993,'Remote work mental helath'!$A$2:$T$1001,13,)</f>
        <v>No</v>
      </c>
      <c r="K993">
        <f>VLOOKUP(A993,'Remote work mental helath'!$A$2:$T$1001,17,FALSE)</f>
        <v>1</v>
      </c>
    </row>
    <row r="994" spans="1:11" x14ac:dyDescent="0.3">
      <c r="A994" t="s">
        <v>1043</v>
      </c>
      <c r="B994" t="str">
        <f>VLOOKUP(A994,'Remote work mental helath'!$A$2:$T$1001,12,)</f>
        <v>None</v>
      </c>
      <c r="C994" t="str">
        <f>VLOOKUP(A994,'Remote work mental helath'!$A$2:$T$1001,11,)</f>
        <v>Low</v>
      </c>
      <c r="D994">
        <f>VLOOKUP('Mental Helath'!A994,'Remote work mental helath'!$A$2:$T$1001,10,)</f>
        <v>5</v>
      </c>
      <c r="E994" t="str">
        <f>VLOOKUP(A994,'Remote work mental helath'!A994:T1993,19,FALSE)</f>
        <v>Average</v>
      </c>
      <c r="F994" t="str">
        <f>VLOOKUP(A994,'Remote work mental helath'!$A$2:$T$1001,18,)</f>
        <v>Weekly</v>
      </c>
      <c r="G994">
        <f>VLOOKUP(A994,'Remote work mental helath'!$A$2:$T$1001,15,FALSE)</f>
        <v>3</v>
      </c>
      <c r="H994" t="str">
        <f>VLOOKUP(A994,'Remote work mental helath'!$A$2:$T$1001,14,)</f>
        <v>No Change</v>
      </c>
      <c r="I994" t="str">
        <f>VLOOKUP(A994,'Remote work mental helath'!$A$2:$T$1001,16,)</f>
        <v>Neutral</v>
      </c>
      <c r="J994" t="str">
        <f>VLOOKUP(A994,'Remote work mental helath'!$A$2:$T$1001,13,)</f>
        <v>Yes</v>
      </c>
      <c r="K994">
        <f>VLOOKUP(A994,'Remote work mental helath'!$A$2:$T$1001,17,FALSE)</f>
        <v>1</v>
      </c>
    </row>
    <row r="995" spans="1:11" x14ac:dyDescent="0.3">
      <c r="A995" t="s">
        <v>1044</v>
      </c>
      <c r="B995" t="str">
        <f>VLOOKUP(A995,'Remote work mental helath'!$A$2:$T$1001,12,)</f>
        <v>Burnout</v>
      </c>
      <c r="C995" t="str">
        <f>VLOOKUP(A995,'Remote work mental helath'!$A$2:$T$1001,11,)</f>
        <v>Medium</v>
      </c>
      <c r="D995">
        <f>VLOOKUP('Mental Helath'!A995,'Remote work mental helath'!$A$2:$T$1001,10,)</f>
        <v>3</v>
      </c>
      <c r="E995" t="str">
        <f>VLOOKUP(A995,'Remote work mental helath'!A995:T1994,19,FALSE)</f>
        <v>Poor</v>
      </c>
      <c r="F995" t="str">
        <f>VLOOKUP(A995,'Remote work mental helath'!$A$2:$T$1001,18,)</f>
        <v>Daily</v>
      </c>
      <c r="G995">
        <f>VLOOKUP(A995,'Remote work mental helath'!$A$2:$T$1001,15,FALSE)</f>
        <v>2</v>
      </c>
      <c r="H995" t="str">
        <f>VLOOKUP(A995,'Remote work mental helath'!$A$2:$T$1001,14,)</f>
        <v>No Change</v>
      </c>
      <c r="I995" t="str">
        <f>VLOOKUP(A995,'Remote work mental helath'!$A$2:$T$1001,16,)</f>
        <v>Satisfied</v>
      </c>
      <c r="J995" t="str">
        <f>VLOOKUP(A995,'Remote work mental helath'!$A$2:$T$1001,13,)</f>
        <v>No</v>
      </c>
      <c r="K995">
        <f>VLOOKUP(A995,'Remote work mental helath'!$A$2:$T$1001,17,FALSE)</f>
        <v>3</v>
      </c>
    </row>
    <row r="996" spans="1:11" x14ac:dyDescent="0.3">
      <c r="A996" t="s">
        <v>1045</v>
      </c>
      <c r="B996" t="str">
        <f>VLOOKUP(A996,'Remote work mental helath'!$A$2:$T$1001,12,)</f>
        <v>None</v>
      </c>
      <c r="C996" t="str">
        <f>VLOOKUP(A996,'Remote work mental helath'!$A$2:$T$1001,11,)</f>
        <v>Low</v>
      </c>
      <c r="D996">
        <f>VLOOKUP('Mental Helath'!A996,'Remote work mental helath'!$A$2:$T$1001,10,)</f>
        <v>3</v>
      </c>
      <c r="E996" t="str">
        <f>VLOOKUP(A996,'Remote work mental helath'!A996:T1995,19,FALSE)</f>
        <v>Poor</v>
      </c>
      <c r="F996" t="str">
        <f>VLOOKUP(A996,'Remote work mental helath'!$A$2:$T$1001,18,)</f>
        <v>None</v>
      </c>
      <c r="G996">
        <f>VLOOKUP(A996,'Remote work mental helath'!$A$2:$T$1001,15,FALSE)</f>
        <v>4</v>
      </c>
      <c r="H996" t="str">
        <f>VLOOKUP(A996,'Remote work mental helath'!$A$2:$T$1001,14,)</f>
        <v>Increase</v>
      </c>
      <c r="I996" t="str">
        <f>VLOOKUP(A996,'Remote work mental helath'!$A$2:$T$1001,16,)</f>
        <v>Satisfied</v>
      </c>
      <c r="J996" t="str">
        <f>VLOOKUP(A996,'Remote work mental helath'!$A$2:$T$1001,13,)</f>
        <v>Yes</v>
      </c>
      <c r="K996">
        <f>VLOOKUP(A996,'Remote work mental helath'!$A$2:$T$1001,17,FALSE)</f>
        <v>3</v>
      </c>
    </row>
    <row r="997" spans="1:11" x14ac:dyDescent="0.3">
      <c r="A997" t="s">
        <v>1046</v>
      </c>
      <c r="B997" t="str">
        <f>VLOOKUP(A997,'Remote work mental helath'!$A$2:$T$1001,12,)</f>
        <v>None</v>
      </c>
      <c r="C997" t="str">
        <f>VLOOKUP(A997,'Remote work mental helath'!$A$2:$T$1001,11,)</f>
        <v>Medium</v>
      </c>
      <c r="D997">
        <f>VLOOKUP('Mental Helath'!A997,'Remote work mental helath'!$A$2:$T$1001,10,)</f>
        <v>1</v>
      </c>
      <c r="E997" t="str">
        <f>VLOOKUP(A997,'Remote work mental helath'!A997:T1996,19,FALSE)</f>
        <v>Poor</v>
      </c>
      <c r="F997" t="str">
        <f>VLOOKUP(A997,'Remote work mental helath'!$A$2:$T$1001,18,)</f>
        <v>Weekly</v>
      </c>
      <c r="G997">
        <f>VLOOKUP(A997,'Remote work mental helath'!$A$2:$T$1001,15,FALSE)</f>
        <v>2</v>
      </c>
      <c r="H997" t="str">
        <f>VLOOKUP(A997,'Remote work mental helath'!$A$2:$T$1001,14,)</f>
        <v>Decrease</v>
      </c>
      <c r="I997" t="str">
        <f>VLOOKUP(A997,'Remote work mental helath'!$A$2:$T$1001,16,)</f>
        <v>Neutral</v>
      </c>
      <c r="J997" t="str">
        <f>VLOOKUP(A997,'Remote work mental helath'!$A$2:$T$1001,13,)</f>
        <v>No</v>
      </c>
      <c r="K997">
        <f>VLOOKUP(A997,'Remote work mental helath'!$A$2:$T$1001,17,FALSE)</f>
        <v>2</v>
      </c>
    </row>
    <row r="998" spans="1:11" x14ac:dyDescent="0.3">
      <c r="A998" t="s">
        <v>1047</v>
      </c>
      <c r="B998" t="str">
        <f>VLOOKUP(A998,'Remote work mental helath'!$A$2:$T$1001,12,)</f>
        <v>Depression</v>
      </c>
      <c r="C998" t="str">
        <f>VLOOKUP(A998,'Remote work mental helath'!$A$2:$T$1001,11,)</f>
        <v>Low</v>
      </c>
      <c r="D998">
        <f>VLOOKUP('Mental Helath'!A998,'Remote work mental helath'!$A$2:$T$1001,10,)</f>
        <v>3</v>
      </c>
      <c r="E998" t="str">
        <f>VLOOKUP(A998,'Remote work mental helath'!A998:T1997,19,FALSE)</f>
        <v>Good</v>
      </c>
      <c r="F998" t="str">
        <f>VLOOKUP(A998,'Remote work mental helath'!$A$2:$T$1001,18,)</f>
        <v>Daily</v>
      </c>
      <c r="G998">
        <f>VLOOKUP(A998,'Remote work mental helath'!$A$2:$T$1001,15,FALSE)</f>
        <v>4</v>
      </c>
      <c r="H998" t="str">
        <f>VLOOKUP(A998,'Remote work mental helath'!$A$2:$T$1001,14,)</f>
        <v>No Change</v>
      </c>
      <c r="I998" t="str">
        <f>VLOOKUP(A998,'Remote work mental helath'!$A$2:$T$1001,16,)</f>
        <v>Neutral</v>
      </c>
      <c r="J998" t="str">
        <f>VLOOKUP(A998,'Remote work mental helath'!$A$2:$T$1001,13,)</f>
        <v>No</v>
      </c>
      <c r="K998">
        <f>VLOOKUP(A998,'Remote work mental helath'!$A$2:$T$1001,17,FALSE)</f>
        <v>5</v>
      </c>
    </row>
    <row r="999" spans="1:11" x14ac:dyDescent="0.3">
      <c r="A999" t="s">
        <v>1048</v>
      </c>
      <c r="B999" t="str">
        <f>VLOOKUP(A999,'Remote work mental helath'!$A$2:$T$1001,12,)</f>
        <v>None</v>
      </c>
      <c r="C999" t="str">
        <f>VLOOKUP(A999,'Remote work mental helath'!$A$2:$T$1001,11,)</f>
        <v>Low</v>
      </c>
      <c r="D999">
        <f>VLOOKUP('Mental Helath'!A999,'Remote work mental helath'!$A$2:$T$1001,10,)</f>
        <v>4</v>
      </c>
      <c r="E999" t="str">
        <f>VLOOKUP(A999,'Remote work mental helath'!A999:T1998,19,FALSE)</f>
        <v>Poor</v>
      </c>
      <c r="F999" t="str">
        <f>VLOOKUP(A999,'Remote work mental helath'!$A$2:$T$1001,18,)</f>
        <v>Daily</v>
      </c>
      <c r="G999">
        <f>VLOOKUP(A999,'Remote work mental helath'!$A$2:$T$1001,15,FALSE)</f>
        <v>2</v>
      </c>
      <c r="H999" t="str">
        <f>VLOOKUP(A999,'Remote work mental helath'!$A$2:$T$1001,14,)</f>
        <v>Decrease</v>
      </c>
      <c r="I999" t="str">
        <f>VLOOKUP(A999,'Remote work mental helath'!$A$2:$T$1001,16,)</f>
        <v>Satisfied</v>
      </c>
      <c r="J999" t="str">
        <f>VLOOKUP(A999,'Remote work mental helath'!$A$2:$T$1001,13,)</f>
        <v>No</v>
      </c>
      <c r="K999">
        <f>VLOOKUP(A999,'Remote work mental helath'!$A$2:$T$1001,17,FALSE)</f>
        <v>2</v>
      </c>
    </row>
    <row r="1000" spans="1:11" x14ac:dyDescent="0.3">
      <c r="A1000" t="s">
        <v>1049</v>
      </c>
      <c r="B1000" t="str">
        <f>VLOOKUP(A1000,'Remote work mental helath'!$A$2:$T$1001,12,)</f>
        <v>Burnout</v>
      </c>
      <c r="C1000" t="str">
        <f>VLOOKUP(A1000,'Remote work mental helath'!$A$2:$T$1001,11,)</f>
        <v>Low</v>
      </c>
      <c r="D1000">
        <f>VLOOKUP('Mental Helath'!A1000,'Remote work mental helath'!$A$2:$T$1001,10,)</f>
        <v>4</v>
      </c>
      <c r="E1000" t="str">
        <f>VLOOKUP(A1000,'Remote work mental helath'!A1000:T1999,19,FALSE)</f>
        <v>Average</v>
      </c>
      <c r="F1000" t="str">
        <f>VLOOKUP(A1000,'Remote work mental helath'!$A$2:$T$1001,18,)</f>
        <v>None</v>
      </c>
      <c r="G1000">
        <f>VLOOKUP(A1000,'Remote work mental helath'!$A$2:$T$1001,15,FALSE)</f>
        <v>5</v>
      </c>
      <c r="H1000" t="str">
        <f>VLOOKUP(A1000,'Remote work mental helath'!$A$2:$T$1001,14,)</f>
        <v>No Change</v>
      </c>
      <c r="I1000" t="str">
        <f>VLOOKUP(A1000,'Remote work mental helath'!$A$2:$T$1001,16,)</f>
        <v>Unsatisfied</v>
      </c>
      <c r="J1000" t="str">
        <f>VLOOKUP(A1000,'Remote work mental helath'!$A$2:$T$1001,13,)</f>
        <v>Yes</v>
      </c>
      <c r="K1000">
        <f>VLOOKUP(A1000,'Remote work mental helath'!$A$2:$T$1001,17,FALSE)</f>
        <v>3</v>
      </c>
    </row>
    <row r="1001" spans="1:11" x14ac:dyDescent="0.3">
      <c r="A1001" t="s">
        <v>1050</v>
      </c>
      <c r="B1001" t="str">
        <f>VLOOKUP(A1001,'Remote work mental helath'!$A$2:$T$1001,12,)</f>
        <v>Anxiety</v>
      </c>
      <c r="C1001" t="str">
        <f>VLOOKUP(A1001,'Remote work mental helath'!$A$2:$T$1001,11,)</f>
        <v>High</v>
      </c>
      <c r="D1001">
        <f>VLOOKUP('Mental Helath'!A1001,'Remote work mental helath'!$A$2:$T$1001,10,)</f>
        <v>1</v>
      </c>
      <c r="E1001" t="str">
        <f>VLOOKUP(A1001,'Remote work mental helath'!A1001:T2000,19,FALSE)</f>
        <v>Poor</v>
      </c>
      <c r="F1001" t="str">
        <f>VLOOKUP(A1001,'Remote work mental helath'!$A$2:$T$1001,18,)</f>
        <v>None</v>
      </c>
      <c r="G1001">
        <f>VLOOKUP(A1001,'Remote work mental helath'!$A$2:$T$1001,15,FALSE)</f>
        <v>5</v>
      </c>
      <c r="H1001" t="str">
        <f>VLOOKUP(A1001,'Remote work mental helath'!$A$2:$T$1001,14,)</f>
        <v>Increase</v>
      </c>
      <c r="I1001" t="str">
        <f>VLOOKUP(A1001,'Remote work mental helath'!$A$2:$T$1001,16,)</f>
        <v>Neutral</v>
      </c>
      <c r="J1001" t="str">
        <f>VLOOKUP(A1001,'Remote work mental helath'!$A$2:$T$1001,13,)</f>
        <v>Yes</v>
      </c>
      <c r="K1001">
        <f>VLOOKUP(A1001,'Remote work mental helath'!$A$2:$T$1001,17,FALSE)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C901-8278-439E-96C2-4AAA2354A1C9}">
  <dimension ref="A3:N20"/>
  <sheetViews>
    <sheetView workbookViewId="0">
      <selection activeCell="L3" sqref="L3"/>
    </sheetView>
  </sheetViews>
  <sheetFormatPr defaultRowHeight="14.4" x14ac:dyDescent="0.3"/>
  <cols>
    <col min="1" max="1" width="19.5546875" bestFit="1" customWidth="1"/>
    <col min="2" max="2" width="7" bestFit="1" customWidth="1"/>
    <col min="3" max="3" width="5.21875" bestFit="1" customWidth="1"/>
    <col min="4" max="4" width="10.5546875" bestFit="1" customWidth="1"/>
    <col min="5" max="5" width="15" bestFit="1" customWidth="1"/>
    <col min="6" max="6" width="10.77734375" bestFit="1" customWidth="1"/>
    <col min="7" max="7" width="5.21875" bestFit="1" customWidth="1"/>
    <col min="8" max="8" width="12.5546875" bestFit="1" customWidth="1"/>
    <col min="9" max="9" width="19.5546875" bestFit="1" customWidth="1"/>
    <col min="10" max="10" width="7" bestFit="1" customWidth="1"/>
    <col min="11" max="11" width="5.21875" bestFit="1" customWidth="1"/>
    <col min="12" max="12" width="10.5546875" bestFit="1" customWidth="1"/>
    <col min="13" max="13" width="15" bestFit="1" customWidth="1"/>
    <col min="14" max="14" width="11.6640625" bestFit="1" customWidth="1"/>
    <col min="15" max="15" width="5.21875" bestFit="1" customWidth="1"/>
    <col min="16" max="16" width="10.5546875" bestFit="1" customWidth="1"/>
    <col min="17" max="17" width="15" bestFit="1" customWidth="1"/>
    <col min="18" max="18" width="17.109375" bestFit="1" customWidth="1"/>
    <col min="19" max="19" width="5.21875" bestFit="1" customWidth="1"/>
    <col min="20" max="20" width="10.5546875" bestFit="1" customWidth="1"/>
    <col min="21" max="21" width="15" bestFit="1" customWidth="1"/>
    <col min="22" max="22" width="7.21875" bestFit="1" customWidth="1"/>
    <col min="23" max="23" width="5.21875" bestFit="1" customWidth="1"/>
    <col min="24" max="24" width="10.5546875" bestFit="1" customWidth="1"/>
    <col min="25" max="25" width="15" bestFit="1" customWidth="1"/>
    <col min="26" max="26" width="18.44140625" bestFit="1" customWidth="1"/>
    <col min="27" max="27" width="5.21875" bestFit="1" customWidth="1"/>
    <col min="28" max="28" width="10.5546875" bestFit="1" customWidth="1"/>
    <col min="29" max="29" width="15" bestFit="1" customWidth="1"/>
    <col min="30" max="30" width="10.77734375" bestFit="1" customWidth="1"/>
    <col min="31" max="31" width="8.21875" bestFit="1" customWidth="1"/>
    <col min="32" max="32" width="3.33203125" bestFit="1" customWidth="1"/>
    <col min="33" max="33" width="9.6640625" bestFit="1" customWidth="1"/>
    <col min="34" max="34" width="15.109375" bestFit="1" customWidth="1"/>
    <col min="35" max="35" width="5.21875" bestFit="1" customWidth="1"/>
    <col min="36" max="36" width="16.44140625" bestFit="1" customWidth="1"/>
    <col min="37" max="37" width="15.44140625" bestFit="1" customWidth="1"/>
    <col min="38" max="38" width="8.21875" bestFit="1" customWidth="1"/>
    <col min="39" max="39" width="3.33203125" bestFit="1" customWidth="1"/>
    <col min="40" max="40" width="9.6640625" bestFit="1" customWidth="1"/>
    <col min="41" max="41" width="15.109375" bestFit="1" customWidth="1"/>
    <col min="42" max="42" width="5.21875" bestFit="1" customWidth="1"/>
    <col min="43" max="43" width="16.44140625" bestFit="1" customWidth="1"/>
    <col min="44" max="44" width="10.77734375" bestFit="1" customWidth="1"/>
    <col min="45" max="1000" width="15.5546875" bestFit="1" customWidth="1"/>
    <col min="1001" max="1001" width="10.77734375" bestFit="1" customWidth="1"/>
  </cols>
  <sheetData>
    <row r="3" spans="1:14" x14ac:dyDescent="0.3">
      <c r="A3" s="16" t="s">
        <v>1070</v>
      </c>
      <c r="B3" s="16" t="s">
        <v>1069</v>
      </c>
      <c r="C3" s="17"/>
      <c r="D3" s="17"/>
      <c r="E3" s="17"/>
      <c r="F3" s="17"/>
      <c r="H3" s="14" t="s">
        <v>1071</v>
      </c>
      <c r="I3" t="s">
        <v>1070</v>
      </c>
      <c r="L3" s="5"/>
      <c r="M3" s="6"/>
      <c r="N3" s="7"/>
    </row>
    <row r="4" spans="1:14" x14ac:dyDescent="0.3">
      <c r="A4" s="16" t="s">
        <v>1065</v>
      </c>
      <c r="B4" s="17" t="s">
        <v>18</v>
      </c>
      <c r="C4" s="17" t="s">
        <v>34</v>
      </c>
      <c r="D4" s="17" t="s">
        <v>5</v>
      </c>
      <c r="E4" s="17" t="s">
        <v>46</v>
      </c>
      <c r="F4" s="17" t="s">
        <v>1068</v>
      </c>
      <c r="H4" s="15" t="s">
        <v>1072</v>
      </c>
      <c r="I4">
        <v>183</v>
      </c>
      <c r="L4" s="8"/>
      <c r="M4" s="9"/>
      <c r="N4" s="10"/>
    </row>
    <row r="5" spans="1:14" x14ac:dyDescent="0.3">
      <c r="A5" s="17" t="s">
        <v>58</v>
      </c>
      <c r="B5" s="17">
        <v>49</v>
      </c>
      <c r="C5" s="17">
        <v>44</v>
      </c>
      <c r="D5" s="17">
        <v>35</v>
      </c>
      <c r="E5" s="17">
        <v>41</v>
      </c>
      <c r="F5" s="17">
        <v>169</v>
      </c>
      <c r="H5" s="15" t="s">
        <v>1073</v>
      </c>
      <c r="I5">
        <v>244</v>
      </c>
      <c r="L5" s="8"/>
      <c r="M5" s="9"/>
      <c r="N5" s="10"/>
    </row>
    <row r="6" spans="1:14" x14ac:dyDescent="0.3">
      <c r="A6" s="17" t="s">
        <v>25</v>
      </c>
      <c r="B6" s="17">
        <v>42</v>
      </c>
      <c r="C6" s="17">
        <v>50</v>
      </c>
      <c r="D6" s="17">
        <v>38</v>
      </c>
      <c r="E6" s="17">
        <v>43</v>
      </c>
      <c r="F6" s="17">
        <v>173</v>
      </c>
      <c r="H6" s="15" t="s">
        <v>1074</v>
      </c>
      <c r="I6">
        <v>285</v>
      </c>
      <c r="L6" s="8"/>
      <c r="M6" s="9"/>
      <c r="N6" s="10"/>
    </row>
    <row r="7" spans="1:14" x14ac:dyDescent="0.3">
      <c r="A7" s="17" t="s">
        <v>16</v>
      </c>
      <c r="B7" s="17">
        <v>42</v>
      </c>
      <c r="C7" s="17">
        <v>37</v>
      </c>
      <c r="D7" s="17">
        <v>44</v>
      </c>
      <c r="E7" s="17">
        <v>50</v>
      </c>
      <c r="F7" s="17">
        <v>173</v>
      </c>
      <c r="H7" s="15" t="s">
        <v>1075</v>
      </c>
      <c r="I7">
        <v>288</v>
      </c>
      <c r="L7" s="8"/>
      <c r="M7" s="9"/>
      <c r="N7" s="10"/>
    </row>
    <row r="8" spans="1:14" x14ac:dyDescent="0.3">
      <c r="A8" s="17" t="s">
        <v>32</v>
      </c>
      <c r="B8" s="17">
        <v>37</v>
      </c>
      <c r="C8" s="17">
        <v>39</v>
      </c>
      <c r="D8" s="17">
        <v>36</v>
      </c>
      <c r="E8" s="17">
        <v>45</v>
      </c>
      <c r="F8" s="17">
        <v>157</v>
      </c>
      <c r="H8" s="15" t="s">
        <v>1068</v>
      </c>
      <c r="I8">
        <v>1000</v>
      </c>
      <c r="L8" s="8"/>
      <c r="M8" s="9"/>
      <c r="N8" s="10"/>
    </row>
    <row r="9" spans="1:14" x14ac:dyDescent="0.3">
      <c r="A9" s="17" t="s">
        <v>55</v>
      </c>
      <c r="B9" s="17">
        <v>42</v>
      </c>
      <c r="C9" s="17">
        <v>50</v>
      </c>
      <c r="D9" s="17">
        <v>30</v>
      </c>
      <c r="E9" s="17">
        <v>46</v>
      </c>
      <c r="F9" s="17">
        <v>168</v>
      </c>
      <c r="L9" s="8"/>
      <c r="M9" s="9"/>
      <c r="N9" s="10"/>
    </row>
    <row r="10" spans="1:14" x14ac:dyDescent="0.3">
      <c r="A10" s="17" t="s">
        <v>44</v>
      </c>
      <c r="B10" s="17">
        <v>32</v>
      </c>
      <c r="C10" s="17">
        <v>44</v>
      </c>
      <c r="D10" s="17">
        <v>49</v>
      </c>
      <c r="E10" s="17">
        <v>35</v>
      </c>
      <c r="F10" s="17">
        <v>160</v>
      </c>
      <c r="L10" s="8"/>
      <c r="M10" s="9"/>
      <c r="N10" s="10"/>
    </row>
    <row r="11" spans="1:14" x14ac:dyDescent="0.3">
      <c r="A11" s="17" t="s">
        <v>1068</v>
      </c>
      <c r="B11" s="17">
        <v>244</v>
      </c>
      <c r="C11" s="17">
        <v>264</v>
      </c>
      <c r="D11" s="17">
        <v>232</v>
      </c>
      <c r="E11" s="17">
        <v>260</v>
      </c>
      <c r="F11" s="17">
        <v>1000</v>
      </c>
      <c r="L11" s="8"/>
      <c r="M11" s="9"/>
      <c r="N11" s="10"/>
    </row>
    <row r="12" spans="1:14" x14ac:dyDescent="0.3">
      <c r="L12" s="8"/>
      <c r="M12" s="9"/>
      <c r="N12" s="10"/>
    </row>
    <row r="13" spans="1:14" x14ac:dyDescent="0.3">
      <c r="L13" s="8"/>
      <c r="M13" s="9"/>
      <c r="N13" s="10"/>
    </row>
    <row r="14" spans="1:14" x14ac:dyDescent="0.3">
      <c r="L14" s="8"/>
      <c r="M14" s="9"/>
      <c r="N14" s="10"/>
    </row>
    <row r="15" spans="1:14" x14ac:dyDescent="0.3">
      <c r="L15" s="8"/>
      <c r="M15" s="9"/>
      <c r="N15" s="10"/>
    </row>
    <row r="16" spans="1:14" x14ac:dyDescent="0.3">
      <c r="L16" s="8"/>
      <c r="M16" s="9"/>
      <c r="N16" s="10"/>
    </row>
    <row r="17" spans="12:14" x14ac:dyDescent="0.3">
      <c r="L17" s="8"/>
      <c r="M17" s="9"/>
      <c r="N17" s="10"/>
    </row>
    <row r="18" spans="12:14" x14ac:dyDescent="0.3">
      <c r="L18" s="8"/>
      <c r="M18" s="9"/>
      <c r="N18" s="10"/>
    </row>
    <row r="19" spans="12:14" x14ac:dyDescent="0.3">
      <c r="L19" s="8"/>
      <c r="M19" s="9"/>
      <c r="N19" s="10"/>
    </row>
    <row r="20" spans="12:14" x14ac:dyDescent="0.3">
      <c r="L20" s="11"/>
      <c r="M20" s="12"/>
      <c r="N20" s="13"/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FD74-1C8C-4F1A-9CBF-AB94F7C4B0B0}">
  <dimension ref="A3:E10"/>
  <sheetViews>
    <sheetView tabSelected="1" workbookViewId="0">
      <selection activeCell="E10" sqref="E10"/>
    </sheetView>
  </sheetViews>
  <sheetFormatPr defaultRowHeight="14.4" x14ac:dyDescent="0.3"/>
  <cols>
    <col min="1" max="1" width="12.88671875" bestFit="1" customWidth="1"/>
    <col min="2" max="2" width="19.5546875" bestFit="1" customWidth="1"/>
  </cols>
  <sheetData>
    <row r="3" spans="1:5" x14ac:dyDescent="0.3">
      <c r="A3" s="14" t="s">
        <v>3</v>
      </c>
      <c r="B3" t="s">
        <v>1070</v>
      </c>
    </row>
    <row r="4" spans="1:5" x14ac:dyDescent="0.3">
      <c r="A4" t="s">
        <v>58</v>
      </c>
      <c r="B4">
        <v>169</v>
      </c>
    </row>
    <row r="5" spans="1:5" x14ac:dyDescent="0.3">
      <c r="A5" t="s">
        <v>25</v>
      </c>
      <c r="B5">
        <v>173</v>
      </c>
    </row>
    <row r="6" spans="1:5" x14ac:dyDescent="0.3">
      <c r="A6" t="s">
        <v>16</v>
      </c>
      <c r="B6">
        <v>173</v>
      </c>
    </row>
    <row r="7" spans="1:5" x14ac:dyDescent="0.3">
      <c r="A7" t="s">
        <v>32</v>
      </c>
      <c r="B7">
        <v>157</v>
      </c>
    </row>
    <row r="8" spans="1:5" x14ac:dyDescent="0.3">
      <c r="A8" t="s">
        <v>55</v>
      </c>
      <c r="B8">
        <v>168</v>
      </c>
    </row>
    <row r="9" spans="1:5" x14ac:dyDescent="0.3">
      <c r="A9" t="s">
        <v>44</v>
      </c>
      <c r="B9">
        <v>160</v>
      </c>
    </row>
    <row r="10" spans="1:5" x14ac:dyDescent="0.3">
      <c r="E10" t="s">
        <v>1076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Remote work mental helath</vt:lpstr>
      <vt:lpstr>Employee Details</vt:lpstr>
      <vt:lpstr>Work Details</vt:lpstr>
      <vt:lpstr>Mental Helath</vt:lpstr>
      <vt:lpstr>PivotTable</vt:lpstr>
      <vt:lpstr>Quick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karthikeyan</dc:creator>
  <cp:lastModifiedBy>dhivya karthikeyan</cp:lastModifiedBy>
  <dcterms:created xsi:type="dcterms:W3CDTF">2026-01-14T12:44:39Z</dcterms:created>
  <dcterms:modified xsi:type="dcterms:W3CDTF">2026-01-21T04:57:43Z</dcterms:modified>
</cp:coreProperties>
</file>